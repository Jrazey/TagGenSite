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ngloamerican-my.sharepoint.com/personal/mat_lynam_angloamerican_com/Documents/Documents/Aquila Projects/Misc/Tag Gen Outline/"/>
    </mc:Choice>
  </mc:AlternateContent>
  <xr:revisionPtr revIDLastSave="65" documentId="13_ncr:1_{34847AE5-E297-489C-8AB6-9FA459DF4626}" xr6:coauthVersionLast="47" xr6:coauthVersionMax="47" xr10:uidLastSave="{6DC3AA0C-215E-4CB5-8DAA-4374574BEC35}"/>
  <bookViews>
    <workbookView xWindow="-108" yWindow="-108" windowWidth="23256" windowHeight="13896" tabRatio="897" xr2:uid="{00000000-000D-0000-FFFF-FFFF00000000}"/>
  </bookViews>
  <sheets>
    <sheet name="Config" sheetId="5" r:id="rId1"/>
    <sheet name="DL" sheetId="88" r:id="rId2"/>
    <sheet name="variable" sheetId="1" r:id="rId3"/>
    <sheet name="digalm" sheetId="2" r:id="rId4"/>
    <sheet name="DataTypeMappings" sheetId="8" r:id="rId5"/>
    <sheet name="Sheet1" sheetId="6829" r:id="rId6"/>
    <sheet name="trend" sheetId="3" r:id="rId7"/>
    <sheet name="PV" sheetId="532" r:id="rId8"/>
    <sheet name="equip" sheetId="4" r:id="rId9"/>
    <sheet name="variable_Override" sheetId="119" r:id="rId10"/>
    <sheet name="digalm_Override" sheetId="120" r:id="rId11"/>
    <sheet name="trend_Override" sheetId="121" r:id="rId12"/>
    <sheet name="PV_Override" sheetId="1169" r:id="rId13"/>
    <sheet name="variable_temp" sheetId="1049" r:id="rId14"/>
    <sheet name="digalm_temp" sheetId="75" r:id="rId15"/>
    <sheet name="trend_temp" sheetId="76" r:id="rId16"/>
    <sheet name="PV_temp" sheetId="601" r:id="rId17"/>
    <sheet name="PV_CSV" sheetId="573" r:id="rId18"/>
    <sheet name="PV_XML" sheetId="642" r:id="rId19"/>
    <sheet name="Template_UDT" sheetId="487" r:id="rId20"/>
    <sheet name="Sub" sheetId="8608" r:id="rId21"/>
    <sheet name="Custom" sheetId="8609" r:id="rId22"/>
    <sheet name="ManualTags" sheetId="8610" r:id="rId23"/>
    <sheet name="AqAnalog" sheetId="8614" r:id="rId24"/>
  </sheets>
  <functionGroups builtInGroupCount="19"/>
  <externalReferences>
    <externalReference r:id="rId25"/>
    <externalReference r:id="rId26"/>
  </externalReferences>
  <definedNames>
    <definedName name="_xlnm._FilterDatabase" localSheetId="23" hidden="1">AqAnalog!$A$4:$ED$5</definedName>
    <definedName name="_xlnm._FilterDatabase" localSheetId="21" hidden="1">Custom!$A$4:$ED$5</definedName>
    <definedName name="_xlnm._FilterDatabase" localSheetId="3" hidden="1">digalm!$A$1:$AZ$1</definedName>
    <definedName name="_xlnm._FilterDatabase" localSheetId="10" hidden="1">digalm_Override!$A$1:$AC$1</definedName>
    <definedName name="_xlnm._FilterDatabase" localSheetId="14" hidden="1">digalm_temp!$A$1:$AC$100</definedName>
    <definedName name="_xlnm._FilterDatabase" localSheetId="1" hidden="1">DL!$G$7:$AM$30</definedName>
    <definedName name="_xlnm._FilterDatabase" localSheetId="22" hidden="1">ManualTags!$A$4:$ED$5</definedName>
    <definedName name="_xlnm._FilterDatabase" localSheetId="7" hidden="1">PV!$A$1:$AZ$1</definedName>
    <definedName name="_xlnm._FilterDatabase" localSheetId="12" hidden="1">PV_Override!$A$1:$AV$1278</definedName>
    <definedName name="_xlnm._FilterDatabase" localSheetId="16" hidden="1">PV_temp!$A$1:$AF$1</definedName>
    <definedName name="_xlnm._FilterDatabase" localSheetId="20" hidden="1">Sub!$A$4:$ED$5</definedName>
    <definedName name="_xlnm._FilterDatabase" localSheetId="19" hidden="1">Template_UDT!$A$4:$ED$5</definedName>
    <definedName name="_xlnm._FilterDatabase" localSheetId="6" hidden="1">trend!$A$1:$AY$1</definedName>
    <definedName name="_xlnm._FilterDatabase" localSheetId="11" hidden="1">trend_Override!$A$1:$AF$114761</definedName>
    <definedName name="_xlnm._FilterDatabase" localSheetId="15" hidden="1">trend_temp!$A$1:$AF$99</definedName>
    <definedName name="_xlnm._FilterDatabase" localSheetId="2" hidden="1">variable!$A$1:$AZ$38745</definedName>
    <definedName name="_xlnm._FilterDatabase" localSheetId="9" hidden="1">variable_Override!$A$1:$AE$1</definedName>
    <definedName name="_xlnm._FilterDatabase" localSheetId="13" hidden="1">variable_temp!$A$1:$AG$100</definedName>
    <definedName name="Config_Active_DL">Config!$B$2</definedName>
    <definedName name="Config_CSV_Path">Config!$B$6</definedName>
    <definedName name="Config_DisplayBorders">Config!$B$3</definedName>
    <definedName name="Config_EnableOverride">Config!$B$4</definedName>
    <definedName name="Config_EnablePanelView">Config!$B$5</definedName>
    <definedName name="Config_L5K_File">Config!$B$18</definedName>
    <definedName name="Config_ProjectPath">Config!$B$1</definedName>
    <definedName name="Config_XML_Path">Config!$B$7</definedName>
    <definedName name="digalm_Header">digalm!$A$1:$AC$1</definedName>
    <definedName name="digalm_Override_Header">digalm_Override!$A$1:$AC$1</definedName>
    <definedName name="digalm_temp_Header">digalm_temp!$A$1:$AC$1</definedName>
    <definedName name="DL_AddrArrayIndex">DL!$W$6</definedName>
    <definedName name="DL_AddrOverride">DL!$V$6</definedName>
    <definedName name="DL_AddrPrefixFull">DL!$AH$6</definedName>
    <definedName name="DL_Area">DL!$S$6</definedName>
    <definedName name="DL_Cluster">DL!$N$6</definedName>
    <definedName name="DL_Desc">DL!$J$6</definedName>
    <definedName name="DL_DescPrefix">DL!$K$6</definedName>
    <definedName name="DL_DigAlmName">DL!$Q$6</definedName>
    <definedName name="DL_DisableAlarms">DL!$Z$6</definedName>
    <definedName name="DL_DisableItem">DL!$P$6</definedName>
    <definedName name="DL_DisableTrends">DL!$AA$6</definedName>
    <definedName name="DL_Enabled">DL!$G$6</definedName>
    <definedName name="DL_EnableItem">DL!$P$6</definedName>
    <definedName name="DL_Equip">DL!$O$6</definedName>
    <definedName name="DL_Format">DL!$AE$6</definedName>
    <definedName name="DL_Full">#REF!</definedName>
    <definedName name="DL_H_En">[1]DL!#REF!</definedName>
    <definedName name="DL_Header" localSheetId="1">DL!$A$7:$AM$7</definedName>
    <definedName name="DL_Help">DL!$T$6</definedName>
    <definedName name="DL_HH_En">[1]DL!#REF!</definedName>
    <definedName name="DL_Historian">DL!$Y$6</definedName>
    <definedName name="DL_L_En">[1]DL!#REF!</definedName>
    <definedName name="DL_LL_En">[1]DL!#REF!</definedName>
    <definedName name="DL_Max">DL!$AC$6</definedName>
    <definedName name="DL_Min">DL!$AB$6</definedName>
    <definedName name="DL_OPC_Prefix">[2]DL!$AG$210</definedName>
    <definedName name="DL_PLC">DL!$M$6</definedName>
    <definedName name="DL_PVEnable">DL!$AK$6</definedName>
    <definedName name="DL_PVFolder">DL!$AM$6</definedName>
    <definedName name="DL_PVPLC">DL!$AL$6</definedName>
    <definedName name="DL_PVPrefixFull">DL!$AJ$6</definedName>
    <definedName name="DL_ShortDesc">DL!$L$6</definedName>
    <definedName name="DL_TagPrefix">DL!$I$6</definedName>
    <definedName name="DL_TagPrefixFull">DL!$AI$6</definedName>
    <definedName name="DL_TrendMax">DL!$AG$6</definedName>
    <definedName name="DL_TrendMin">DL!$AF$6</definedName>
    <definedName name="DL_TrendPrefixOverride">DL!$U$6</definedName>
    <definedName name="DL_UDT">DL!$H$6</definedName>
    <definedName name="DL_Units">DL!$AD$6</definedName>
    <definedName name="DL_VariableB">DL!$R$6</definedName>
    <definedName name="DL_XRefL5K">DL!$X$6</definedName>
    <definedName name="Global_Alarm_Priv">Config!$B$16</definedName>
    <definedName name="Global_Path">Config!$B$14</definedName>
    <definedName name="Global_Seperator">Config!$B$15</definedName>
    <definedName name="Global_Trend_Deadband">Config!$B$9</definedName>
    <definedName name="Global_Trend_NumFiles">Config!$B$10</definedName>
    <definedName name="Global_Trend_Period">Config!$B$11</definedName>
    <definedName name="Global_Trend_Prefix">Config!$B$13</definedName>
    <definedName name="Global_Trend_Time">Config!$B$12</definedName>
    <definedName name="PV_CSV_Copy">PV!$A$1:$AC$1</definedName>
    <definedName name="PV_CSV_Folder_Preamble">PV_CSV!$A$4</definedName>
    <definedName name="PV_CSV_Tag_Preamble">PV_CSV!$A$6</definedName>
    <definedName name="PV_Header">PV!$A$1:$AF$1</definedName>
    <definedName name="PV_Override_Header">PV_Override!$A$1:$AF$1</definedName>
    <definedName name="PV_temp_Header">PV_temp!$A$1:$AF$1</definedName>
    <definedName name="PV_XML_Messages">PV_XML!$A$6</definedName>
    <definedName name="PV_XML_Messages_Copy">PV!$AE$1</definedName>
    <definedName name="PV_XML_Messages_End">PV_XML!$A$7</definedName>
    <definedName name="PV_XML_Triggers">PV_XML!$A$4</definedName>
    <definedName name="PV_XML_Triggers_Copy">PV!$AD$1</definedName>
    <definedName name="PV_XML_Triggers_End">PV_XML!$A$5</definedName>
    <definedName name="trend_Header">trend!$A$1:$AF$1</definedName>
    <definedName name="trend_Override_Header">trend_Override!$A$1:$AF$1</definedName>
    <definedName name="trend_temp_Header">trend_temp!$A$1:$AF$1</definedName>
    <definedName name="UDT_Config_Header" localSheetId="23">AqAnalog!$K$4:$AO$4</definedName>
    <definedName name="UDT_Config_Header" localSheetId="21">Custom!$K$4:$AO$4</definedName>
    <definedName name="UDT_Config_Header" localSheetId="22">ManualTags!$K$4:$AO$4</definedName>
    <definedName name="UDT_Config_Header" localSheetId="20">Sub!$K$4:$AO$4</definedName>
    <definedName name="UDT_Config_Header" localSheetId="19">Template_UDT!$K$4:$AO$4</definedName>
    <definedName name="UDT_Digalm_Header" localSheetId="23">AqAnalog!$BV$4:$CX$4</definedName>
    <definedName name="UDT_Digalm_Header" localSheetId="21">Custom!$BV$4:$CX$4</definedName>
    <definedName name="UDT_Digalm_Header" localSheetId="22">ManualTags!$BV$4:$CX$4</definedName>
    <definedName name="UDT_Digalm_Header" localSheetId="20">Sub!$BV$4:$CX$4</definedName>
    <definedName name="UDT_Digalm_Header" localSheetId="19">Template_UDT!$BV$4:$CX$4</definedName>
    <definedName name="UDT_Formula_TopRow" localSheetId="23">AqAnalog!$AK$5:$FJ$5</definedName>
    <definedName name="UDT_Formula_TopRow" localSheetId="21">Custom!$AK$5:$FJ$5</definedName>
    <definedName name="UDT_Formula_TopRow" localSheetId="22">ManualTags!$AK$5:$FJ$5</definedName>
    <definedName name="UDT_Formula_TopRow" localSheetId="20">Sub!$AK$5:$FJ$5</definedName>
    <definedName name="UDT_Formula_TopRow" localSheetId="19">Template_UDT!$AK$5:$FJ$5</definedName>
    <definedName name="UDT_Formula_TopRow_NoPV" localSheetId="23">AqAnalog!$AK$5:$ED$5</definedName>
    <definedName name="UDT_Formula_TopRow_NoPV" localSheetId="21">Custom!$AK$5:$ED$5</definedName>
    <definedName name="UDT_Formula_TopRow_NoPV" localSheetId="22">ManualTags!$AK$5:$ED$5</definedName>
    <definedName name="UDT_Formula_TopRow_NoPV" localSheetId="20">Sub!$AK$5:$ED$5</definedName>
    <definedName name="UDT_Formula_TopRow_NoPV" localSheetId="19">Template_UDT!$AK$5:$ED$5</definedName>
    <definedName name="UDT_Import_Header" localSheetId="23">AqAnalog!$D$4:$J$4</definedName>
    <definedName name="UDT_Import_Header" localSheetId="21">Custom!$D$4:$J$4</definedName>
    <definedName name="UDT_Import_Header" localSheetId="22">ManualTags!$D$4:$J$4</definedName>
    <definedName name="UDT_Import_Header" localSheetId="20">Sub!$D$4:$J$4</definedName>
    <definedName name="UDT_Import_Header" localSheetId="19">Template_UDT!$D$4:$J$4</definedName>
    <definedName name="UDT_Main_Header" localSheetId="23">AqAnalog!$A$4:$C$4</definedName>
    <definedName name="UDT_Main_Header" localSheetId="21">Custom!$A$4:$C$4</definedName>
    <definedName name="UDT_Main_Header" localSheetId="22">ManualTags!$A$4:$C$4</definedName>
    <definedName name="UDT_Main_Header" localSheetId="20">Sub!$A$4:$C$4</definedName>
    <definedName name="UDT_Main_Header" localSheetId="19">Template_UDT!$A$4:$C$4</definedName>
    <definedName name="UDT_PV_Header" localSheetId="23">AqAnalog!$EE$4:$FJ$4</definedName>
    <definedName name="UDT_PV_Header" localSheetId="21">Custom!$EE$4:$FJ$4</definedName>
    <definedName name="UDT_PV_Header" localSheetId="22">ManualTags!$EE$4:$FJ$4</definedName>
    <definedName name="UDT_PV_Header" localSheetId="20">Sub!$EE$4:$FJ$4</definedName>
    <definedName name="UDT_PV_Header" localSheetId="19">Template_UDT!$EE$4:$FJ$4</definedName>
    <definedName name="UDT_Trend_Header" localSheetId="23">AqAnalog!$CY$4:$ED$4</definedName>
    <definedName name="UDT_Trend_Header" localSheetId="21">Custom!$CY$4:$ED$4</definedName>
    <definedName name="UDT_Trend_Header" localSheetId="22">ManualTags!$CY$4:$ED$4</definedName>
    <definedName name="UDT_Trend_Header" localSheetId="20">Sub!$CY$4:$ED$4</definedName>
    <definedName name="UDT_Trend_Header" localSheetId="19">Template_UDT!$CY$4:$ED$4</definedName>
    <definedName name="UDT_UpdateTemplateCopyArea" localSheetId="23">AqAnalog!$A$5:$AJ$2000</definedName>
    <definedName name="UDT_UpdateTemplateCopyArea" localSheetId="21">Custom!$A$5:$AJ$2000</definedName>
    <definedName name="UDT_UpdateTemplateCopyArea" localSheetId="22">ManualTags!$A$5:$AJ$1814</definedName>
    <definedName name="UDT_UpdateTemplateCopyArea" localSheetId="20">Sub!$A$5:$AJ$2000</definedName>
    <definedName name="UDT_UpdateTemplateCopyArea" localSheetId="19">Template_UDT!$A$5:$AJ$2000</definedName>
    <definedName name="UDT_Variable_Header" localSheetId="23">AqAnalog!$AQ$4:$BU$4</definedName>
    <definedName name="UDT_Variable_Header" localSheetId="21">Custom!$AQ$4:$BU$4</definedName>
    <definedName name="UDT_Variable_Header" localSheetId="22">ManualTags!$AQ$4:$BU$4</definedName>
    <definedName name="UDT_Variable_Header" localSheetId="20">Sub!$AQ$4:$BU$4</definedName>
    <definedName name="UDT_Variable_Header" localSheetId="19">Template_UDT!$AQ$4:$BU$4</definedName>
    <definedName name="variable_Header">variable!$A$1:$AG$1</definedName>
    <definedName name="variable_Override_Header">variable_Override!$A$1:$AE$1</definedName>
    <definedName name="variable_temp_Header">variable_temp!$A$1:$AG$1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6" i="8614" l="1"/>
  <c r="AL6" i="8614"/>
  <c r="AM6" i="8614"/>
  <c r="AN6" i="8614"/>
  <c r="CB6" i="8614" s="1"/>
  <c r="AO6" i="8614"/>
  <c r="DJ6" i="8614" s="1"/>
  <c r="AP6" i="8614"/>
  <c r="AQ6" i="8614"/>
  <c r="AR6" i="8614"/>
  <c r="AS6" i="8614"/>
  <c r="AT6" i="8614"/>
  <c r="BJ6" i="8614"/>
  <c r="BK6" i="8614"/>
  <c r="BL6" i="8614" s="1"/>
  <c r="BM6" i="8614"/>
  <c r="BN6" i="8614"/>
  <c r="BO6" i="8614"/>
  <c r="BU6" i="8614"/>
  <c r="AK7" i="8614"/>
  <c r="AL7" i="8614"/>
  <c r="AM7" i="8614"/>
  <c r="AN7" i="8614"/>
  <c r="CA7" i="8614" s="1"/>
  <c r="AO7" i="8614"/>
  <c r="CY7" i="8614" s="1"/>
  <c r="AP7" i="8614"/>
  <c r="AQ7" i="8614"/>
  <c r="AR7" i="8614"/>
  <c r="AS7" i="8614"/>
  <c r="AT7" i="8614"/>
  <c r="BJ7" i="8614"/>
  <c r="BK7" i="8614"/>
  <c r="BL7" i="8614" s="1"/>
  <c r="BM7" i="8614"/>
  <c r="BN7" i="8614"/>
  <c r="BO7" i="8614"/>
  <c r="BU7" i="8614"/>
  <c r="AK8" i="8614"/>
  <c r="AL8" i="8614"/>
  <c r="AM8" i="8614"/>
  <c r="AS8" i="8614" s="1"/>
  <c r="AN8" i="8614"/>
  <c r="CB8" i="8614" s="1"/>
  <c r="AO8" i="8614"/>
  <c r="AP8" i="8614"/>
  <c r="AQ8" i="8614"/>
  <c r="AR8" i="8614"/>
  <c r="BJ8" i="8614"/>
  <c r="BK8" i="8614"/>
  <c r="BL8" i="8614" s="1"/>
  <c r="BO8" i="8614"/>
  <c r="BU8" i="8614"/>
  <c r="AK9" i="8614"/>
  <c r="AL9" i="8614"/>
  <c r="AM9" i="8614"/>
  <c r="AN9" i="8614"/>
  <c r="BV9" i="8614" s="1"/>
  <c r="AO9" i="8614"/>
  <c r="DI9" i="8614" s="1"/>
  <c r="AP9" i="8614"/>
  <c r="AK10" i="8614"/>
  <c r="AT10" i="8614" s="1"/>
  <c r="AL10" i="8614"/>
  <c r="AM10" i="8614"/>
  <c r="AN10" i="8614"/>
  <c r="BV10" i="8614" s="1"/>
  <c r="AO10" i="8614"/>
  <c r="DL10" i="8614" s="1"/>
  <c r="AP10" i="8614"/>
  <c r="AQ10" i="8614"/>
  <c r="AR10" i="8614"/>
  <c r="AS10" i="8614"/>
  <c r="AU10" i="8614"/>
  <c r="AV10" i="8614"/>
  <c r="AW10" i="8614"/>
  <c r="AX10" i="8614"/>
  <c r="AY10" i="8614"/>
  <c r="AZ10" i="8614"/>
  <c r="BJ10" i="8614"/>
  <c r="BK10" i="8614"/>
  <c r="BL10" i="8614" s="1"/>
  <c r="BM10" i="8614"/>
  <c r="BN10" i="8614"/>
  <c r="BO10" i="8614"/>
  <c r="BU10" i="8614"/>
  <c r="AK11" i="8614"/>
  <c r="AL11" i="8614"/>
  <c r="AM11" i="8614"/>
  <c r="BJ11" i="8614" s="1"/>
  <c r="AN11" i="8614"/>
  <c r="BY11" i="8614" s="1"/>
  <c r="AO11" i="8614"/>
  <c r="DG11" i="8614" s="1"/>
  <c r="AP11" i="8614"/>
  <c r="AS11" i="8614"/>
  <c r="AT11" i="8614"/>
  <c r="AU11" i="8614"/>
  <c r="AX11" i="8614"/>
  <c r="AY11" i="8614"/>
  <c r="BM11" i="8614"/>
  <c r="BN11" i="8614"/>
  <c r="BO11" i="8614"/>
  <c r="BU11" i="8614"/>
  <c r="AK12" i="8614"/>
  <c r="AL12" i="8614"/>
  <c r="AM12" i="8614"/>
  <c r="AS12" i="8614" s="1"/>
  <c r="AN12" i="8614"/>
  <c r="CB12" i="8614" s="1"/>
  <c r="AO12" i="8614"/>
  <c r="DF12" i="8614" s="1"/>
  <c r="AP12" i="8614"/>
  <c r="AQ12" i="8614"/>
  <c r="AR12" i="8614"/>
  <c r="AU12" i="8614"/>
  <c r="AV12" i="8614"/>
  <c r="AW12" i="8614"/>
  <c r="AX12" i="8614"/>
  <c r="AY12" i="8614"/>
  <c r="AZ12" i="8614"/>
  <c r="BJ12" i="8614"/>
  <c r="BK12" i="8614"/>
  <c r="BL12" i="8614" s="1"/>
  <c r="BO12" i="8614"/>
  <c r="BU12" i="8614"/>
  <c r="AK13" i="8614"/>
  <c r="AL13" i="8614"/>
  <c r="AM13" i="8614"/>
  <c r="AN13" i="8614"/>
  <c r="CD13" i="8614" s="1"/>
  <c r="AO13" i="8614"/>
  <c r="CY13" i="8614" s="1"/>
  <c r="AP13" i="8614"/>
  <c r="AR13" i="8614"/>
  <c r="AU13" i="8614"/>
  <c r="AY13" i="8614"/>
  <c r="AZ13" i="8614"/>
  <c r="AK14" i="8614"/>
  <c r="AT14" i="8614" s="1"/>
  <c r="AL14" i="8614"/>
  <c r="AM14" i="8614"/>
  <c r="AN14" i="8614"/>
  <c r="BV14" i="8614" s="1"/>
  <c r="AO14" i="8614"/>
  <c r="DL14" i="8614" s="1"/>
  <c r="AP14" i="8614"/>
  <c r="AQ14" i="8614"/>
  <c r="AR14" i="8614"/>
  <c r="AS14" i="8614"/>
  <c r="AU14" i="8614"/>
  <c r="AV14" i="8614"/>
  <c r="AW14" i="8614"/>
  <c r="AX14" i="8614"/>
  <c r="AY14" i="8614"/>
  <c r="AZ14" i="8614"/>
  <c r="BJ14" i="8614"/>
  <c r="BK14" i="8614"/>
  <c r="BL14" i="8614" s="1"/>
  <c r="BM14" i="8614"/>
  <c r="BN14" i="8614"/>
  <c r="BO14" i="8614"/>
  <c r="BU14" i="8614"/>
  <c r="AK15" i="8614"/>
  <c r="AL15" i="8614"/>
  <c r="AM15" i="8614"/>
  <c r="BU15" i="8614" s="1"/>
  <c r="AN15" i="8614"/>
  <c r="BY15" i="8614" s="1"/>
  <c r="AO15" i="8614"/>
  <c r="DL15" i="8614" s="1"/>
  <c r="AP15" i="8614"/>
  <c r="AS15" i="8614"/>
  <c r="AT15" i="8614"/>
  <c r="AX15" i="8614"/>
  <c r="BM15" i="8614"/>
  <c r="BN15" i="8614"/>
  <c r="BO15" i="8614"/>
  <c r="AK16" i="8614"/>
  <c r="AL16" i="8614"/>
  <c r="AM16" i="8614"/>
  <c r="AS16" i="8614" s="1"/>
  <c r="AN16" i="8614"/>
  <c r="CB16" i="8614" s="1"/>
  <c r="AO16" i="8614"/>
  <c r="EA16" i="8614" s="1"/>
  <c r="AP16" i="8614"/>
  <c r="AQ16" i="8614"/>
  <c r="AR16" i="8614"/>
  <c r="AU16" i="8614"/>
  <c r="AV16" i="8614"/>
  <c r="AW16" i="8614"/>
  <c r="AX16" i="8614"/>
  <c r="AY16" i="8614"/>
  <c r="AZ16" i="8614"/>
  <c r="BA16" i="8614"/>
  <c r="BJ16" i="8614"/>
  <c r="BK16" i="8614"/>
  <c r="BL16" i="8614"/>
  <c r="BO16" i="8614"/>
  <c r="BU16" i="8614"/>
  <c r="AK17" i="8614"/>
  <c r="AL17" i="8614"/>
  <c r="AM17" i="8614"/>
  <c r="AN17" i="8614"/>
  <c r="AO17" i="8614"/>
  <c r="ED17" i="8614" s="1"/>
  <c r="AP17" i="8614"/>
  <c r="AS17" i="8614"/>
  <c r="AT17" i="8614"/>
  <c r="AU17" i="8614"/>
  <c r="BA17" i="8614"/>
  <c r="BL17" i="8614"/>
  <c r="BM17" i="8614"/>
  <c r="BN17" i="8614"/>
  <c r="AK18" i="8614"/>
  <c r="AL18" i="8614"/>
  <c r="AM18" i="8614"/>
  <c r="AN18" i="8614"/>
  <c r="BV18" i="8614" s="1"/>
  <c r="AO18" i="8614"/>
  <c r="DL18" i="8614" s="1"/>
  <c r="AP18" i="8614"/>
  <c r="AQ18" i="8614"/>
  <c r="AR18" i="8614"/>
  <c r="AS18" i="8614"/>
  <c r="AT18" i="8614"/>
  <c r="AU18" i="8614"/>
  <c r="AV18" i="8614"/>
  <c r="AW18" i="8614"/>
  <c r="AX18" i="8614"/>
  <c r="AY18" i="8614"/>
  <c r="AZ18" i="8614"/>
  <c r="BA18" i="8614"/>
  <c r="BJ18" i="8614"/>
  <c r="BK18" i="8614"/>
  <c r="BL18" i="8614"/>
  <c r="BM18" i="8614"/>
  <c r="BN18" i="8614"/>
  <c r="BO18" i="8614"/>
  <c r="BU18" i="8614"/>
  <c r="AK19" i="8614"/>
  <c r="AL19" i="8614"/>
  <c r="AM19" i="8614"/>
  <c r="AN19" i="8614"/>
  <c r="CW19" i="8614" s="1"/>
  <c r="AO19" i="8614"/>
  <c r="CY19" i="8614" s="1"/>
  <c r="AP19" i="8614"/>
  <c r="AR19" i="8614"/>
  <c r="AS19" i="8614"/>
  <c r="AT19" i="8614"/>
  <c r="AU19" i="8614"/>
  <c r="AX19" i="8614"/>
  <c r="AY19" i="8614"/>
  <c r="AZ19" i="8614"/>
  <c r="BA19" i="8614"/>
  <c r="BL19" i="8614"/>
  <c r="BM19" i="8614"/>
  <c r="BN19" i="8614"/>
  <c r="BO19" i="8614"/>
  <c r="BU19" i="8614"/>
  <c r="S9" i="8614"/>
  <c r="AZ9" i="8614" s="1"/>
  <c r="R9" i="8614"/>
  <c r="Q9" i="8614"/>
  <c r="P9" i="8614"/>
  <c r="O9" i="8614"/>
  <c r="N9" i="8614"/>
  <c r="M9" i="8614"/>
  <c r="L9" i="8614"/>
  <c r="AU9" i="8614" s="1"/>
  <c r="S8" i="8614"/>
  <c r="AZ8" i="8614" s="1"/>
  <c r="R8" i="8614"/>
  <c r="AY8" i="8614" s="1"/>
  <c r="Q8" i="8614"/>
  <c r="P8" i="8614"/>
  <c r="O8" i="8614"/>
  <c r="AX8" i="8614" s="1"/>
  <c r="N8" i="8614"/>
  <c r="AW8" i="8614" s="1"/>
  <c r="M8" i="8614"/>
  <c r="AV8" i="8614" s="1"/>
  <c r="L8" i="8614"/>
  <c r="AU8" i="8614" s="1"/>
  <c r="S7" i="8614"/>
  <c r="R7" i="8614"/>
  <c r="AY7" i="8614" s="1"/>
  <c r="Q7" i="8614"/>
  <c r="P7" i="8614"/>
  <c r="O7" i="8614"/>
  <c r="AX7" i="8614" s="1"/>
  <c r="N7" i="8614"/>
  <c r="AW7" i="8614" s="1"/>
  <c r="M7" i="8614"/>
  <c r="AV7" i="8614" s="1"/>
  <c r="L7" i="8614"/>
  <c r="AU7" i="8614" s="1"/>
  <c r="S6" i="8614"/>
  <c r="AZ6" i="8614" s="1"/>
  <c r="R6" i="8614"/>
  <c r="AY6" i="8614" s="1"/>
  <c r="Q6" i="8614"/>
  <c r="P6" i="8614"/>
  <c r="O6" i="8614"/>
  <c r="AX6" i="8614" s="1"/>
  <c r="N6" i="8614"/>
  <c r="AW6" i="8614" s="1"/>
  <c r="M6" i="8614"/>
  <c r="AV6" i="8614" s="1"/>
  <c r="L6" i="8614"/>
  <c r="AU6" i="8614" s="1"/>
  <c r="S5" i="8614"/>
  <c r="R5" i="8614"/>
  <c r="AY5" i="8614" s="1"/>
  <c r="Q5" i="8614"/>
  <c r="P5" i="8614"/>
  <c r="O5" i="8614"/>
  <c r="AX5" i="8614" s="1"/>
  <c r="N5" i="8614"/>
  <c r="M5" i="8614"/>
  <c r="AV5" i="8614" s="1"/>
  <c r="L5" i="8614"/>
  <c r="FI5" i="8614"/>
  <c r="FH5" i="8614"/>
  <c r="EU5" i="8614"/>
  <c r="EP5" i="8614"/>
  <c r="EE5" i="8614"/>
  <c r="BN5" i="8614"/>
  <c r="BM5" i="8614"/>
  <c r="AS5" i="8614"/>
  <c r="AQ5" i="8614"/>
  <c r="AP5" i="8614"/>
  <c r="EN5" i="8614" s="1"/>
  <c r="AO5" i="8614"/>
  <c r="DU5" i="8614" s="1"/>
  <c r="AN5" i="8614"/>
  <c r="BX5" i="8614" s="1"/>
  <c r="AM5" i="8614"/>
  <c r="AL5" i="8614"/>
  <c r="AK5" i="8614"/>
  <c r="AK6" i="8610"/>
  <c r="AL6" i="8610"/>
  <c r="AM6" i="8610"/>
  <c r="AN6" i="8610"/>
  <c r="CD6" i="8610" s="1"/>
  <c r="AO6" i="8610"/>
  <c r="DZ6" i="8610" s="1"/>
  <c r="AP6" i="8610"/>
  <c r="AR6" i="8610"/>
  <c r="AT6" i="8610"/>
  <c r="AV6" i="8610"/>
  <c r="AW6" i="8610"/>
  <c r="AX6" i="8610"/>
  <c r="AY6" i="8610"/>
  <c r="AZ6" i="8610"/>
  <c r="BJ6" i="8610"/>
  <c r="BN6" i="8610"/>
  <c r="BO6" i="8610"/>
  <c r="BU6" i="8610"/>
  <c r="AK7" i="8610"/>
  <c r="AL7" i="8610"/>
  <c r="AM7" i="8610"/>
  <c r="BJ7" i="8610" s="1"/>
  <c r="AN7" i="8610"/>
  <c r="CA7" i="8610" s="1"/>
  <c r="AO7" i="8610"/>
  <c r="AP7" i="8610"/>
  <c r="AQ7" i="8610"/>
  <c r="AR7" i="8610"/>
  <c r="AS7" i="8610"/>
  <c r="AW7" i="8610"/>
  <c r="AX7" i="8610"/>
  <c r="AY7" i="8610"/>
  <c r="BK7" i="8610"/>
  <c r="BM7" i="8610"/>
  <c r="AK8" i="8610"/>
  <c r="AL8" i="8610"/>
  <c r="AM8" i="8610"/>
  <c r="AY8" i="8610" s="1"/>
  <c r="AN8" i="8610"/>
  <c r="BZ8" i="8610" s="1"/>
  <c r="AO8" i="8610"/>
  <c r="DU8" i="8610" s="1"/>
  <c r="AP8" i="8610"/>
  <c r="AR8" i="8610"/>
  <c r="AS8" i="8610"/>
  <c r="AT8" i="8610"/>
  <c r="AU8" i="8610"/>
  <c r="AV8" i="8610"/>
  <c r="AW8" i="8610"/>
  <c r="AX8" i="8610"/>
  <c r="BK8" i="8610"/>
  <c r="BL8" i="8610" s="1"/>
  <c r="BM8" i="8610"/>
  <c r="BN8" i="8610"/>
  <c r="BO8" i="8610"/>
  <c r="AK9" i="8610"/>
  <c r="AL9" i="8610"/>
  <c r="AM9" i="8610"/>
  <c r="BN9" i="8610" s="1"/>
  <c r="AN9" i="8610"/>
  <c r="BY9" i="8610" s="1"/>
  <c r="AO9" i="8610"/>
  <c r="CY9" i="8610" s="1"/>
  <c r="AP9" i="8610"/>
  <c r="AY9" i="8610"/>
  <c r="AK10" i="8610"/>
  <c r="AL10" i="8610"/>
  <c r="AM10" i="8610"/>
  <c r="BJ10" i="8610" s="1"/>
  <c r="AN10" i="8610"/>
  <c r="BY10" i="8610" s="1"/>
  <c r="AO10" i="8610"/>
  <c r="AP10" i="8610"/>
  <c r="AR10" i="8610"/>
  <c r="AU10" i="8610"/>
  <c r="AV10" i="8610"/>
  <c r="AW10" i="8610"/>
  <c r="AY10" i="8610"/>
  <c r="AZ10" i="8610"/>
  <c r="BK10" i="8610"/>
  <c r="BN10" i="8610"/>
  <c r="BU10" i="8610"/>
  <c r="AK11" i="8610"/>
  <c r="AL11" i="8610"/>
  <c r="AM11" i="8610"/>
  <c r="AN11" i="8610"/>
  <c r="BZ11" i="8610" s="1"/>
  <c r="AO11" i="8610"/>
  <c r="DI11" i="8610" s="1"/>
  <c r="AP11" i="8610"/>
  <c r="AQ11" i="8610"/>
  <c r="AR11" i="8610"/>
  <c r="AT11" i="8610"/>
  <c r="AK12" i="8610"/>
  <c r="AL12" i="8610"/>
  <c r="AM12" i="8610"/>
  <c r="AN12" i="8610"/>
  <c r="AO12" i="8610"/>
  <c r="DL12" i="8610" s="1"/>
  <c r="AP12" i="8610"/>
  <c r="AQ12" i="8610"/>
  <c r="AR12" i="8610"/>
  <c r="AX12" i="8610"/>
  <c r="AY12" i="8610"/>
  <c r="BJ12" i="8610"/>
  <c r="BM12" i="8610"/>
  <c r="BN12" i="8610"/>
  <c r="BO12" i="8610"/>
  <c r="BU12" i="8610"/>
  <c r="AK13" i="8610"/>
  <c r="AL13" i="8610"/>
  <c r="AM13" i="8610"/>
  <c r="BJ13" i="8610" s="1"/>
  <c r="AN13" i="8610"/>
  <c r="BY13" i="8610" s="1"/>
  <c r="AO13" i="8610"/>
  <c r="DE13" i="8610" s="1"/>
  <c r="AP13" i="8610"/>
  <c r="AQ13" i="8610"/>
  <c r="AR13" i="8610"/>
  <c r="AS13" i="8610"/>
  <c r="AU13" i="8610"/>
  <c r="AW13" i="8610"/>
  <c r="AY13" i="8610"/>
  <c r="BM13" i="8610"/>
  <c r="BN13" i="8610"/>
  <c r="BU13" i="8610"/>
  <c r="AK14" i="8610"/>
  <c r="AL14" i="8610"/>
  <c r="AM14" i="8610"/>
  <c r="AN14" i="8610"/>
  <c r="BY14" i="8610" s="1"/>
  <c r="AO14" i="8610"/>
  <c r="DB14" i="8610" s="1"/>
  <c r="AP14" i="8610"/>
  <c r="AR14" i="8610"/>
  <c r="AW14" i="8610"/>
  <c r="AY14" i="8610"/>
  <c r="AZ14" i="8610"/>
  <c r="BK14" i="8610"/>
  <c r="BN14" i="8610"/>
  <c r="BU14" i="8610"/>
  <c r="CZ14" i="8610"/>
  <c r="AK15" i="8610"/>
  <c r="AL15" i="8610"/>
  <c r="AM15" i="8610"/>
  <c r="AV15" i="8610" s="1"/>
  <c r="AN15" i="8610"/>
  <c r="BV15" i="8610" s="1"/>
  <c r="AO15" i="8610"/>
  <c r="DK15" i="8610" s="1"/>
  <c r="AP15" i="8610"/>
  <c r="AR15" i="8610"/>
  <c r="AT15" i="8610"/>
  <c r="AU15" i="8610"/>
  <c r="AW15" i="8610"/>
  <c r="AY15" i="8610"/>
  <c r="AZ15" i="8610"/>
  <c r="BK15" i="8610"/>
  <c r="BM15" i="8610"/>
  <c r="BO15" i="8610"/>
  <c r="BQ15" i="8610"/>
  <c r="AK16" i="8610"/>
  <c r="AL16" i="8610"/>
  <c r="AM16" i="8610"/>
  <c r="AN16" i="8610"/>
  <c r="BW16" i="8610" s="1"/>
  <c r="AO16" i="8610"/>
  <c r="DB16" i="8610" s="1"/>
  <c r="AP16" i="8610"/>
  <c r="AR16" i="8610"/>
  <c r="AV16" i="8610"/>
  <c r="AX16" i="8610"/>
  <c r="AY16" i="8610"/>
  <c r="AZ16" i="8610"/>
  <c r="BJ16" i="8610"/>
  <c r="BU16" i="8610"/>
  <c r="AK17" i="8610"/>
  <c r="AL17" i="8610"/>
  <c r="AM17" i="8610"/>
  <c r="AN17" i="8610"/>
  <c r="CA17" i="8610" s="1"/>
  <c r="AO17" i="8610"/>
  <c r="EA17" i="8610" s="1"/>
  <c r="AP17" i="8610"/>
  <c r="BO17" i="8610"/>
  <c r="AK18" i="8610"/>
  <c r="AL18" i="8610"/>
  <c r="AM18" i="8610"/>
  <c r="AU18" i="8610" s="1"/>
  <c r="AN18" i="8610"/>
  <c r="CD18" i="8610" s="1"/>
  <c r="AO18" i="8610"/>
  <c r="DH18" i="8610" s="1"/>
  <c r="AP18" i="8610"/>
  <c r="AR18" i="8610"/>
  <c r="AS18" i="8610"/>
  <c r="AT18" i="8610"/>
  <c r="AV18" i="8610"/>
  <c r="AY18" i="8610"/>
  <c r="BJ18" i="8610"/>
  <c r="BM18" i="8610"/>
  <c r="BN18" i="8610"/>
  <c r="BU18" i="8610"/>
  <c r="AK19" i="8610"/>
  <c r="AL19" i="8610"/>
  <c r="AM19" i="8610"/>
  <c r="AN19" i="8610"/>
  <c r="CP19" i="8610" s="1"/>
  <c r="AO19" i="8610"/>
  <c r="DL19" i="8610" s="1"/>
  <c r="AP19" i="8610"/>
  <c r="AK20" i="8610"/>
  <c r="AL20" i="8610"/>
  <c r="AM20" i="8610"/>
  <c r="AN20" i="8610"/>
  <c r="BW20" i="8610" s="1"/>
  <c r="AO20" i="8610"/>
  <c r="AP20" i="8610"/>
  <c r="AR20" i="8610"/>
  <c r="AV20" i="8610"/>
  <c r="AX20" i="8610"/>
  <c r="AY20" i="8610"/>
  <c r="AZ20" i="8610"/>
  <c r="BJ20" i="8610"/>
  <c r="BU20" i="8610"/>
  <c r="AK21" i="8610"/>
  <c r="AL21" i="8610"/>
  <c r="AM21" i="8610"/>
  <c r="AN21" i="8610"/>
  <c r="AO21" i="8610"/>
  <c r="EA21" i="8610" s="1"/>
  <c r="AP21" i="8610"/>
  <c r="AK22" i="8610"/>
  <c r="AL22" i="8610"/>
  <c r="AM22" i="8610"/>
  <c r="AN22" i="8610"/>
  <c r="CD22" i="8610" s="1"/>
  <c r="AO22" i="8610"/>
  <c r="DT22" i="8610" s="1"/>
  <c r="AP22" i="8610"/>
  <c r="AR22" i="8610"/>
  <c r="AS22" i="8610"/>
  <c r="AT22" i="8610"/>
  <c r="AV22" i="8610"/>
  <c r="AW22" i="8610"/>
  <c r="AK23" i="8610"/>
  <c r="AL23" i="8610"/>
  <c r="AM23" i="8610"/>
  <c r="AN23" i="8610"/>
  <c r="AO23" i="8610"/>
  <c r="BQ23" i="8610" s="1"/>
  <c r="AP23" i="8610"/>
  <c r="AS23" i="8610"/>
  <c r="AU23" i="8610"/>
  <c r="AW23" i="8610"/>
  <c r="AY23" i="8610"/>
  <c r="BO23" i="8610"/>
  <c r="AK24" i="8610"/>
  <c r="AL24" i="8610"/>
  <c r="AM24" i="8610"/>
  <c r="BJ24" i="8610" s="1"/>
  <c r="AN24" i="8610"/>
  <c r="BW24" i="8610" s="1"/>
  <c r="AO24" i="8610"/>
  <c r="DT24" i="8610" s="1"/>
  <c r="AP24" i="8610"/>
  <c r="AK25" i="8610"/>
  <c r="AL25" i="8610"/>
  <c r="AM25" i="8610"/>
  <c r="AN25" i="8610"/>
  <c r="AO25" i="8610"/>
  <c r="DL25" i="8610" s="1"/>
  <c r="AP25" i="8610"/>
  <c r="AS25" i="8610"/>
  <c r="AY25" i="8610"/>
  <c r="BK25" i="8610"/>
  <c r="BM25" i="8610"/>
  <c r="BO25" i="8610"/>
  <c r="AK26" i="8610"/>
  <c r="AL26" i="8610"/>
  <c r="AM26" i="8610"/>
  <c r="AN26" i="8610"/>
  <c r="AO26" i="8610"/>
  <c r="DF26" i="8610" s="1"/>
  <c r="AP26" i="8610"/>
  <c r="AV26" i="8610"/>
  <c r="AW26" i="8610"/>
  <c r="AX26" i="8610"/>
  <c r="AZ26" i="8610"/>
  <c r="BJ26" i="8610"/>
  <c r="BK26" i="8610"/>
  <c r="BL26" i="8610" s="1"/>
  <c r="AK27" i="8610"/>
  <c r="AL27" i="8610"/>
  <c r="AM27" i="8610"/>
  <c r="BO27" i="8610" s="1"/>
  <c r="AN27" i="8610"/>
  <c r="BW27" i="8610" s="1"/>
  <c r="AO27" i="8610"/>
  <c r="BQ27" i="8610" s="1"/>
  <c r="AP27" i="8610"/>
  <c r="AU27" i="8610"/>
  <c r="AW27" i="8610"/>
  <c r="BM27" i="8610"/>
  <c r="AK28" i="8610"/>
  <c r="AL28" i="8610"/>
  <c r="AM28" i="8610"/>
  <c r="AN28" i="8610"/>
  <c r="AO28" i="8610"/>
  <c r="DF28" i="8610" s="1"/>
  <c r="AP28" i="8610"/>
  <c r="AK29" i="8610"/>
  <c r="AL29" i="8610"/>
  <c r="AM29" i="8610"/>
  <c r="AN29" i="8610"/>
  <c r="AO29" i="8610"/>
  <c r="AP29" i="8610"/>
  <c r="AQ29" i="8610"/>
  <c r="AT29" i="8610"/>
  <c r="AW29" i="8610"/>
  <c r="AY29" i="8610"/>
  <c r="BJ29" i="8610"/>
  <c r="BK29" i="8610"/>
  <c r="AK30" i="8610"/>
  <c r="AL30" i="8610"/>
  <c r="AM30" i="8610"/>
  <c r="AN30" i="8610"/>
  <c r="CA30" i="8610" s="1"/>
  <c r="AO30" i="8610"/>
  <c r="DH30" i="8610" s="1"/>
  <c r="AP30" i="8610"/>
  <c r="AQ30" i="8610"/>
  <c r="AR30" i="8610"/>
  <c r="AS30" i="8610"/>
  <c r="AT30" i="8610"/>
  <c r="AV30" i="8610"/>
  <c r="BK30" i="8610"/>
  <c r="BL30" i="8610" s="1"/>
  <c r="BM30" i="8610"/>
  <c r="BN30" i="8610"/>
  <c r="AK31" i="8610"/>
  <c r="AL31" i="8610"/>
  <c r="AM31" i="8610"/>
  <c r="AN31" i="8610"/>
  <c r="CD31" i="8610" s="1"/>
  <c r="AO31" i="8610"/>
  <c r="CY31" i="8610" s="1"/>
  <c r="AP31" i="8610"/>
  <c r="AQ31" i="8610"/>
  <c r="BO31" i="8610"/>
  <c r="AK32" i="8610"/>
  <c r="AL32" i="8610"/>
  <c r="AM32" i="8610"/>
  <c r="AR32" i="8610" s="1"/>
  <c r="AN32" i="8610"/>
  <c r="CH32" i="8610" s="1"/>
  <c r="AO32" i="8610"/>
  <c r="DI32" i="8610" s="1"/>
  <c r="AP32" i="8610"/>
  <c r="AQ32" i="8610"/>
  <c r="AT32" i="8610"/>
  <c r="AW32" i="8610"/>
  <c r="AX32" i="8610"/>
  <c r="BN32" i="8610"/>
  <c r="BU32" i="8610"/>
  <c r="AK33" i="8610"/>
  <c r="AL33" i="8610"/>
  <c r="AM33" i="8610"/>
  <c r="AN33" i="8610"/>
  <c r="AO33" i="8610"/>
  <c r="DL33" i="8610" s="1"/>
  <c r="AP33" i="8610"/>
  <c r="AU33" i="8610"/>
  <c r="AW33" i="8610"/>
  <c r="AK34" i="8610"/>
  <c r="AL34" i="8610"/>
  <c r="AM34" i="8610"/>
  <c r="BJ34" i="8610" s="1"/>
  <c r="AN34" i="8610"/>
  <c r="CB34" i="8610" s="1"/>
  <c r="AO34" i="8610"/>
  <c r="DH34" i="8610" s="1"/>
  <c r="AP34" i="8610"/>
  <c r="AT34" i="8610"/>
  <c r="AW34" i="8610"/>
  <c r="AZ34" i="8610"/>
  <c r="DE34" i="8610"/>
  <c r="DK34" i="8610"/>
  <c r="AK35" i="8610"/>
  <c r="AL35" i="8610"/>
  <c r="AM35" i="8610"/>
  <c r="AQ35" i="8610" s="1"/>
  <c r="AN35" i="8610"/>
  <c r="CW35" i="8610" s="1"/>
  <c r="AO35" i="8610"/>
  <c r="AP35" i="8610"/>
  <c r="AK36" i="8610"/>
  <c r="AL36" i="8610"/>
  <c r="AM36" i="8610"/>
  <c r="AZ36" i="8610" s="1"/>
  <c r="AN36" i="8610"/>
  <c r="CA36" i="8610" s="1"/>
  <c r="AO36" i="8610"/>
  <c r="DK36" i="8610" s="1"/>
  <c r="AP36" i="8610"/>
  <c r="AK37" i="8610"/>
  <c r="AL37" i="8610"/>
  <c r="AM37" i="8610"/>
  <c r="AN37" i="8610"/>
  <c r="AO37" i="8610"/>
  <c r="CY37" i="8610" s="1"/>
  <c r="AP37" i="8610"/>
  <c r="AK38" i="8610"/>
  <c r="AL38" i="8610"/>
  <c r="AM38" i="8610"/>
  <c r="AV38" i="8610" s="1"/>
  <c r="AN38" i="8610"/>
  <c r="AO38" i="8610"/>
  <c r="DH38" i="8610" s="1"/>
  <c r="AP38" i="8610"/>
  <c r="AK39" i="8610"/>
  <c r="AL39" i="8610"/>
  <c r="AM39" i="8610"/>
  <c r="AZ39" i="8610" s="1"/>
  <c r="AN39" i="8610"/>
  <c r="BP39" i="8610" s="1"/>
  <c r="AO39" i="8610"/>
  <c r="CZ39" i="8610" s="1"/>
  <c r="AP39" i="8610"/>
  <c r="BA39" i="8610"/>
  <c r="BK39" i="8610"/>
  <c r="BO39" i="8610"/>
  <c r="CB39" i="8610"/>
  <c r="AK40" i="8610"/>
  <c r="AL40" i="8610"/>
  <c r="AM40" i="8610"/>
  <c r="AN40" i="8610"/>
  <c r="BP40" i="8610" s="1"/>
  <c r="AO40" i="8610"/>
  <c r="DI40" i="8610" s="1"/>
  <c r="AP40" i="8610"/>
  <c r="AK41" i="8610"/>
  <c r="AL41" i="8610"/>
  <c r="AM41" i="8610"/>
  <c r="AN41" i="8610"/>
  <c r="BX41" i="8610" s="1"/>
  <c r="AO41" i="8610"/>
  <c r="BQ41" i="8610" s="1"/>
  <c r="AP41" i="8610"/>
  <c r="AS41" i="8610"/>
  <c r="AT41" i="8610"/>
  <c r="AU41" i="8610"/>
  <c r="BO41" i="8610"/>
  <c r="DB41" i="8610"/>
  <c r="AK42" i="8610"/>
  <c r="AL42" i="8610"/>
  <c r="AM42" i="8610"/>
  <c r="AS42" i="8610" s="1"/>
  <c r="AN42" i="8610"/>
  <c r="CH42" i="8610" s="1"/>
  <c r="AO42" i="8610"/>
  <c r="DH42" i="8610" s="1"/>
  <c r="AP42" i="8610"/>
  <c r="AR42" i="8610"/>
  <c r="BJ42" i="8610"/>
  <c r="BN42" i="8610"/>
  <c r="BU42" i="8610"/>
  <c r="DI42" i="8610"/>
  <c r="AK43" i="8610"/>
  <c r="AL43" i="8610"/>
  <c r="AM43" i="8610"/>
  <c r="AQ43" i="8610" s="1"/>
  <c r="AN43" i="8610"/>
  <c r="CP43" i="8610" s="1"/>
  <c r="AO43" i="8610"/>
  <c r="DJ43" i="8610" s="1"/>
  <c r="AP43" i="8610"/>
  <c r="AK44" i="8610"/>
  <c r="AL44" i="8610"/>
  <c r="AM44" i="8610"/>
  <c r="BU44" i="8610" s="1"/>
  <c r="AN44" i="8610"/>
  <c r="CD44" i="8610" s="1"/>
  <c r="AO44" i="8610"/>
  <c r="CY44" i="8610" s="1"/>
  <c r="AP44" i="8610"/>
  <c r="AK45" i="8610"/>
  <c r="AL45" i="8610"/>
  <c r="AM45" i="8610"/>
  <c r="AN45" i="8610"/>
  <c r="CP45" i="8610" s="1"/>
  <c r="AO45" i="8610"/>
  <c r="EC45" i="8610" s="1"/>
  <c r="AP45" i="8610"/>
  <c r="AR45" i="8610"/>
  <c r="AU45" i="8610"/>
  <c r="AK46" i="8610"/>
  <c r="AL46" i="8610"/>
  <c r="AM46" i="8610"/>
  <c r="AR46" i="8610" s="1"/>
  <c r="AN46" i="8610"/>
  <c r="AO46" i="8610"/>
  <c r="DL46" i="8610" s="1"/>
  <c r="AP46" i="8610"/>
  <c r="BU46" i="8610"/>
  <c r="AK47" i="8610"/>
  <c r="AL47" i="8610"/>
  <c r="AM47" i="8610"/>
  <c r="AN47" i="8610"/>
  <c r="CA47" i="8610" s="1"/>
  <c r="AO47" i="8610"/>
  <c r="CY47" i="8610" s="1"/>
  <c r="AP47" i="8610"/>
  <c r="CP47" i="8610"/>
  <c r="AK48" i="8610"/>
  <c r="AL48" i="8610"/>
  <c r="AM48" i="8610"/>
  <c r="AN48" i="8610"/>
  <c r="AO48" i="8610"/>
  <c r="DI48" i="8610" s="1"/>
  <c r="AP48" i="8610"/>
  <c r="AR48" i="8610"/>
  <c r="AV48" i="8610"/>
  <c r="AX48" i="8610"/>
  <c r="AY48" i="8610"/>
  <c r="AK49" i="8610"/>
  <c r="AL49" i="8610"/>
  <c r="AM49" i="8610"/>
  <c r="AS49" i="8610" s="1"/>
  <c r="AN49" i="8610"/>
  <c r="CP49" i="8610" s="1"/>
  <c r="AO49" i="8610"/>
  <c r="CY49" i="8610" s="1"/>
  <c r="AP49" i="8610"/>
  <c r="AR49" i="8610"/>
  <c r="AY49" i="8610"/>
  <c r="BM49" i="8610"/>
  <c r="BO49" i="8610"/>
  <c r="DF49" i="8610"/>
  <c r="AK50" i="8610"/>
  <c r="AL50" i="8610"/>
  <c r="AM50" i="8610"/>
  <c r="BJ50" i="8610" s="1"/>
  <c r="AN50" i="8610"/>
  <c r="BX50" i="8610" s="1"/>
  <c r="AO50" i="8610"/>
  <c r="AP50" i="8610"/>
  <c r="AQ50" i="8610"/>
  <c r="AR50" i="8610"/>
  <c r="AS50" i="8610"/>
  <c r="AT50" i="8610"/>
  <c r="AU50" i="8610"/>
  <c r="AV50" i="8610"/>
  <c r="AW50" i="8610"/>
  <c r="AX50" i="8610"/>
  <c r="AY50" i="8610"/>
  <c r="AZ50" i="8610"/>
  <c r="BK50" i="8610"/>
  <c r="BL50" i="8610" s="1"/>
  <c r="BM50" i="8610"/>
  <c r="BN50" i="8610"/>
  <c r="BO50" i="8610"/>
  <c r="BU50" i="8610"/>
  <c r="AK51" i="8610"/>
  <c r="AL51" i="8610"/>
  <c r="AM51" i="8610"/>
  <c r="BU51" i="8610" s="1"/>
  <c r="AN51" i="8610"/>
  <c r="CA51" i="8610" s="1"/>
  <c r="AO51" i="8610"/>
  <c r="CY51" i="8610" s="1"/>
  <c r="AP51" i="8610"/>
  <c r="AK52" i="8610"/>
  <c r="AL52" i="8610"/>
  <c r="AM52" i="8610"/>
  <c r="AN52" i="8610"/>
  <c r="CV52" i="8610" s="1"/>
  <c r="AO52" i="8610"/>
  <c r="DE52" i="8610" s="1"/>
  <c r="AP52" i="8610"/>
  <c r="AX52" i="8610"/>
  <c r="AK53" i="8610"/>
  <c r="AL53" i="8610"/>
  <c r="AM53" i="8610"/>
  <c r="AN53" i="8610"/>
  <c r="BW53" i="8610" s="1"/>
  <c r="AO53" i="8610"/>
  <c r="DH53" i="8610" s="1"/>
  <c r="AP53" i="8610"/>
  <c r="AR53" i="8610"/>
  <c r="BJ53" i="8610"/>
  <c r="BM53" i="8610"/>
  <c r="BO53" i="8610"/>
  <c r="BV53" i="8610"/>
  <c r="AK54" i="8610"/>
  <c r="AL54" i="8610"/>
  <c r="AM54" i="8610"/>
  <c r="AN54" i="8610"/>
  <c r="BX54" i="8610" s="1"/>
  <c r="AO54" i="8610"/>
  <c r="AP54" i="8610"/>
  <c r="AQ54" i="8610"/>
  <c r="AV54" i="8610"/>
  <c r="AW54" i="8610"/>
  <c r="AX54" i="8610"/>
  <c r="AY54" i="8610"/>
  <c r="AZ54" i="8610"/>
  <c r="BJ54" i="8610"/>
  <c r="BK54" i="8610"/>
  <c r="BL54" i="8610" s="1"/>
  <c r="BM54" i="8610"/>
  <c r="BO54" i="8610"/>
  <c r="BU54" i="8610"/>
  <c r="AK55" i="8610"/>
  <c r="AL55" i="8610"/>
  <c r="AM55" i="8610"/>
  <c r="AN55" i="8610"/>
  <c r="CD55" i="8610" s="1"/>
  <c r="AO55" i="8610"/>
  <c r="CY55" i="8610" s="1"/>
  <c r="AP55" i="8610"/>
  <c r="AS55" i="8610"/>
  <c r="AT55" i="8610"/>
  <c r="AV55" i="8610"/>
  <c r="AZ55" i="8610"/>
  <c r="BM55" i="8610"/>
  <c r="BN55" i="8610"/>
  <c r="BU55" i="8610"/>
  <c r="AK56" i="8610"/>
  <c r="AL56" i="8610"/>
  <c r="AM56" i="8610"/>
  <c r="AR56" i="8610" s="1"/>
  <c r="AN56" i="8610"/>
  <c r="CD56" i="8610" s="1"/>
  <c r="AO56" i="8610"/>
  <c r="BQ56" i="8610" s="1"/>
  <c r="AP56" i="8610"/>
  <c r="AQ56" i="8610"/>
  <c r="AV56" i="8610"/>
  <c r="AW56" i="8610"/>
  <c r="AX56" i="8610"/>
  <c r="AY56" i="8610"/>
  <c r="BJ56" i="8610"/>
  <c r="BK56" i="8610"/>
  <c r="BL56" i="8610" s="1"/>
  <c r="BU56" i="8610"/>
  <c r="BV56" i="8610"/>
  <c r="AK57" i="8610"/>
  <c r="AL57" i="8610"/>
  <c r="AM57" i="8610"/>
  <c r="AN57" i="8610"/>
  <c r="CH57" i="8610" s="1"/>
  <c r="AO57" i="8610"/>
  <c r="CZ57" i="8610" s="1"/>
  <c r="AP57" i="8610"/>
  <c r="AT57" i="8610"/>
  <c r="BJ57" i="8610"/>
  <c r="AK58" i="8610"/>
  <c r="AL58" i="8610"/>
  <c r="AM58" i="8610"/>
  <c r="AX58" i="8610" s="1"/>
  <c r="AN58" i="8610"/>
  <c r="CB58" i="8610" s="1"/>
  <c r="AO58" i="8610"/>
  <c r="DL58" i="8610" s="1"/>
  <c r="AP58" i="8610"/>
  <c r="AQ58" i="8610"/>
  <c r="BU58" i="8610"/>
  <c r="AK59" i="8610"/>
  <c r="AL59" i="8610"/>
  <c r="AM59" i="8610"/>
  <c r="BJ59" i="8610" s="1"/>
  <c r="AN59" i="8610"/>
  <c r="BY59" i="8610" s="1"/>
  <c r="AO59" i="8610"/>
  <c r="DJ59" i="8610" s="1"/>
  <c r="AP59" i="8610"/>
  <c r="AV59" i="8610"/>
  <c r="AY59" i="8610"/>
  <c r="BK59" i="8610"/>
  <c r="AK60" i="8610"/>
  <c r="AL60" i="8610"/>
  <c r="AM60" i="8610"/>
  <c r="BN60" i="8610" s="1"/>
  <c r="AN60" i="8610"/>
  <c r="CB60" i="8610" s="1"/>
  <c r="AO60" i="8610"/>
  <c r="DL60" i="8610" s="1"/>
  <c r="AP60" i="8610"/>
  <c r="AQ60" i="8610"/>
  <c r="AR60" i="8610"/>
  <c r="AT60" i="8610"/>
  <c r="AY60" i="8610"/>
  <c r="AZ60" i="8610"/>
  <c r="AK61" i="8610"/>
  <c r="AL61" i="8610"/>
  <c r="AM61" i="8610"/>
  <c r="AN61" i="8610"/>
  <c r="BZ61" i="8610" s="1"/>
  <c r="AO61" i="8610"/>
  <c r="DI61" i="8610" s="1"/>
  <c r="AP61" i="8610"/>
  <c r="AK62" i="8610"/>
  <c r="AL62" i="8610"/>
  <c r="AM62" i="8610"/>
  <c r="BM62" i="8610" s="1"/>
  <c r="AN62" i="8610"/>
  <c r="BY62" i="8610" s="1"/>
  <c r="AO62" i="8610"/>
  <c r="DL62" i="8610" s="1"/>
  <c r="AP62" i="8610"/>
  <c r="AK63" i="8610"/>
  <c r="AL63" i="8610"/>
  <c r="AM63" i="8610"/>
  <c r="AN63" i="8610"/>
  <c r="BY63" i="8610" s="1"/>
  <c r="AO63" i="8610"/>
  <c r="DF63" i="8610" s="1"/>
  <c r="AP63" i="8610"/>
  <c r="AW63" i="8610"/>
  <c r="AY63" i="8610"/>
  <c r="AZ63" i="8610"/>
  <c r="BK63" i="8610"/>
  <c r="BL63" i="8610" s="1"/>
  <c r="BM63" i="8610"/>
  <c r="BO63" i="8610"/>
  <c r="BU63" i="8610"/>
  <c r="BX63" i="8610"/>
  <c r="AK64" i="8610"/>
  <c r="AL64" i="8610"/>
  <c r="AM64" i="8610"/>
  <c r="AN64" i="8610"/>
  <c r="CB64" i="8610" s="1"/>
  <c r="AO64" i="8610"/>
  <c r="DG64" i="8610" s="1"/>
  <c r="AP64" i="8610"/>
  <c r="AV64" i="8610"/>
  <c r="AW64" i="8610"/>
  <c r="AX64" i="8610"/>
  <c r="AY64" i="8610"/>
  <c r="AZ64" i="8610"/>
  <c r="BJ64" i="8610"/>
  <c r="BK64" i="8610"/>
  <c r="BN64" i="8610"/>
  <c r="BQ64" i="8610"/>
  <c r="BU64" i="8610"/>
  <c r="AK65" i="8610"/>
  <c r="AL65" i="8610"/>
  <c r="AM65" i="8610"/>
  <c r="AV65" i="8610" s="1"/>
  <c r="AN65" i="8610"/>
  <c r="BZ65" i="8610" s="1"/>
  <c r="AO65" i="8610"/>
  <c r="DI65" i="8610" s="1"/>
  <c r="AP65" i="8610"/>
  <c r="AQ65" i="8610"/>
  <c r="AR65" i="8610"/>
  <c r="AS65" i="8610"/>
  <c r="AT65" i="8610"/>
  <c r="AU65" i="8610"/>
  <c r="AW65" i="8610"/>
  <c r="AX65" i="8610"/>
  <c r="AY65" i="8610"/>
  <c r="AZ65" i="8610"/>
  <c r="BK65" i="8610"/>
  <c r="BL65" i="8610" s="1"/>
  <c r="BM65" i="8610"/>
  <c r="BN65" i="8610"/>
  <c r="BO65" i="8610"/>
  <c r="BU65" i="8610"/>
  <c r="AK66" i="8610"/>
  <c r="AL66" i="8610"/>
  <c r="AM66" i="8610"/>
  <c r="AN66" i="8610"/>
  <c r="BW66" i="8610" s="1"/>
  <c r="AO66" i="8610"/>
  <c r="DL66" i="8610" s="1"/>
  <c r="AP66" i="8610"/>
  <c r="AQ66" i="8610"/>
  <c r="AR66" i="8610"/>
  <c r="AS66" i="8610"/>
  <c r="AT66" i="8610"/>
  <c r="AU66" i="8610"/>
  <c r="AV66" i="8610"/>
  <c r="AW66" i="8610"/>
  <c r="BU66" i="8610"/>
  <c r="AK67" i="8610"/>
  <c r="AL67" i="8610"/>
  <c r="AM67" i="8610"/>
  <c r="AN67" i="8610"/>
  <c r="BY67" i="8610" s="1"/>
  <c r="AO67" i="8610"/>
  <c r="DF67" i="8610" s="1"/>
  <c r="AP67" i="8610"/>
  <c r="AY67" i="8610"/>
  <c r="BM67" i="8610"/>
  <c r="BN67" i="8610"/>
  <c r="AK68" i="8610"/>
  <c r="AL68" i="8610"/>
  <c r="AM68" i="8610"/>
  <c r="AN68" i="8610"/>
  <c r="CB68" i="8610" s="1"/>
  <c r="AO68" i="8610"/>
  <c r="DE68" i="8610" s="1"/>
  <c r="AP68" i="8610"/>
  <c r="AZ68" i="8610"/>
  <c r="AK69" i="8610"/>
  <c r="AL69" i="8610"/>
  <c r="AM69" i="8610"/>
  <c r="AV69" i="8610" s="1"/>
  <c r="AN69" i="8610"/>
  <c r="CB69" i="8610" s="1"/>
  <c r="AO69" i="8610"/>
  <c r="AP69" i="8610"/>
  <c r="AR69" i="8610"/>
  <c r="AU69" i="8610"/>
  <c r="AW69" i="8610"/>
  <c r="AX69" i="8610"/>
  <c r="AY69" i="8610"/>
  <c r="AZ69" i="8610"/>
  <c r="BJ69" i="8610"/>
  <c r="BK69" i="8610"/>
  <c r="BM69" i="8610"/>
  <c r="BU69" i="8610"/>
  <c r="AK70" i="8610"/>
  <c r="AL70" i="8610"/>
  <c r="AM70" i="8610"/>
  <c r="AN70" i="8610"/>
  <c r="BP70" i="8610" s="1"/>
  <c r="AO70" i="8610"/>
  <c r="DL70" i="8610" s="1"/>
  <c r="AP70" i="8610"/>
  <c r="AQ70" i="8610"/>
  <c r="AR70" i="8610"/>
  <c r="AS70" i="8610"/>
  <c r="AT70" i="8610"/>
  <c r="AU70" i="8610"/>
  <c r="AV70" i="8610"/>
  <c r="AW70" i="8610"/>
  <c r="AX70" i="8610"/>
  <c r="AY70" i="8610"/>
  <c r="AZ70" i="8610"/>
  <c r="BK70" i="8610"/>
  <c r="BL70" i="8610" s="1"/>
  <c r="BN70" i="8610"/>
  <c r="BO70" i="8610"/>
  <c r="BU70" i="8610"/>
  <c r="AK71" i="8610"/>
  <c r="AL71" i="8610"/>
  <c r="AM71" i="8610"/>
  <c r="AZ71" i="8610" s="1"/>
  <c r="AN71" i="8610"/>
  <c r="AO71" i="8610"/>
  <c r="DJ71" i="8610" s="1"/>
  <c r="AP71" i="8610"/>
  <c r="AK72" i="8610"/>
  <c r="AL72" i="8610"/>
  <c r="AM72" i="8610"/>
  <c r="BM72" i="8610" s="1"/>
  <c r="AN72" i="8610"/>
  <c r="BZ72" i="8610" s="1"/>
  <c r="AO72" i="8610"/>
  <c r="DG72" i="8610" s="1"/>
  <c r="AP72" i="8610"/>
  <c r="AS72" i="8610"/>
  <c r="AY72" i="8610"/>
  <c r="AK73" i="8610"/>
  <c r="AL73" i="8610"/>
  <c r="AM73" i="8610"/>
  <c r="AS73" i="8610" s="1"/>
  <c r="AN73" i="8610"/>
  <c r="BW73" i="8610" s="1"/>
  <c r="AO73" i="8610"/>
  <c r="DH73" i="8610" s="1"/>
  <c r="AP73" i="8610"/>
  <c r="AK74" i="8610"/>
  <c r="AL74" i="8610"/>
  <c r="AM74" i="8610"/>
  <c r="AN74" i="8610"/>
  <c r="CH74" i="8610" s="1"/>
  <c r="AO74" i="8610"/>
  <c r="CZ74" i="8610" s="1"/>
  <c r="AP74" i="8610"/>
  <c r="AS74" i="8610"/>
  <c r="BM74" i="8610"/>
  <c r="AK75" i="8610"/>
  <c r="AL75" i="8610"/>
  <c r="AM75" i="8610"/>
  <c r="AN75" i="8610"/>
  <c r="CP75" i="8610" s="1"/>
  <c r="AO75" i="8610"/>
  <c r="EA75" i="8610" s="1"/>
  <c r="AP75" i="8610"/>
  <c r="AY75" i="8610"/>
  <c r="BJ75" i="8610"/>
  <c r="AK76" i="8610"/>
  <c r="AL76" i="8610"/>
  <c r="AM76" i="8610"/>
  <c r="AN76" i="8610"/>
  <c r="BZ76" i="8610" s="1"/>
  <c r="AO76" i="8610"/>
  <c r="DB76" i="8610" s="1"/>
  <c r="AP76" i="8610"/>
  <c r="AS76" i="8610"/>
  <c r="AY76" i="8610"/>
  <c r="BJ76" i="8610"/>
  <c r="BM76" i="8610"/>
  <c r="AK77" i="8610"/>
  <c r="AL77" i="8610"/>
  <c r="AM77" i="8610"/>
  <c r="AT77" i="8610" s="1"/>
  <c r="AN77" i="8610"/>
  <c r="CD77" i="8610" s="1"/>
  <c r="AO77" i="8610"/>
  <c r="DH77" i="8610" s="1"/>
  <c r="AP77" i="8610"/>
  <c r="AQ77" i="8610"/>
  <c r="AS77" i="8610"/>
  <c r="AV77" i="8610"/>
  <c r="AY77" i="8610"/>
  <c r="BJ77" i="8610"/>
  <c r="BK77" i="8610"/>
  <c r="BM77" i="8610"/>
  <c r="BZ77" i="8610"/>
  <c r="AK78" i="8610"/>
  <c r="AL78" i="8610"/>
  <c r="AM78" i="8610"/>
  <c r="AN78" i="8610"/>
  <c r="CH78" i="8610" s="1"/>
  <c r="AO78" i="8610"/>
  <c r="DH78" i="8610" s="1"/>
  <c r="AP78" i="8610"/>
  <c r="AY78" i="8610"/>
  <c r="BM78" i="8610"/>
  <c r="DF78" i="8610"/>
  <c r="AK79" i="8610"/>
  <c r="AL79" i="8610"/>
  <c r="AM79" i="8610"/>
  <c r="AS79" i="8610" s="1"/>
  <c r="AN79" i="8610"/>
  <c r="AO79" i="8610"/>
  <c r="DE79" i="8610" s="1"/>
  <c r="AP79" i="8610"/>
  <c r="AK80" i="8610"/>
  <c r="AL80" i="8610"/>
  <c r="AM80" i="8610"/>
  <c r="AS80" i="8610" s="1"/>
  <c r="AN80" i="8610"/>
  <c r="AO80" i="8610"/>
  <c r="DB80" i="8610" s="1"/>
  <c r="AP80" i="8610"/>
  <c r="AK81" i="8610"/>
  <c r="AL81" i="8610"/>
  <c r="AM81" i="8610"/>
  <c r="AN81" i="8610"/>
  <c r="AO81" i="8610"/>
  <c r="DH81" i="8610" s="1"/>
  <c r="AP81" i="8610"/>
  <c r="AQ81" i="8610"/>
  <c r="BJ81" i="8610"/>
  <c r="AK82" i="8610"/>
  <c r="AL82" i="8610"/>
  <c r="AM82" i="8610"/>
  <c r="BN82" i="8610" s="1"/>
  <c r="AN82" i="8610"/>
  <c r="AO82" i="8610"/>
  <c r="AP82" i="8610"/>
  <c r="AS82" i="8610"/>
  <c r="AT82" i="8610"/>
  <c r="AV82" i="8610"/>
  <c r="AY82" i="8610"/>
  <c r="AZ82" i="8610"/>
  <c r="BJ82" i="8610"/>
  <c r="BM82" i="8610"/>
  <c r="AK83" i="8610"/>
  <c r="AL83" i="8610"/>
  <c r="AM83" i="8610"/>
  <c r="AV83" i="8610" s="1"/>
  <c r="AN83" i="8610"/>
  <c r="AO83" i="8610"/>
  <c r="DE83" i="8610" s="1"/>
  <c r="AP83" i="8610"/>
  <c r="AK84" i="8610"/>
  <c r="AL84" i="8610"/>
  <c r="AM84" i="8610"/>
  <c r="AN84" i="8610"/>
  <c r="BY84" i="8610" s="1"/>
  <c r="AO84" i="8610"/>
  <c r="DB84" i="8610" s="1"/>
  <c r="AP84" i="8610"/>
  <c r="AV84" i="8610"/>
  <c r="AY84" i="8610"/>
  <c r="AZ84" i="8610"/>
  <c r="BJ84" i="8610"/>
  <c r="CY84" i="8610"/>
  <c r="DF84" i="8610"/>
  <c r="DU84" i="8610"/>
  <c r="AK85" i="8610"/>
  <c r="AL85" i="8610"/>
  <c r="AM85" i="8610"/>
  <c r="AS85" i="8610" s="1"/>
  <c r="AN85" i="8610"/>
  <c r="CD85" i="8610" s="1"/>
  <c r="AO85" i="8610"/>
  <c r="DH85" i="8610" s="1"/>
  <c r="AP85" i="8610"/>
  <c r="BJ85" i="8610"/>
  <c r="AK86" i="8610"/>
  <c r="AL86" i="8610"/>
  <c r="AM86" i="8610"/>
  <c r="AN86" i="8610"/>
  <c r="BY86" i="8610" s="1"/>
  <c r="AO86" i="8610"/>
  <c r="AP86" i="8610"/>
  <c r="AK87" i="8610"/>
  <c r="AL87" i="8610"/>
  <c r="AM87" i="8610"/>
  <c r="AN87" i="8610"/>
  <c r="BX87" i="8610" s="1"/>
  <c r="AO87" i="8610"/>
  <c r="DE87" i="8610" s="1"/>
  <c r="AP87" i="8610"/>
  <c r="AS87" i="8610"/>
  <c r="DF87" i="8610"/>
  <c r="DL87" i="8610"/>
  <c r="AK88" i="8610"/>
  <c r="AL88" i="8610"/>
  <c r="AM88" i="8610"/>
  <c r="AN88" i="8610"/>
  <c r="AO88" i="8610"/>
  <c r="DB88" i="8610" s="1"/>
  <c r="AP88" i="8610"/>
  <c r="AK89" i="8610"/>
  <c r="AL89" i="8610"/>
  <c r="AM89" i="8610"/>
  <c r="AN89" i="8610"/>
  <c r="CD89" i="8610" s="1"/>
  <c r="AO89" i="8610"/>
  <c r="DH89" i="8610" s="1"/>
  <c r="AP89" i="8610"/>
  <c r="AV89" i="8610"/>
  <c r="AW89" i="8610"/>
  <c r="BJ89" i="8610"/>
  <c r="AK90" i="8610"/>
  <c r="AL90" i="8610"/>
  <c r="AM90" i="8610"/>
  <c r="AN90" i="8610"/>
  <c r="CA90" i="8610" s="1"/>
  <c r="AO90" i="8610"/>
  <c r="DK90" i="8610" s="1"/>
  <c r="AP90" i="8610"/>
  <c r="AY90" i="8610"/>
  <c r="AZ90" i="8610"/>
  <c r="BJ90" i="8610"/>
  <c r="BN90" i="8610"/>
  <c r="AK91" i="8610"/>
  <c r="AL91" i="8610"/>
  <c r="AM91" i="8610"/>
  <c r="BM91" i="8610" s="1"/>
  <c r="AN91" i="8610"/>
  <c r="BV91" i="8610" s="1"/>
  <c r="AO91" i="8610"/>
  <c r="DE91" i="8610" s="1"/>
  <c r="AP91" i="8610"/>
  <c r="AQ91" i="8610"/>
  <c r="AK92" i="8610"/>
  <c r="AL92" i="8610"/>
  <c r="AM92" i="8610"/>
  <c r="AN92" i="8610"/>
  <c r="AO92" i="8610"/>
  <c r="AP92" i="8610"/>
  <c r="AT92" i="8610"/>
  <c r="AZ92" i="8610"/>
  <c r="BJ92" i="8610"/>
  <c r="AK93" i="8610"/>
  <c r="AL93" i="8610"/>
  <c r="AM93" i="8610"/>
  <c r="AS93" i="8610" s="1"/>
  <c r="AN93" i="8610"/>
  <c r="CC93" i="8610" s="1"/>
  <c r="AO93" i="8610"/>
  <c r="CZ93" i="8610" s="1"/>
  <c r="AP93" i="8610"/>
  <c r="AZ93" i="8610"/>
  <c r="BJ93" i="8610"/>
  <c r="BK93" i="8610"/>
  <c r="BP93" i="8610"/>
  <c r="BQ93" i="8610"/>
  <c r="AK94" i="8610"/>
  <c r="AL94" i="8610"/>
  <c r="AM94" i="8610"/>
  <c r="AN94" i="8610"/>
  <c r="AO94" i="8610"/>
  <c r="DH94" i="8610" s="1"/>
  <c r="AP94" i="8610"/>
  <c r="AZ94" i="8610"/>
  <c r="BJ94" i="8610"/>
  <c r="BN94" i="8610"/>
  <c r="BO94" i="8610"/>
  <c r="DF94" i="8610"/>
  <c r="DK94" i="8610"/>
  <c r="AK95" i="8610"/>
  <c r="AL95" i="8610"/>
  <c r="AM95" i="8610"/>
  <c r="AW95" i="8610" s="1"/>
  <c r="AN95" i="8610"/>
  <c r="CB95" i="8610" s="1"/>
  <c r="AO95" i="8610"/>
  <c r="DE95" i="8610" s="1"/>
  <c r="AP95" i="8610"/>
  <c r="AK96" i="8610"/>
  <c r="AL96" i="8610"/>
  <c r="AM96" i="8610"/>
  <c r="AQ96" i="8610" s="1"/>
  <c r="AN96" i="8610"/>
  <c r="AO96" i="8610"/>
  <c r="DF96" i="8610" s="1"/>
  <c r="AP96" i="8610"/>
  <c r="AV96" i="8610"/>
  <c r="BU96" i="8610"/>
  <c r="AK97" i="8610"/>
  <c r="AL97" i="8610"/>
  <c r="AM97" i="8610"/>
  <c r="AN97" i="8610"/>
  <c r="AO97" i="8610"/>
  <c r="AP97" i="8610"/>
  <c r="AQ97" i="8610"/>
  <c r="AS97" i="8610"/>
  <c r="AK98" i="8610"/>
  <c r="AL98" i="8610"/>
  <c r="AM98" i="8610"/>
  <c r="AR98" i="8610" s="1"/>
  <c r="AN98" i="8610"/>
  <c r="BY98" i="8610" s="1"/>
  <c r="AO98" i="8610"/>
  <c r="AP98" i="8610"/>
  <c r="AK99" i="8610"/>
  <c r="AL99" i="8610"/>
  <c r="AM99" i="8610"/>
  <c r="AS99" i="8610" s="1"/>
  <c r="AN99" i="8610"/>
  <c r="CA99" i="8610" s="1"/>
  <c r="AO99" i="8610"/>
  <c r="DT99" i="8610" s="1"/>
  <c r="AP99" i="8610"/>
  <c r="FI5" i="8610"/>
  <c r="FH5" i="8610"/>
  <c r="EQ5" i="8610"/>
  <c r="EO5" i="8610"/>
  <c r="BN5" i="8610"/>
  <c r="BM5" i="8610"/>
  <c r="BJ5" i="8610"/>
  <c r="AZ5" i="8610"/>
  <c r="AX5" i="8610"/>
  <c r="AW5" i="8610"/>
  <c r="AV5" i="8610"/>
  <c r="AU5" i="8610"/>
  <c r="AP5" i="8610"/>
  <c r="AO5" i="8610"/>
  <c r="DE5" i="8610" s="1"/>
  <c r="AN5" i="8610"/>
  <c r="BW5" i="8610" s="1"/>
  <c r="AM5" i="8610"/>
  <c r="BK5" i="8610" s="1"/>
  <c r="BL5" i="8610" s="1"/>
  <c r="AL5" i="8610"/>
  <c r="AK5" i="8610"/>
  <c r="AK6" i="8609"/>
  <c r="AL6" i="8609"/>
  <c r="AM6" i="8609"/>
  <c r="BK6" i="8609" s="1"/>
  <c r="AN6" i="8609"/>
  <c r="CC6" i="8609" s="1"/>
  <c r="AO6" i="8609"/>
  <c r="DI6" i="8609" s="1"/>
  <c r="AP6" i="8609"/>
  <c r="AR6" i="8609"/>
  <c r="AW6" i="8609"/>
  <c r="AX6" i="8609"/>
  <c r="AY6" i="8609"/>
  <c r="BJ6" i="8609"/>
  <c r="BO6" i="8609"/>
  <c r="AK7" i="8609"/>
  <c r="AL7" i="8609"/>
  <c r="AM7" i="8609"/>
  <c r="BJ7" i="8609" s="1"/>
  <c r="AN7" i="8609"/>
  <c r="CH7" i="8609" s="1"/>
  <c r="AO7" i="8609"/>
  <c r="DH7" i="8609" s="1"/>
  <c r="AP7" i="8609"/>
  <c r="AS7" i="8609"/>
  <c r="AU7" i="8609"/>
  <c r="AV7" i="8609"/>
  <c r="AX7" i="8609"/>
  <c r="AY7" i="8609"/>
  <c r="AZ7" i="8609"/>
  <c r="BK7" i="8609"/>
  <c r="BL7" i="8609" s="1"/>
  <c r="BN7" i="8609"/>
  <c r="BP7" i="8609"/>
  <c r="BU7" i="8609"/>
  <c r="AK8" i="8609"/>
  <c r="AL8" i="8609"/>
  <c r="AM8" i="8609"/>
  <c r="AV8" i="8609" s="1"/>
  <c r="AN8" i="8609"/>
  <c r="BP8" i="8609" s="1"/>
  <c r="AO8" i="8609"/>
  <c r="DI8" i="8609" s="1"/>
  <c r="AP8" i="8609"/>
  <c r="AQ8" i="8609"/>
  <c r="AR8" i="8609"/>
  <c r="AS8" i="8609"/>
  <c r="AT8" i="8609"/>
  <c r="AU8" i="8609"/>
  <c r="AW8" i="8609"/>
  <c r="AX8" i="8609"/>
  <c r="AY8" i="8609"/>
  <c r="AZ8" i="8609"/>
  <c r="BJ8" i="8609"/>
  <c r="BK8" i="8609"/>
  <c r="BL8" i="8609" s="1"/>
  <c r="BM8" i="8609"/>
  <c r="BN8" i="8609"/>
  <c r="BO8" i="8609"/>
  <c r="BU8" i="8609"/>
  <c r="CA8" i="8609"/>
  <c r="AK9" i="8609"/>
  <c r="AT9" i="8609" s="1"/>
  <c r="AL9" i="8609"/>
  <c r="AM9" i="8609"/>
  <c r="AN9" i="8609"/>
  <c r="CP9" i="8609" s="1"/>
  <c r="AO9" i="8609"/>
  <c r="DI9" i="8609" s="1"/>
  <c r="AP9" i="8609"/>
  <c r="AQ9" i="8609"/>
  <c r="AR9" i="8609"/>
  <c r="AS9" i="8609"/>
  <c r="AU9" i="8609"/>
  <c r="AV9" i="8609"/>
  <c r="AW9" i="8609"/>
  <c r="AX9" i="8609"/>
  <c r="AY9" i="8609"/>
  <c r="AZ9" i="8609"/>
  <c r="BJ9" i="8609"/>
  <c r="BK9" i="8609"/>
  <c r="BL9" i="8609" s="1"/>
  <c r="BM9" i="8609"/>
  <c r="BN9" i="8609"/>
  <c r="BO9" i="8609"/>
  <c r="BU9" i="8609"/>
  <c r="AK10" i="8609"/>
  <c r="AL10" i="8609"/>
  <c r="AM10" i="8609"/>
  <c r="AN10" i="8609"/>
  <c r="BV10" i="8609" s="1"/>
  <c r="AO10" i="8609"/>
  <c r="CZ10" i="8609" s="1"/>
  <c r="AP10" i="8609"/>
  <c r="AR10" i="8609"/>
  <c r="AV10" i="8609"/>
  <c r="AW10" i="8609"/>
  <c r="AX10" i="8609"/>
  <c r="AY10" i="8609"/>
  <c r="AZ10" i="8609"/>
  <c r="BK10" i="8609"/>
  <c r="BL10" i="8609" s="1"/>
  <c r="BU10" i="8609"/>
  <c r="AK11" i="8609"/>
  <c r="AL11" i="8609"/>
  <c r="AM11" i="8609"/>
  <c r="BJ11" i="8609" s="1"/>
  <c r="AN11" i="8609"/>
  <c r="BY11" i="8609" s="1"/>
  <c r="AO11" i="8609"/>
  <c r="CZ11" i="8609" s="1"/>
  <c r="AP11" i="8609"/>
  <c r="AQ11" i="8609"/>
  <c r="AU11" i="8609"/>
  <c r="AY11" i="8609"/>
  <c r="AZ11" i="8609"/>
  <c r="BK11" i="8609"/>
  <c r="BO11" i="8609"/>
  <c r="AK12" i="8609"/>
  <c r="AL12" i="8609"/>
  <c r="AM12" i="8609"/>
  <c r="AV12" i="8609" s="1"/>
  <c r="AN12" i="8609"/>
  <c r="BP12" i="8609" s="1"/>
  <c r="AO12" i="8609"/>
  <c r="DI12" i="8609" s="1"/>
  <c r="AP12" i="8609"/>
  <c r="AQ12" i="8609"/>
  <c r="AR12" i="8609"/>
  <c r="AS12" i="8609"/>
  <c r="AT12" i="8609"/>
  <c r="AU12" i="8609"/>
  <c r="AW12" i="8609"/>
  <c r="AX12" i="8609"/>
  <c r="AY12" i="8609"/>
  <c r="AZ12" i="8609"/>
  <c r="BJ12" i="8609"/>
  <c r="BK12" i="8609"/>
  <c r="BL12" i="8609"/>
  <c r="BM12" i="8609"/>
  <c r="BN12" i="8609"/>
  <c r="BO12" i="8609"/>
  <c r="BU12" i="8609"/>
  <c r="AK13" i="8609"/>
  <c r="AT13" i="8609" s="1"/>
  <c r="AL13" i="8609"/>
  <c r="AM13" i="8609"/>
  <c r="AN13" i="8609"/>
  <c r="BP13" i="8609" s="1"/>
  <c r="AO13" i="8609"/>
  <c r="DI13" i="8609" s="1"/>
  <c r="AP13" i="8609"/>
  <c r="AQ13" i="8609"/>
  <c r="AR13" i="8609"/>
  <c r="AS13" i="8609"/>
  <c r="AU13" i="8609"/>
  <c r="AV13" i="8609"/>
  <c r="AW13" i="8609"/>
  <c r="AX13" i="8609"/>
  <c r="AY13" i="8609"/>
  <c r="AZ13" i="8609"/>
  <c r="BJ13" i="8609"/>
  <c r="BK13" i="8609"/>
  <c r="BL13" i="8609" s="1"/>
  <c r="BM13" i="8609"/>
  <c r="BN13" i="8609"/>
  <c r="BO13" i="8609"/>
  <c r="BU13" i="8609"/>
  <c r="AK14" i="8609"/>
  <c r="AL14" i="8609"/>
  <c r="AM14" i="8609"/>
  <c r="AN14" i="8609"/>
  <c r="BV14" i="8609" s="1"/>
  <c r="AO14" i="8609"/>
  <c r="CZ14" i="8609" s="1"/>
  <c r="AP14" i="8609"/>
  <c r="AQ14" i="8609"/>
  <c r="AR14" i="8609"/>
  <c r="AV14" i="8609"/>
  <c r="AW14" i="8609"/>
  <c r="AX14" i="8609"/>
  <c r="AY14" i="8609"/>
  <c r="AZ14" i="8609"/>
  <c r="BK14" i="8609"/>
  <c r="BL14" i="8609" s="1"/>
  <c r="BU14" i="8609"/>
  <c r="CA14" i="8609"/>
  <c r="DL14" i="8609"/>
  <c r="AK15" i="8609"/>
  <c r="AL15" i="8609"/>
  <c r="AM15" i="8609"/>
  <c r="BJ15" i="8609" s="1"/>
  <c r="AN15" i="8609"/>
  <c r="BY15" i="8609" s="1"/>
  <c r="AO15" i="8609"/>
  <c r="CZ15" i="8609" s="1"/>
  <c r="AP15" i="8609"/>
  <c r="AQ15" i="8609"/>
  <c r="AU15" i="8609"/>
  <c r="AY15" i="8609"/>
  <c r="AZ15" i="8609"/>
  <c r="BA15" i="8609"/>
  <c r="BK15" i="8609"/>
  <c r="BO15" i="8609"/>
  <c r="EA15" i="8609"/>
  <c r="AK16" i="8609"/>
  <c r="AL16" i="8609"/>
  <c r="AM16" i="8609"/>
  <c r="AV16" i="8609" s="1"/>
  <c r="AN16" i="8609"/>
  <c r="BP16" i="8609" s="1"/>
  <c r="AO16" i="8609"/>
  <c r="DI16" i="8609" s="1"/>
  <c r="AP16" i="8609"/>
  <c r="AQ16" i="8609"/>
  <c r="AR16" i="8609"/>
  <c r="AS16" i="8609"/>
  <c r="AT16" i="8609"/>
  <c r="AU16" i="8609"/>
  <c r="AW16" i="8609"/>
  <c r="AX16" i="8609"/>
  <c r="AY16" i="8609"/>
  <c r="AZ16" i="8609"/>
  <c r="BJ16" i="8609"/>
  <c r="BK16" i="8609"/>
  <c r="BL16" i="8609" s="1"/>
  <c r="BM16" i="8609"/>
  <c r="BN16" i="8609"/>
  <c r="BO16" i="8609"/>
  <c r="BU16" i="8609"/>
  <c r="BY16" i="8609"/>
  <c r="BZ16" i="8609"/>
  <c r="CA16" i="8609"/>
  <c r="CD16" i="8609"/>
  <c r="CH16" i="8609"/>
  <c r="AK17" i="8609"/>
  <c r="AT17" i="8609" s="1"/>
  <c r="AL17" i="8609"/>
  <c r="AM17" i="8609"/>
  <c r="AN17" i="8609"/>
  <c r="CP17" i="8609" s="1"/>
  <c r="AO17" i="8609"/>
  <c r="DI17" i="8609" s="1"/>
  <c r="AP17" i="8609"/>
  <c r="AQ17" i="8609"/>
  <c r="AR17" i="8609"/>
  <c r="AS17" i="8609"/>
  <c r="AU17" i="8609"/>
  <c r="AV17" i="8609"/>
  <c r="AW17" i="8609"/>
  <c r="AX17" i="8609"/>
  <c r="AY17" i="8609"/>
  <c r="AZ17" i="8609"/>
  <c r="BJ17" i="8609"/>
  <c r="BK17" i="8609"/>
  <c r="BL17" i="8609" s="1"/>
  <c r="BM17" i="8609"/>
  <c r="BN17" i="8609"/>
  <c r="BO17" i="8609"/>
  <c r="BU17" i="8609"/>
  <c r="CD17" i="8609"/>
  <c r="CE17" i="8609"/>
  <c r="CH17" i="8609"/>
  <c r="CW17" i="8609"/>
  <c r="CY17" i="8609"/>
  <c r="AK18" i="8609"/>
  <c r="AL18" i="8609"/>
  <c r="AM18" i="8609"/>
  <c r="BA18" i="8609" s="1"/>
  <c r="AN18" i="8609"/>
  <c r="BV18" i="8609" s="1"/>
  <c r="AO18" i="8609"/>
  <c r="CZ18" i="8609" s="1"/>
  <c r="AP18" i="8609"/>
  <c r="AR18" i="8609"/>
  <c r="AV18" i="8609"/>
  <c r="AW18" i="8609"/>
  <c r="AX18" i="8609"/>
  <c r="AY18" i="8609"/>
  <c r="AZ18" i="8609"/>
  <c r="BL18" i="8609"/>
  <c r="BU18" i="8609"/>
  <c r="DJ18" i="8609"/>
  <c r="AK19" i="8609"/>
  <c r="AL19" i="8609"/>
  <c r="AM19" i="8609"/>
  <c r="BJ19" i="8609" s="1"/>
  <c r="AN19" i="8609"/>
  <c r="BY19" i="8609" s="1"/>
  <c r="AO19" i="8609"/>
  <c r="CZ19" i="8609" s="1"/>
  <c r="AP19" i="8609"/>
  <c r="AQ19" i="8609"/>
  <c r="AU19" i="8609"/>
  <c r="AY19" i="8609"/>
  <c r="AZ19" i="8609"/>
  <c r="BK19" i="8609"/>
  <c r="BO19" i="8609"/>
  <c r="AK20" i="8609"/>
  <c r="AL20" i="8609"/>
  <c r="AM20" i="8609"/>
  <c r="AV20" i="8609" s="1"/>
  <c r="AN20" i="8609"/>
  <c r="BP20" i="8609" s="1"/>
  <c r="AO20" i="8609"/>
  <c r="DI20" i="8609" s="1"/>
  <c r="AP20" i="8609"/>
  <c r="AQ20" i="8609"/>
  <c r="AR20" i="8609"/>
  <c r="AS20" i="8609"/>
  <c r="AT20" i="8609"/>
  <c r="AU20" i="8609"/>
  <c r="AW20" i="8609"/>
  <c r="AX20" i="8609"/>
  <c r="AY20" i="8609"/>
  <c r="AZ20" i="8609"/>
  <c r="BJ20" i="8609"/>
  <c r="BK20" i="8609"/>
  <c r="BL20" i="8609" s="1"/>
  <c r="BM20" i="8609"/>
  <c r="BN20" i="8609"/>
  <c r="BO20" i="8609"/>
  <c r="BU20" i="8609"/>
  <c r="AK21" i="8609"/>
  <c r="AL21" i="8609"/>
  <c r="AM21" i="8609"/>
  <c r="AN21" i="8609"/>
  <c r="BV21" i="8609" s="1"/>
  <c r="AO21" i="8609"/>
  <c r="DI21" i="8609" s="1"/>
  <c r="AP21" i="8609"/>
  <c r="AQ21" i="8609"/>
  <c r="AR21" i="8609"/>
  <c r="AS21" i="8609"/>
  <c r="AT21" i="8609"/>
  <c r="AU21" i="8609"/>
  <c r="AV21" i="8609"/>
  <c r="AW21" i="8609"/>
  <c r="AX21" i="8609"/>
  <c r="AY21" i="8609"/>
  <c r="AZ21" i="8609"/>
  <c r="BA21" i="8609"/>
  <c r="BJ21" i="8609"/>
  <c r="BK21" i="8609"/>
  <c r="BL21" i="8609"/>
  <c r="BM21" i="8609"/>
  <c r="BN21" i="8609"/>
  <c r="BO21" i="8609"/>
  <c r="BU21" i="8609"/>
  <c r="AK22" i="8609"/>
  <c r="AL22" i="8609"/>
  <c r="AM22" i="8609"/>
  <c r="BA22" i="8609" s="1"/>
  <c r="AN22" i="8609"/>
  <c r="BV22" i="8609" s="1"/>
  <c r="AO22" i="8609"/>
  <c r="CZ22" i="8609" s="1"/>
  <c r="AP22" i="8609"/>
  <c r="AR22" i="8609"/>
  <c r="AV22" i="8609"/>
  <c r="AW22" i="8609"/>
  <c r="AX22" i="8609"/>
  <c r="AY22" i="8609"/>
  <c r="AZ22" i="8609"/>
  <c r="BL22" i="8609"/>
  <c r="BU22" i="8609"/>
  <c r="AK23" i="8609"/>
  <c r="AL23" i="8609"/>
  <c r="AM23" i="8609"/>
  <c r="BJ23" i="8609" s="1"/>
  <c r="AN23" i="8609"/>
  <c r="BY23" i="8609" s="1"/>
  <c r="AO23" i="8609"/>
  <c r="CZ23" i="8609" s="1"/>
  <c r="AP23" i="8609"/>
  <c r="AQ23" i="8609"/>
  <c r="AU23" i="8609"/>
  <c r="AY23" i="8609"/>
  <c r="AZ23" i="8609"/>
  <c r="BK23" i="8609"/>
  <c r="BO23" i="8609"/>
  <c r="AK24" i="8609"/>
  <c r="AL24" i="8609"/>
  <c r="AM24" i="8609"/>
  <c r="AV24" i="8609" s="1"/>
  <c r="AN24" i="8609"/>
  <c r="BP24" i="8609" s="1"/>
  <c r="AO24" i="8609"/>
  <c r="DI24" i="8609" s="1"/>
  <c r="AP24" i="8609"/>
  <c r="AQ24" i="8609"/>
  <c r="AR24" i="8609"/>
  <c r="AS24" i="8609"/>
  <c r="AT24" i="8609"/>
  <c r="AU24" i="8609"/>
  <c r="AW24" i="8609"/>
  <c r="AX24" i="8609"/>
  <c r="AY24" i="8609"/>
  <c r="AZ24" i="8609"/>
  <c r="BA24" i="8609"/>
  <c r="BJ24" i="8609"/>
  <c r="BK24" i="8609"/>
  <c r="BL24" i="8609"/>
  <c r="BM24" i="8609"/>
  <c r="BN24" i="8609"/>
  <c r="BO24" i="8609"/>
  <c r="BU24" i="8609"/>
  <c r="AK25" i="8609"/>
  <c r="AT25" i="8609" s="1"/>
  <c r="AL25" i="8609"/>
  <c r="AM25" i="8609"/>
  <c r="AN25" i="8609"/>
  <c r="BV25" i="8609" s="1"/>
  <c r="AO25" i="8609"/>
  <c r="DI25" i="8609" s="1"/>
  <c r="AP25" i="8609"/>
  <c r="AQ25" i="8609"/>
  <c r="AR25" i="8609"/>
  <c r="AS25" i="8609"/>
  <c r="AU25" i="8609"/>
  <c r="AV25" i="8609"/>
  <c r="AW25" i="8609"/>
  <c r="AX25" i="8609"/>
  <c r="AY25" i="8609"/>
  <c r="AZ25" i="8609"/>
  <c r="BJ25" i="8609"/>
  <c r="BK25" i="8609"/>
  <c r="BL25" i="8609" s="1"/>
  <c r="BM25" i="8609"/>
  <c r="BN25" i="8609"/>
  <c r="BO25" i="8609"/>
  <c r="BU25" i="8609"/>
  <c r="FI5" i="8609"/>
  <c r="FH5" i="8609"/>
  <c r="BU5" i="8609"/>
  <c r="BN5" i="8609"/>
  <c r="BM5" i="8609"/>
  <c r="BK5" i="8609"/>
  <c r="BL5" i="8609" s="1"/>
  <c r="BJ5" i="8609"/>
  <c r="BA5" i="8609"/>
  <c r="AX5" i="8609"/>
  <c r="AT5" i="8609"/>
  <c r="AS5" i="8609"/>
  <c r="AR5" i="8609"/>
  <c r="AQ5" i="8609"/>
  <c r="AP5" i="8609"/>
  <c r="AO5" i="8609"/>
  <c r="EA5" i="8609" s="1"/>
  <c r="AN5" i="8609"/>
  <c r="CD5" i="8609" s="1"/>
  <c r="AM5" i="8609"/>
  <c r="AZ5" i="8609" s="1"/>
  <c r="AL5" i="8609"/>
  <c r="AK5" i="8609"/>
  <c r="AK6" i="8608"/>
  <c r="AL6" i="8608"/>
  <c r="AM6" i="8608"/>
  <c r="AR6" i="8608" s="1"/>
  <c r="AN6" i="8608"/>
  <c r="BY6" i="8608" s="1"/>
  <c r="AO6" i="8608"/>
  <c r="CZ6" i="8608" s="1"/>
  <c r="AP6" i="8608"/>
  <c r="AQ6" i="8608"/>
  <c r="AU6" i="8608"/>
  <c r="AY6" i="8608"/>
  <c r="AZ6" i="8608"/>
  <c r="BJ6" i="8608"/>
  <c r="BK6" i="8608"/>
  <c r="BO6" i="8608"/>
  <c r="AK7" i="8608"/>
  <c r="AL7" i="8608"/>
  <c r="AM7" i="8608"/>
  <c r="AV7" i="8608" s="1"/>
  <c r="AN7" i="8608"/>
  <c r="BP7" i="8608" s="1"/>
  <c r="AO7" i="8608"/>
  <c r="DI7" i="8608" s="1"/>
  <c r="AP7" i="8608"/>
  <c r="AQ7" i="8608"/>
  <c r="AR7" i="8608"/>
  <c r="AS7" i="8608"/>
  <c r="AT7" i="8608"/>
  <c r="AU7" i="8608"/>
  <c r="AW7" i="8608"/>
  <c r="AX7" i="8608"/>
  <c r="AY7" i="8608"/>
  <c r="AZ7" i="8608"/>
  <c r="BJ7" i="8608"/>
  <c r="BK7" i="8608"/>
  <c r="BL7" i="8608" s="1"/>
  <c r="BM7" i="8608"/>
  <c r="BN7" i="8608"/>
  <c r="BO7" i="8608"/>
  <c r="BU7" i="8608"/>
  <c r="AK8" i="8608"/>
  <c r="AT8" i="8608" s="1"/>
  <c r="AL8" i="8608"/>
  <c r="AM8" i="8608"/>
  <c r="AN8" i="8608"/>
  <c r="BV8" i="8608" s="1"/>
  <c r="AO8" i="8608"/>
  <c r="DI8" i="8608" s="1"/>
  <c r="AP8" i="8608"/>
  <c r="AQ8" i="8608"/>
  <c r="AR8" i="8608"/>
  <c r="AS8" i="8608"/>
  <c r="AU8" i="8608"/>
  <c r="AV8" i="8608"/>
  <c r="AW8" i="8608"/>
  <c r="AX8" i="8608"/>
  <c r="AY8" i="8608"/>
  <c r="AZ8" i="8608"/>
  <c r="BA8" i="8608"/>
  <c r="BJ8" i="8608"/>
  <c r="BK8" i="8608"/>
  <c r="BL8" i="8608" s="1"/>
  <c r="BM8" i="8608"/>
  <c r="BN8" i="8608"/>
  <c r="BO8" i="8608"/>
  <c r="BU8" i="8608"/>
  <c r="AK9" i="8608"/>
  <c r="AL9" i="8608"/>
  <c r="AM9" i="8608"/>
  <c r="AN9" i="8608"/>
  <c r="AO9" i="8608"/>
  <c r="CZ9" i="8608" s="1"/>
  <c r="AP9" i="8608"/>
  <c r="AR9" i="8608"/>
  <c r="AW9" i="8608"/>
  <c r="AX9" i="8608"/>
  <c r="AY9" i="8608"/>
  <c r="AZ9" i="8608"/>
  <c r="BU9" i="8608"/>
  <c r="FI5" i="8608"/>
  <c r="FH5" i="8608"/>
  <c r="EX5" i="8608"/>
  <c r="EV5" i="8608"/>
  <c r="ER5" i="8608"/>
  <c r="EL5" i="8608"/>
  <c r="EJ5" i="8608"/>
  <c r="EF5" i="8608"/>
  <c r="AP5" i="8608"/>
  <c r="EW5" i="8608" s="1"/>
  <c r="AO5" i="8608"/>
  <c r="DL5" i="8608" s="1"/>
  <c r="AN5" i="8608"/>
  <c r="CW5" i="8608" s="1"/>
  <c r="AM5" i="8608"/>
  <c r="AL5" i="8608"/>
  <c r="AK5" i="8608"/>
  <c r="AJ11" i="88"/>
  <c r="AI11" i="88"/>
  <c r="AH11" i="88"/>
  <c r="AH15" i="88"/>
  <c r="AI15" i="88"/>
  <c r="AJ15" i="88"/>
  <c r="AH16" i="88"/>
  <c r="AI16" i="88"/>
  <c r="AJ16" i="88"/>
  <c r="AH17" i="88"/>
  <c r="AI17" i="88"/>
  <c r="AJ17" i="88"/>
  <c r="AH18" i="88"/>
  <c r="AI18" i="88"/>
  <c r="AJ18" i="88"/>
  <c r="AH19" i="88"/>
  <c r="AI19" i="88"/>
  <c r="AJ19" i="88"/>
  <c r="AH20" i="88"/>
  <c r="AI20" i="88"/>
  <c r="AJ20" i="88"/>
  <c r="AH21" i="88"/>
  <c r="AI21" i="88"/>
  <c r="AJ21" i="88"/>
  <c r="AH22" i="88"/>
  <c r="AI22" i="88"/>
  <c r="AJ22" i="88"/>
  <c r="AH23" i="88"/>
  <c r="AI23" i="88"/>
  <c r="AJ23" i="88"/>
  <c r="AH24" i="88"/>
  <c r="AI24" i="88"/>
  <c r="AJ24" i="88"/>
  <c r="AH25" i="88"/>
  <c r="AI25" i="88"/>
  <c r="AJ25" i="88"/>
  <c r="BU5" i="487"/>
  <c r="AZ5" i="487"/>
  <c r="AY5" i="487"/>
  <c r="AX5" i="487"/>
  <c r="AW5" i="487"/>
  <c r="AV5" i="487"/>
  <c r="AU5" i="487"/>
  <c r="AT5" i="487"/>
  <c r="AR5" i="487"/>
  <c r="AM5" i="487"/>
  <c r="AL5" i="487"/>
  <c r="AK5" i="487"/>
  <c r="AJ30" i="88"/>
  <c r="AI30" i="88"/>
  <c r="AH30" i="88"/>
  <c r="AJ29" i="88"/>
  <c r="AI29" i="88"/>
  <c r="AH29" i="88"/>
  <c r="AJ28" i="88"/>
  <c r="AI28" i="88"/>
  <c r="AH28" i="88"/>
  <c r="AJ27" i="88"/>
  <c r="AI27" i="88"/>
  <c r="AH27" i="88"/>
  <c r="AJ26" i="88"/>
  <c r="AI26" i="88"/>
  <c r="AH26" i="88"/>
  <c r="AJ14" i="88"/>
  <c r="AI14" i="88"/>
  <c r="AH14" i="88"/>
  <c r="AJ13" i="88"/>
  <c r="AI13" i="88"/>
  <c r="AH13" i="88"/>
  <c r="AJ12" i="88"/>
  <c r="AI12" i="88"/>
  <c r="AH12" i="88"/>
  <c r="AJ10" i="88"/>
  <c r="AI10" i="88"/>
  <c r="AH10" i="88"/>
  <c r="AJ9" i="88"/>
  <c r="AI9" i="88"/>
  <c r="AH9" i="88"/>
  <c r="AJ8" i="88"/>
  <c r="AI8" i="88"/>
  <c r="AH8" i="88"/>
  <c r="AM6" i="88"/>
  <c r="AL6" i="88"/>
  <c r="AK6" i="88"/>
  <c r="AJ6" i="88"/>
  <c r="AI6" i="88"/>
  <c r="AH6" i="88"/>
  <c r="AG6" i="88"/>
  <c r="AF6" i="88"/>
  <c r="AE6" i="88"/>
  <c r="AD6" i="88"/>
  <c r="AC6" i="88"/>
  <c r="AB6" i="88"/>
  <c r="AA6" i="88"/>
  <c r="Z6" i="88"/>
  <c r="Y6" i="88"/>
  <c r="X6" i="88"/>
  <c r="W6" i="88"/>
  <c r="V6" i="88"/>
  <c r="U6" i="88"/>
  <c r="T6" i="88"/>
  <c r="S6" i="88"/>
  <c r="R6" i="88"/>
  <c r="Q6" i="88"/>
  <c r="P6" i="88"/>
  <c r="O6" i="88"/>
  <c r="N6" i="88"/>
  <c r="M6" i="88"/>
  <c r="L6" i="88"/>
  <c r="K6" i="88"/>
  <c r="J6" i="88"/>
  <c r="I6" i="88"/>
  <c r="L4" i="88"/>
  <c r="F4" i="88"/>
  <c r="E4" i="88"/>
  <c r="D4" i="88"/>
  <c r="C4" i="88"/>
  <c r="B4" i="88"/>
  <c r="A4" i="88"/>
  <c r="E1" i="88"/>
  <c r="D1" i="88"/>
  <c r="C1" i="88"/>
  <c r="B1" i="88"/>
  <c r="A1" i="88"/>
  <c r="B15" i="5"/>
  <c r="BA53" i="8610" s="1"/>
  <c r="B14" i="5" a="1"/>
  <c r="B14" i="5" s="1"/>
  <c r="BX71" i="8610" l="1"/>
  <c r="BA63" i="8610"/>
  <c r="BA67" i="8610"/>
  <c r="BA7" i="8610"/>
  <c r="CE92" i="8610"/>
  <c r="BA10" i="8609"/>
  <c r="BA6" i="8609"/>
  <c r="BA19" i="8609"/>
  <c r="BA23" i="8610"/>
  <c r="BA12" i="8614"/>
  <c r="BA7" i="8609"/>
  <c r="BA93" i="8610"/>
  <c r="BA13" i="8610"/>
  <c r="BA6" i="8610"/>
  <c r="BA17" i="8609"/>
  <c r="BA20" i="8610"/>
  <c r="BA15" i="8610"/>
  <c r="BA7" i="8614"/>
  <c r="BA70" i="8610"/>
  <c r="BA14" i="8610"/>
  <c r="BA8" i="8614"/>
  <c r="BA6" i="8614"/>
  <c r="BA7" i="8608"/>
  <c r="BA23" i="8609"/>
  <c r="BA29" i="8610"/>
  <c r="BA15" i="8614"/>
  <c r="BA14" i="8614"/>
  <c r="BA13" i="8614"/>
  <c r="BA9" i="8609"/>
  <c r="BA50" i="8610"/>
  <c r="CE26" i="8610"/>
  <c r="BA14" i="8609"/>
  <c r="BX83" i="8610"/>
  <c r="BA33" i="8610"/>
  <c r="BA5" i="487"/>
  <c r="BX79" i="8610"/>
  <c r="CE12" i="8610"/>
  <c r="BA10" i="8610"/>
  <c r="BA10" i="8614"/>
  <c r="BA6" i="8608"/>
  <c r="BA97" i="8610"/>
  <c r="BA92" i="8610"/>
  <c r="BA65" i="8610"/>
  <c r="BA5" i="8608"/>
  <c r="BA13" i="8609"/>
  <c r="BA9" i="8608"/>
  <c r="BA5" i="8610"/>
  <c r="BX46" i="8610"/>
  <c r="CE38" i="8610"/>
  <c r="BA11" i="8614"/>
  <c r="BA16" i="8610"/>
  <c r="BA25" i="8609"/>
  <c r="BA55" i="8610"/>
  <c r="BA54" i="8610"/>
  <c r="BA56" i="8610"/>
  <c r="BN58" i="8610"/>
  <c r="CD48" i="8610"/>
  <c r="BW48" i="8610"/>
  <c r="BJ46" i="8610"/>
  <c r="BO43" i="8610"/>
  <c r="AV11" i="8610"/>
  <c r="AY11" i="8610"/>
  <c r="BA11" i="8610"/>
  <c r="AZ11" i="8610"/>
  <c r="BJ11" i="8610"/>
  <c r="BK11" i="8610"/>
  <c r="BL11" i="8610" s="1"/>
  <c r="BA99" i="8610"/>
  <c r="AZ98" i="8610"/>
  <c r="BM95" i="8610"/>
  <c r="BM92" i="8610"/>
  <c r="AV92" i="8610"/>
  <c r="AW92" i="8610"/>
  <c r="AX92" i="8610"/>
  <c r="AY92" i="8610"/>
  <c r="AT84" i="8610"/>
  <c r="AS84" i="8610"/>
  <c r="BJ67" i="8610"/>
  <c r="AR67" i="8610"/>
  <c r="AS67" i="8610"/>
  <c r="AU67" i="8610"/>
  <c r="AX67" i="8610"/>
  <c r="AW62" i="8610"/>
  <c r="AV61" i="8610"/>
  <c r="AZ61" i="8610"/>
  <c r="BM58" i="8610"/>
  <c r="AU48" i="8610"/>
  <c r="BJ48" i="8610"/>
  <c r="BU48" i="8610"/>
  <c r="AW46" i="8610"/>
  <c r="BM43" i="8610"/>
  <c r="AS12" i="8610"/>
  <c r="AU12" i="8610"/>
  <c r="AT12" i="8610"/>
  <c r="AV12" i="8610"/>
  <c r="AW12" i="8610"/>
  <c r="BA12" i="8610"/>
  <c r="BJ40" i="8610"/>
  <c r="AW40" i="8610"/>
  <c r="AR40" i="8610"/>
  <c r="AY40" i="8610"/>
  <c r="AZ40" i="8610"/>
  <c r="AR28" i="8610"/>
  <c r="BN28" i="8610"/>
  <c r="AV28" i="8610"/>
  <c r="BA24" i="8610"/>
  <c r="BU24" i="8610"/>
  <c r="BJ86" i="8610"/>
  <c r="BM86" i="8610"/>
  <c r="BN46" i="8610"/>
  <c r="BU95" i="8610"/>
  <c r="AR52" i="8610"/>
  <c r="AV52" i="8610"/>
  <c r="BK62" i="8610"/>
  <c r="BL62" i="8610" s="1"/>
  <c r="BO58" i="8610"/>
  <c r="BK99" i="8610"/>
  <c r="AY98" i="8610"/>
  <c r="BK95" i="8610"/>
  <c r="BL95" i="8610" s="1"/>
  <c r="AV62" i="8610"/>
  <c r="BK58" i="8610"/>
  <c r="BL58" i="8610" s="1"/>
  <c r="ED29" i="8610"/>
  <c r="BQ29" i="8610"/>
  <c r="DG29" i="8610"/>
  <c r="AX98" i="8610"/>
  <c r="AZ86" i="8610"/>
  <c r="AU62" i="8610"/>
  <c r="AY45" i="8610"/>
  <c r="BM45" i="8610"/>
  <c r="BA45" i="8610"/>
  <c r="BK37" i="8610"/>
  <c r="AV37" i="8610"/>
  <c r="BA37" i="8610"/>
  <c r="AU26" i="8610"/>
  <c r="AR26" i="8610"/>
  <c r="AS26" i="8610"/>
  <c r="AT26" i="8610"/>
  <c r="AY26" i="8610"/>
  <c r="AV99" i="8610"/>
  <c r="AY86" i="8610"/>
  <c r="BM83" i="8610"/>
  <c r="AZ80" i="8610"/>
  <c r="AX66" i="8610"/>
  <c r="AZ66" i="8610"/>
  <c r="AY66" i="8610"/>
  <c r="BA66" i="8610"/>
  <c r="AT62" i="8610"/>
  <c r="BA58" i="8610"/>
  <c r="AS29" i="8610"/>
  <c r="BM29" i="8610"/>
  <c r="BO29" i="8610"/>
  <c r="BN29" i="8610"/>
  <c r="AT93" i="8610"/>
  <c r="AW93" i="8610"/>
  <c r="AV93" i="8610"/>
  <c r="AY93" i="8610"/>
  <c r="AV86" i="8610"/>
  <c r="BK83" i="8610"/>
  <c r="BL83" i="8610" s="1"/>
  <c r="AY80" i="8610"/>
  <c r="BJ71" i="8610"/>
  <c r="BO66" i="8610"/>
  <c r="AS62" i="8610"/>
  <c r="DL54" i="8610"/>
  <c r="ED54" i="8610"/>
  <c r="AS46" i="8610"/>
  <c r="AW43" i="8610"/>
  <c r="BN40" i="8610"/>
  <c r="BJ39" i="8610"/>
  <c r="AS39" i="8610"/>
  <c r="AW39" i="8610"/>
  <c r="BM39" i="8610"/>
  <c r="BO11" i="8610"/>
  <c r="DK7" i="8610"/>
  <c r="BQ7" i="8610"/>
  <c r="BN91" i="8610"/>
  <c r="AR62" i="8610"/>
  <c r="EU5" i="8610"/>
  <c r="EL5" i="8610"/>
  <c r="EG5" i="8610"/>
  <c r="AS88" i="8610"/>
  <c r="AY88" i="8610"/>
  <c r="AS86" i="8610"/>
  <c r="AS83" i="8610"/>
  <c r="BV82" i="8610"/>
  <c r="CC82" i="8610"/>
  <c r="AV71" i="8610"/>
  <c r="BM66" i="8610"/>
  <c r="AQ62" i="8610"/>
  <c r="AR54" i="8610"/>
  <c r="AT54" i="8610"/>
  <c r="AS54" i="8610"/>
  <c r="AU54" i="8610"/>
  <c r="BJ52" i="8610"/>
  <c r="AQ46" i="8610"/>
  <c r="AU30" i="8610"/>
  <c r="AW30" i="8610"/>
  <c r="AY30" i="8610"/>
  <c r="AX30" i="8610"/>
  <c r="AZ30" i="8610"/>
  <c r="BJ30" i="8610"/>
  <c r="BU30" i="8610"/>
  <c r="BU26" i="8610"/>
  <c r="BK12" i="8610"/>
  <c r="BL12" i="8610" s="1"/>
  <c r="AX11" i="8610"/>
  <c r="CZ99" i="8610"/>
  <c r="BU62" i="8610"/>
  <c r="AY99" i="8610"/>
  <c r="AZ99" i="8610"/>
  <c r="BJ99" i="8610"/>
  <c r="AQ95" i="8610"/>
  <c r="AS95" i="8610"/>
  <c r="AT95" i="8610"/>
  <c r="AU95" i="8610"/>
  <c r="BO46" i="8610"/>
  <c r="BO99" i="8610"/>
  <c r="BN62" i="8610"/>
  <c r="AW19" i="8610"/>
  <c r="BM19" i="8610"/>
  <c r="BN99" i="8610"/>
  <c r="AW91" i="8610"/>
  <c r="AY91" i="8610"/>
  <c r="AX91" i="8610"/>
  <c r="AZ91" i="8610"/>
  <c r="AT58" i="8610"/>
  <c r="AU58" i="8610"/>
  <c r="AV58" i="8610"/>
  <c r="AW58" i="8610"/>
  <c r="BM99" i="8610"/>
  <c r="BO95" i="8610"/>
  <c r="BK46" i="8610"/>
  <c r="BL46" i="8610" s="1"/>
  <c r="AX99" i="8610"/>
  <c r="BJ60" i="8610"/>
  <c r="AU60" i="8610"/>
  <c r="AV60" i="8610"/>
  <c r="AW60" i="8610"/>
  <c r="AX60" i="8610"/>
  <c r="BK41" i="8610"/>
  <c r="AV41" i="8610"/>
  <c r="AZ41" i="8610"/>
  <c r="AY41" i="8610"/>
  <c r="BA41" i="8610"/>
  <c r="BJ41" i="8610"/>
  <c r="AZ24" i="8610"/>
  <c r="AU22" i="8610"/>
  <c r="AY22" i="8610"/>
  <c r="AZ22" i="8610"/>
  <c r="BJ22" i="8610"/>
  <c r="BM22" i="8610"/>
  <c r="BN22" i="8610"/>
  <c r="BJ95" i="8610"/>
  <c r="BJ58" i="8610"/>
  <c r="AU46" i="8610"/>
  <c r="BJ43" i="8610"/>
  <c r="AY24" i="8610"/>
  <c r="AY5" i="8610"/>
  <c r="AR5" i="8610"/>
  <c r="AQ5" i="8610"/>
  <c r="BO5" i="8610"/>
  <c r="AZ95" i="8610"/>
  <c r="DI91" i="8610"/>
  <c r="DU60" i="8610"/>
  <c r="AT46" i="8610"/>
  <c r="AX24" i="8610"/>
  <c r="BU11" i="8610"/>
  <c r="AU99" i="8610"/>
  <c r="AS98" i="8610"/>
  <c r="BU91" i="8610"/>
  <c r="BU60" i="8610"/>
  <c r="AZ58" i="8610"/>
  <c r="AV24" i="8610"/>
  <c r="AT86" i="8610"/>
  <c r="AV80" i="8610"/>
  <c r="BO60" i="8610"/>
  <c r="AY58" i="8610"/>
  <c r="BK42" i="8610"/>
  <c r="BL42" i="8610" s="1"/>
  <c r="AT42" i="8610"/>
  <c r="AV42" i="8610"/>
  <c r="AX42" i="8610"/>
  <c r="AY42" i="8610"/>
  <c r="AZ42" i="8610"/>
  <c r="BK40" i="8610"/>
  <c r="BL40" i="8610" s="1"/>
  <c r="BM11" i="8610"/>
  <c r="BN84" i="8610"/>
  <c r="AW11" i="8610"/>
  <c r="DK99" i="8610"/>
  <c r="BA98" i="8610"/>
  <c r="BN98" i="8610"/>
  <c r="BU98" i="8610"/>
  <c r="AT73" i="8610"/>
  <c r="AV73" i="8610"/>
  <c r="AY73" i="8610"/>
  <c r="BJ73" i="8610"/>
  <c r="BK73" i="8610"/>
  <c r="AR43" i="8610"/>
  <c r="AU43" i="8610"/>
  <c r="AT43" i="8610"/>
  <c r="AV43" i="8610"/>
  <c r="AX62" i="8610"/>
  <c r="AY62" i="8610"/>
  <c r="AZ62" i="8610"/>
  <c r="BA62" i="8610"/>
  <c r="AX46" i="8610"/>
  <c r="AZ46" i="8610"/>
  <c r="AY46" i="8610"/>
  <c r="BA46" i="8610"/>
  <c r="BU99" i="8610"/>
  <c r="BO62" i="8610"/>
  <c r="AU44" i="8610"/>
  <c r="AR44" i="8610"/>
  <c r="AX44" i="8610"/>
  <c r="AV44" i="8610"/>
  <c r="AY44" i="8610"/>
  <c r="BM46" i="8610"/>
  <c r="DH10" i="8610"/>
  <c r="BQ10" i="8610"/>
  <c r="DB10" i="8610"/>
  <c r="BM98" i="8610"/>
  <c r="CD81" i="8610"/>
  <c r="BY81" i="8610"/>
  <c r="BK98" i="8610"/>
  <c r="BL98" i="8610" s="1"/>
  <c r="BN95" i="8610"/>
  <c r="BK81" i="8610"/>
  <c r="BM81" i="8610"/>
  <c r="BJ62" i="8610"/>
  <c r="AV46" i="8610"/>
  <c r="BK43" i="8610"/>
  <c r="BL43" i="8610" s="1"/>
  <c r="CE37" i="8610"/>
  <c r="BP37" i="8610"/>
  <c r="CH37" i="8610"/>
  <c r="CW37" i="8610"/>
  <c r="AW99" i="8610"/>
  <c r="BK97" i="8610"/>
  <c r="BM97" i="8610"/>
  <c r="BM80" i="8610"/>
  <c r="AS53" i="8610"/>
  <c r="AY53" i="8610"/>
  <c r="AU53" i="8610"/>
  <c r="AZ53" i="8610"/>
  <c r="AS17" i="8610"/>
  <c r="AY17" i="8610"/>
  <c r="BM17" i="8610"/>
  <c r="BU5" i="8610"/>
  <c r="AW98" i="8610"/>
  <c r="BM73" i="8610"/>
  <c r="AZ43" i="8610"/>
  <c r="BJ33" i="8610"/>
  <c r="BM33" i="8610"/>
  <c r="CP23" i="8610"/>
  <c r="CD23" i="8610"/>
  <c r="AY95" i="8610"/>
  <c r="AT99" i="8610"/>
  <c r="AX95" i="8610"/>
  <c r="DB82" i="8610"/>
  <c r="CZ82" i="8610"/>
  <c r="AQ73" i="8610"/>
  <c r="AY71" i="8610"/>
  <c r="BN66" i="8610"/>
  <c r="BU52" i="8610"/>
  <c r="CV44" i="8610"/>
  <c r="CA26" i="8610"/>
  <c r="AR24" i="8610"/>
  <c r="AS5" i="8610"/>
  <c r="AQ99" i="8610"/>
  <c r="DB98" i="8610"/>
  <c r="CY98" i="8610"/>
  <c r="AV95" i="8610"/>
  <c r="BK94" i="8610"/>
  <c r="BL94" i="8610" s="1"/>
  <c r="AR94" i="8610"/>
  <c r="AU94" i="8610"/>
  <c r="AS94" i="8610"/>
  <c r="AW94" i="8610"/>
  <c r="BU92" i="8610"/>
  <c r="BJ91" i="8610"/>
  <c r="BM90" i="8610"/>
  <c r="AS90" i="8610"/>
  <c r="AT90" i="8610"/>
  <c r="BK66" i="8610"/>
  <c r="BL66" i="8610" s="1"/>
  <c r="BJ63" i="8610"/>
  <c r="AQ63" i="8610"/>
  <c r="AT63" i="8610"/>
  <c r="AR63" i="8610"/>
  <c r="AU63" i="8610"/>
  <c r="BK60" i="8610"/>
  <c r="BL60" i="8610" s="1"/>
  <c r="AS58" i="8610"/>
  <c r="BA52" i="8610"/>
  <c r="AU47" i="8610"/>
  <c r="AS47" i="8610"/>
  <c r="BM47" i="8610"/>
  <c r="AX47" i="8610"/>
  <c r="BU47" i="8610"/>
  <c r="BJ44" i="8610"/>
  <c r="BU38" i="8610"/>
  <c r="BQ32" i="8610"/>
  <c r="BN26" i="8610"/>
  <c r="BU22" i="8610"/>
  <c r="AU19" i="8610"/>
  <c r="AT5" i="8610"/>
  <c r="EA99" i="8610"/>
  <c r="BK92" i="8610"/>
  <c r="AV91" i="8610"/>
  <c r="BM84" i="8610"/>
  <c r="AZ75" i="8610"/>
  <c r="AV75" i="8610"/>
  <c r="CB67" i="8610"/>
  <c r="BJ66" i="8610"/>
  <c r="BA64" i="8610"/>
  <c r="AR64" i="8610"/>
  <c r="BA60" i="8610"/>
  <c r="AR58" i="8610"/>
  <c r="BN54" i="8610"/>
  <c r="AY52" i="8610"/>
  <c r="BA48" i="8610"/>
  <c r="BA44" i="8610"/>
  <c r="DU41" i="8610"/>
  <c r="AV31" i="8610"/>
  <c r="AY31" i="8610"/>
  <c r="AW31" i="8610"/>
  <c r="AZ31" i="8610"/>
  <c r="BK31" i="8610"/>
  <c r="BM26" i="8610"/>
  <c r="AX22" i="8610"/>
  <c r="AS19" i="8610"/>
  <c r="AZ12" i="8610"/>
  <c r="AU11" i="8610"/>
  <c r="BK27" i="8610"/>
  <c r="BL27" i="8610" s="1"/>
  <c r="BU8" i="8610"/>
  <c r="AQ8" i="8610"/>
  <c r="BM70" i="8610"/>
  <c r="BK32" i="8610"/>
  <c r="BL32" i="8610" s="1"/>
  <c r="AZ18" i="8610"/>
  <c r="BJ8" i="8610"/>
  <c r="BJ70" i="8610"/>
  <c r="AZ32" i="8610"/>
  <c r="BM23" i="8610"/>
  <c r="AX18" i="8610"/>
  <c r="AZ8" i="8610"/>
  <c r="BJ32" i="8610"/>
  <c r="BA8" i="8610"/>
  <c r="AY32" i="8610"/>
  <c r="AW18" i="8610"/>
  <c r="BP10" i="8610"/>
  <c r="BO7" i="8610"/>
  <c r="DI6" i="8610"/>
  <c r="DH8" i="8609"/>
  <c r="DZ7" i="8609"/>
  <c r="DZ82" i="8610"/>
  <c r="DL71" i="8610"/>
  <c r="CB59" i="8610"/>
  <c r="DK54" i="8610"/>
  <c r="BW44" i="8610"/>
  <c r="EA41" i="8610"/>
  <c r="CC9" i="8609"/>
  <c r="CD8" i="8609"/>
  <c r="CY7" i="8609"/>
  <c r="DF82" i="8610"/>
  <c r="DF73" i="8610"/>
  <c r="CZ54" i="8610"/>
  <c r="CD53" i="8610"/>
  <c r="DB34" i="8610"/>
  <c r="DE73" i="8610"/>
  <c r="DG68" i="8610"/>
  <c r="DK11" i="8610"/>
  <c r="CY27" i="8610"/>
  <c r="BY82" i="8610"/>
  <c r="CB27" i="8610"/>
  <c r="ED25" i="8610"/>
  <c r="DL91" i="8610"/>
  <c r="BZ27" i="8610"/>
  <c r="DI26" i="8610"/>
  <c r="EA25" i="8610"/>
  <c r="DG40" i="8610"/>
  <c r="CV37" i="8610"/>
  <c r="BX27" i="8610"/>
  <c r="CC26" i="8610"/>
  <c r="BW14" i="8610"/>
  <c r="BP32" i="8610"/>
  <c r="DF99" i="8610"/>
  <c r="CB37" i="8610"/>
  <c r="EC34" i="8610"/>
  <c r="BY20" i="8610"/>
  <c r="BP13" i="8610"/>
  <c r="CB24" i="8609"/>
  <c r="CW19" i="8609"/>
  <c r="EA34" i="8610"/>
  <c r="BP26" i="8610"/>
  <c r="CC13" i="8610"/>
  <c r="DL11" i="8609"/>
  <c r="ED70" i="8610"/>
  <c r="DU34" i="8610"/>
  <c r="DF11" i="8614"/>
  <c r="CV67" i="8610"/>
  <c r="DI55" i="8610"/>
  <c r="CB13" i="8610"/>
  <c r="DG55" i="8610"/>
  <c r="DU23" i="8610"/>
  <c r="BV67" i="8610"/>
  <c r="DF59" i="8610"/>
  <c r="CD47" i="8610"/>
  <c r="BV40" i="8610"/>
  <c r="DT14" i="8610"/>
  <c r="BP64" i="8610"/>
  <c r="ED83" i="8610"/>
  <c r="BW77" i="8610"/>
  <c r="EA68" i="8610"/>
  <c r="CP51" i="8610"/>
  <c r="CC47" i="8610"/>
  <c r="CW39" i="8610"/>
  <c r="DJ34" i="8610"/>
  <c r="DJ14" i="8610"/>
  <c r="BW6" i="8610"/>
  <c r="DB83" i="8610"/>
  <c r="BV77" i="8610"/>
  <c r="CD51" i="8610"/>
  <c r="CB47" i="8610"/>
  <c r="CD39" i="8610"/>
  <c r="DF34" i="8610"/>
  <c r="DK5" i="8610"/>
  <c r="EC89" i="8610"/>
  <c r="DZ88" i="8610"/>
  <c r="BZ83" i="8610"/>
  <c r="DU75" i="8610"/>
  <c r="DZ65" i="8610"/>
  <c r="CC51" i="8610"/>
  <c r="BX47" i="8610"/>
  <c r="BY46" i="8610"/>
  <c r="CY89" i="8610"/>
  <c r="DU88" i="8610"/>
  <c r="DF76" i="8610"/>
  <c r="DU65" i="8610"/>
  <c r="DE64" i="8610"/>
  <c r="BQ60" i="8610"/>
  <c r="BW47" i="8610"/>
  <c r="BZ39" i="8610"/>
  <c r="CA12" i="8610"/>
  <c r="BQ89" i="8610"/>
  <c r="DI88" i="8610"/>
  <c r="DJ65" i="8610"/>
  <c r="BY64" i="8610"/>
  <c r="CE54" i="8610"/>
  <c r="CD43" i="8610"/>
  <c r="BY39" i="8610"/>
  <c r="DE36" i="8610"/>
  <c r="CY34" i="8610"/>
  <c r="CY29" i="8610"/>
  <c r="BQ14" i="8610"/>
  <c r="BZ12" i="8610"/>
  <c r="CY88" i="8610"/>
  <c r="DG65" i="8610"/>
  <c r="BW64" i="8610"/>
  <c r="DB36" i="8610"/>
  <c r="CV15" i="8610"/>
  <c r="BX12" i="8610"/>
  <c r="DT8" i="8610"/>
  <c r="DH79" i="8610"/>
  <c r="CB70" i="8610"/>
  <c r="CH69" i="8610"/>
  <c r="BY53" i="8610"/>
  <c r="CY41" i="8610"/>
  <c r="BZ37" i="8610"/>
  <c r="ED13" i="8610"/>
  <c r="DE8" i="8610"/>
  <c r="BY79" i="8610"/>
  <c r="CA69" i="8610"/>
  <c r="CD13" i="8610"/>
  <c r="CW23" i="8609"/>
  <c r="EC14" i="8609"/>
  <c r="DJ21" i="8609"/>
  <c r="DU20" i="8609"/>
  <c r="CC17" i="8609"/>
  <c r="DE12" i="8609"/>
  <c r="CY11" i="8609"/>
  <c r="DK20" i="8609"/>
  <c r="CD19" i="8609"/>
  <c r="CB17" i="8609"/>
  <c r="CD13" i="8609"/>
  <c r="BW10" i="8609"/>
  <c r="CC20" i="8609"/>
  <c r="BZ19" i="8609"/>
  <c r="BX17" i="8609"/>
  <c r="DG16" i="8609"/>
  <c r="BW17" i="8609"/>
  <c r="DU8" i="8609"/>
  <c r="CD8" i="8608"/>
  <c r="DG20" i="8609"/>
  <c r="CD7" i="8609"/>
  <c r="DE9" i="8608"/>
  <c r="CP7" i="8608"/>
  <c r="CH21" i="8609"/>
  <c r="EA18" i="8609"/>
  <c r="CC7" i="8609"/>
  <c r="DK18" i="8609"/>
  <c r="CB7" i="8609"/>
  <c r="BY7" i="8609"/>
  <c r="DJ20" i="8609"/>
  <c r="DI18" i="8609"/>
  <c r="DB16" i="8609"/>
  <c r="DE8" i="8609"/>
  <c r="BV7" i="8609"/>
  <c r="CZ20" i="8609"/>
  <c r="CY18" i="8609"/>
  <c r="CP16" i="8609"/>
  <c r="DJ12" i="8609"/>
  <c r="DU11" i="8609"/>
  <c r="CW8" i="8609"/>
  <c r="CW20" i="8609"/>
  <c r="CP20" i="8609"/>
  <c r="CY19" i="8609"/>
  <c r="DH11" i="8609"/>
  <c r="CC8" i="8609"/>
  <c r="DU15" i="8609"/>
  <c r="CW11" i="8609"/>
  <c r="BW8" i="8609"/>
  <c r="CW7" i="8609"/>
  <c r="BQ20" i="8609"/>
  <c r="DL15" i="8609"/>
  <c r="BZ11" i="8609"/>
  <c r="CP7" i="8609"/>
  <c r="CD6" i="8609"/>
  <c r="DT20" i="8609"/>
  <c r="BW19" i="8609"/>
  <c r="DT8" i="8609"/>
  <c r="CE7" i="8609"/>
  <c r="DG99" i="8610"/>
  <c r="BW93" i="8610"/>
  <c r="CW91" i="8610"/>
  <c r="CZ89" i="8610"/>
  <c r="ED88" i="8610"/>
  <c r="DF83" i="8610"/>
  <c r="CZ81" i="8610"/>
  <c r="DZ80" i="8610"/>
  <c r="DJ78" i="8610"/>
  <c r="DG73" i="8610"/>
  <c r="DE46" i="8610"/>
  <c r="DE44" i="8610"/>
  <c r="EC40" i="8610"/>
  <c r="BV37" i="8610"/>
  <c r="DF36" i="8610"/>
  <c r="BW26" i="8610"/>
  <c r="DJ25" i="8610"/>
  <c r="CP13" i="8610"/>
  <c r="CB12" i="8610"/>
  <c r="BQ18" i="8610"/>
  <c r="CY99" i="8610"/>
  <c r="DZ98" i="8610"/>
  <c r="DT88" i="8610"/>
  <c r="CW86" i="8610"/>
  <c r="CZ76" i="8610"/>
  <c r="DK75" i="8610"/>
  <c r="CZ73" i="8610"/>
  <c r="CV71" i="8610"/>
  <c r="CW71" i="8610" s="1"/>
  <c r="BY70" i="8610"/>
  <c r="CV69" i="8610"/>
  <c r="CW69" i="8610" s="1"/>
  <c r="DB65" i="8610"/>
  <c r="CE56" i="8610"/>
  <c r="EA54" i="8610"/>
  <c r="BW31" i="8610"/>
  <c r="CB23" i="8610"/>
  <c r="BV99" i="8610"/>
  <c r="DU98" i="8610"/>
  <c r="ED94" i="8610"/>
  <c r="DL88" i="8610"/>
  <c r="DU87" i="8610"/>
  <c r="CC86" i="8610"/>
  <c r="CV82" i="8610"/>
  <c r="CW82" i="8610" s="1"/>
  <c r="CY73" i="8610"/>
  <c r="CP69" i="8610"/>
  <c r="EC68" i="8610"/>
  <c r="CH65" i="8610"/>
  <c r="EC60" i="8610"/>
  <c r="DH59" i="8610"/>
  <c r="ED58" i="8610"/>
  <c r="CA56" i="8610"/>
  <c r="DZ54" i="8610"/>
  <c r="DZ52" i="8610"/>
  <c r="CV47" i="8610"/>
  <c r="CW47" i="8610" s="1"/>
  <c r="CE43" i="8610"/>
  <c r="CH39" i="8610"/>
  <c r="BZ23" i="8610"/>
  <c r="CA13" i="8610"/>
  <c r="CA11" i="8610"/>
  <c r="EC8" i="8610"/>
  <c r="DF98" i="8610"/>
  <c r="DT90" i="8610"/>
  <c r="CB65" i="8610"/>
  <c r="CA58" i="8610"/>
  <c r="BZ13" i="8610"/>
  <c r="CZ98" i="8610"/>
  <c r="DG94" i="8610"/>
  <c r="DF88" i="8610"/>
  <c r="DK87" i="8610"/>
  <c r="DG85" i="8610"/>
  <c r="CV84" i="8610"/>
  <c r="CB82" i="8610"/>
  <c r="CC69" i="8610"/>
  <c r="DT68" i="8610"/>
  <c r="BY65" i="8610"/>
  <c r="CH64" i="8610"/>
  <c r="DB60" i="8610"/>
  <c r="EC57" i="8610"/>
  <c r="DF54" i="8610"/>
  <c r="CC39" i="8610"/>
  <c r="CD27" i="8610"/>
  <c r="DU22" i="8610"/>
  <c r="DK16" i="8610"/>
  <c r="BW13" i="8610"/>
  <c r="DH8" i="8610"/>
  <c r="BV65" i="8610"/>
  <c r="BP58" i="8610"/>
  <c r="DE54" i="8610"/>
  <c r="CZ22" i="8610"/>
  <c r="DL17" i="8610"/>
  <c r="EA89" i="8610"/>
  <c r="BW82" i="8610"/>
  <c r="ED78" i="8610"/>
  <c r="BZ69" i="8610"/>
  <c r="CA68" i="8610"/>
  <c r="DZ18" i="8610"/>
  <c r="CZ8" i="8610"/>
  <c r="DB7" i="8610"/>
  <c r="DZ89" i="8610"/>
  <c r="DU83" i="8610"/>
  <c r="EC78" i="8610"/>
  <c r="ED73" i="8610"/>
  <c r="BY69" i="8610"/>
  <c r="BX68" i="8610"/>
  <c r="DL18" i="8610"/>
  <c r="DZ93" i="8610"/>
  <c r="DJ89" i="8610"/>
  <c r="DT83" i="8610"/>
  <c r="DT78" i="8610"/>
  <c r="EC73" i="8610"/>
  <c r="BX69" i="8610"/>
  <c r="EA65" i="8610"/>
  <c r="DG46" i="8610"/>
  <c r="ED36" i="8610"/>
  <c r="CY19" i="8610"/>
  <c r="DE18" i="8610"/>
  <c r="CW13" i="8610"/>
  <c r="CV93" i="8610"/>
  <c r="CW93" i="8610" s="1"/>
  <c r="DG89" i="8610"/>
  <c r="DJ83" i="8610"/>
  <c r="EC81" i="8610"/>
  <c r="DK78" i="8610"/>
  <c r="DZ73" i="8610"/>
  <c r="BV69" i="8610"/>
  <c r="DF55" i="8610"/>
  <c r="BV47" i="8610"/>
  <c r="DF46" i="8610"/>
  <c r="ED40" i="8610"/>
  <c r="DU36" i="8610"/>
  <c r="BY26" i="8610"/>
  <c r="DB18" i="8610"/>
  <c r="CV13" i="8610"/>
  <c r="DU18" i="8614"/>
  <c r="CH5" i="8610"/>
  <c r="CP5" i="8610"/>
  <c r="CC99" i="8610"/>
  <c r="ED98" i="8610"/>
  <c r="DT95" i="8610"/>
  <c r="DG87" i="8610"/>
  <c r="BV86" i="8610"/>
  <c r="DJ79" i="8610"/>
  <c r="ED75" i="8610"/>
  <c r="DK65" i="8610"/>
  <c r="CW59" i="8610"/>
  <c r="BW56" i="8610"/>
  <c r="CP54" i="8610"/>
  <c r="BX48" i="8610"/>
  <c r="CZ46" i="8610"/>
  <c r="CH43" i="8610"/>
  <c r="CC35" i="8610"/>
  <c r="DL26" i="8610"/>
  <c r="CY24" i="8610"/>
  <c r="BP23" i="8610"/>
  <c r="DF18" i="8610"/>
  <c r="DJ6" i="8610"/>
  <c r="DL95" i="8610"/>
  <c r="DJ26" i="8610"/>
  <c r="DK95" i="8610"/>
  <c r="BV59" i="8610"/>
  <c r="DU58" i="8610"/>
  <c r="DL57" i="8610"/>
  <c r="EC56" i="8610"/>
  <c r="CD54" i="8610"/>
  <c r="BV48" i="8610"/>
  <c r="DZ99" i="8610"/>
  <c r="DT98" i="8610"/>
  <c r="DG95" i="8610"/>
  <c r="BY91" i="8610"/>
  <c r="DF89" i="8610"/>
  <c r="CE82" i="8610"/>
  <c r="DG78" i="8610"/>
  <c r="DJ75" i="8610"/>
  <c r="DG74" i="8610"/>
  <c r="EA73" i="8610"/>
  <c r="BQ73" i="8610"/>
  <c r="CE71" i="8610"/>
  <c r="DZ70" i="8610"/>
  <c r="BW69" i="8610"/>
  <c r="DG66" i="8610"/>
  <c r="DE65" i="8610"/>
  <c r="CD62" i="8610"/>
  <c r="ED61" i="8610"/>
  <c r="DG60" i="8610"/>
  <c r="BP59" i="8610"/>
  <c r="DK58" i="8610"/>
  <c r="CV57" i="8610"/>
  <c r="DZ56" i="8610"/>
  <c r="BP56" i="8610"/>
  <c r="DT54" i="8610"/>
  <c r="BY54" i="8610"/>
  <c r="CD49" i="8610"/>
  <c r="ED46" i="8610"/>
  <c r="BQ46" i="8610"/>
  <c r="CB45" i="8610"/>
  <c r="DT41" i="8610"/>
  <c r="EA40" i="8610"/>
  <c r="CZ36" i="8610"/>
  <c r="BV31" i="8610"/>
  <c r="ED28" i="8610"/>
  <c r="DE26" i="8610"/>
  <c r="DF23" i="8610"/>
  <c r="CZ18" i="8610"/>
  <c r="BY17" i="8610"/>
  <c r="DH16" i="8610"/>
  <c r="DK14" i="8610"/>
  <c r="CH13" i="8610"/>
  <c r="DT12" i="8610"/>
  <c r="CC9" i="8610"/>
  <c r="DF8" i="8610"/>
  <c r="DK98" i="8610"/>
  <c r="CZ95" i="8610"/>
  <c r="CV92" i="8610"/>
  <c r="CW92" i="8610" s="1"/>
  <c r="DH75" i="8610"/>
  <c r="CC74" i="8610"/>
  <c r="CB71" i="8610"/>
  <c r="DH70" i="8610"/>
  <c r="CB66" i="8610"/>
  <c r="DE61" i="8610"/>
  <c r="DE58" i="8610"/>
  <c r="CD57" i="8610"/>
  <c r="DJ56" i="8610"/>
  <c r="CA49" i="8610"/>
  <c r="BP48" i="8610"/>
  <c r="EC46" i="8610"/>
  <c r="CA45" i="8610"/>
  <c r="DL41" i="8610"/>
  <c r="BV36" i="8610"/>
  <c r="ED33" i="8610"/>
  <c r="DU28" i="8610"/>
  <c r="DB26" i="8610"/>
  <c r="CY23" i="8610"/>
  <c r="CY18" i="8610"/>
  <c r="DF16" i="8610"/>
  <c r="DJ99" i="8610"/>
  <c r="DJ98" i="8610"/>
  <c r="CC92" i="8610"/>
  <c r="DE78" i="8610"/>
  <c r="DG77" i="8610"/>
  <c r="BW75" i="8610"/>
  <c r="DL73" i="8610"/>
  <c r="DF70" i="8610"/>
  <c r="BY66" i="8610"/>
  <c r="CZ65" i="8610"/>
  <c r="BX61" i="8610"/>
  <c r="CH60" i="8610"/>
  <c r="EC59" i="8610"/>
  <c r="CZ58" i="8610"/>
  <c r="BV57" i="8610"/>
  <c r="DE56" i="8610"/>
  <c r="DJ54" i="8610"/>
  <c r="BQ54" i="8610"/>
  <c r="EC53" i="8610"/>
  <c r="CW51" i="8610"/>
  <c r="BY49" i="8610"/>
  <c r="CV48" i="8610"/>
  <c r="CW48" i="8610" s="1"/>
  <c r="ED47" i="8610"/>
  <c r="BP47" i="8610"/>
  <c r="EA46" i="8610"/>
  <c r="BX45" i="8610"/>
  <c r="DJ41" i="8610"/>
  <c r="DF40" i="8610"/>
  <c r="BX39" i="8610"/>
  <c r="CV34" i="8610"/>
  <c r="DH33" i="8610"/>
  <c r="DU30" i="8610"/>
  <c r="EA29" i="8610"/>
  <c r="DJ28" i="8610"/>
  <c r="CP26" i="8610"/>
  <c r="CV23" i="8610"/>
  <c r="CW23" i="8610" s="1"/>
  <c r="CE18" i="8610"/>
  <c r="CZ16" i="8610"/>
  <c r="DT10" i="8610"/>
  <c r="DH99" i="8610"/>
  <c r="DI98" i="8610"/>
  <c r="BY92" i="8610"/>
  <c r="DB78" i="8610"/>
  <c r="CC77" i="8610"/>
  <c r="DJ73" i="8610"/>
  <c r="ED65" i="8610"/>
  <c r="CY65" i="8610"/>
  <c r="BV60" i="8610"/>
  <c r="DU59" i="8610"/>
  <c r="CY58" i="8610"/>
  <c r="DB56" i="8610"/>
  <c r="DU55" i="8610"/>
  <c r="DI54" i="8610"/>
  <c r="DF53" i="8610"/>
  <c r="CP48" i="8610"/>
  <c r="DH47" i="8610"/>
  <c r="DU46" i="8610"/>
  <c r="BW45" i="8610"/>
  <c r="DU44" i="8610"/>
  <c r="DI41" i="8610"/>
  <c r="DE40" i="8610"/>
  <c r="CA34" i="8610"/>
  <c r="CZ33" i="8610"/>
  <c r="DH32" i="8610"/>
  <c r="DJ30" i="8610"/>
  <c r="DZ29" i="8610"/>
  <c r="DG28" i="8610"/>
  <c r="CH23" i="8610"/>
  <c r="BY18" i="8610"/>
  <c r="DJ10" i="8610"/>
  <c r="DG98" i="8610"/>
  <c r="BW92" i="8610"/>
  <c r="CZ78" i="8610"/>
  <c r="DI73" i="8610"/>
  <c r="EC65" i="8610"/>
  <c r="DE63" i="8610"/>
  <c r="DT59" i="8610"/>
  <c r="CP58" i="8610"/>
  <c r="CV56" i="8610"/>
  <c r="DH54" i="8610"/>
  <c r="CV53" i="8610"/>
  <c r="CH48" i="8610"/>
  <c r="DF47" i="8610"/>
  <c r="DH46" i="8610"/>
  <c r="DH41" i="8610"/>
  <c r="DB40" i="8610"/>
  <c r="DT38" i="8610"/>
  <c r="BQ33" i="8610"/>
  <c r="DF32" i="8610"/>
  <c r="CE30" i="8610"/>
  <c r="DJ29" i="8610"/>
  <c r="DB28" i="8610"/>
  <c r="CE23" i="8610"/>
  <c r="ED19" i="8610"/>
  <c r="ED18" i="8610"/>
  <c r="EA15" i="8610"/>
  <c r="DE10" i="8610"/>
  <c r="CE78" i="8610"/>
  <c r="CC58" i="8610"/>
  <c r="CC48" i="8610"/>
  <c r="DK38" i="8610"/>
  <c r="CC30" i="8610"/>
  <c r="CZ28" i="8610"/>
  <c r="DJ19" i="8610"/>
  <c r="BP60" i="8610"/>
  <c r="CA48" i="8610"/>
  <c r="CP38" i="8610"/>
  <c r="ED95" i="8610"/>
  <c r="DE59" i="8610"/>
  <c r="BZ58" i="8610"/>
  <c r="BZ56" i="8610"/>
  <c r="BZ48" i="8610"/>
  <c r="ED26" i="8610"/>
  <c r="DK24" i="8610"/>
  <c r="DJ18" i="8610"/>
  <c r="CH99" i="8610"/>
  <c r="EA95" i="8610"/>
  <c r="DH87" i="8610"/>
  <c r="BW86" i="8610"/>
  <c r="BV83" i="8610"/>
  <c r="DT82" i="8610"/>
  <c r="DG81" i="8610"/>
  <c r="EA78" i="8610"/>
  <c r="DZ76" i="8610"/>
  <c r="DB73" i="8610"/>
  <c r="DL65" i="8610"/>
  <c r="CY59" i="8610"/>
  <c r="BY58" i="8610"/>
  <c r="BY56" i="8610"/>
  <c r="CY54" i="8610"/>
  <c r="BY48" i="8610"/>
  <c r="DB46" i="8610"/>
  <c r="BP44" i="8610"/>
  <c r="CE39" i="8610"/>
  <c r="DI36" i="8610"/>
  <c r="DU26" i="8610"/>
  <c r="BQ26" i="8610"/>
  <c r="DE24" i="8610"/>
  <c r="BX23" i="8610"/>
  <c r="DG18" i="8610"/>
  <c r="DI13" i="8610"/>
  <c r="DT6" i="8610"/>
  <c r="CE25" i="8609"/>
  <c r="CB25" i="8609"/>
  <c r="CW24" i="8609"/>
  <c r="CP24" i="8609"/>
  <c r="CY20" i="8609"/>
  <c r="CC16" i="8609"/>
  <c r="CD23" i="8609"/>
  <c r="BZ23" i="8609"/>
  <c r="CC21" i="8609"/>
  <c r="CD12" i="8609"/>
  <c r="DL22" i="8609"/>
  <c r="BW23" i="8609"/>
  <c r="CB21" i="8609"/>
  <c r="CA20" i="8609"/>
  <c r="ED16" i="8609"/>
  <c r="CB12" i="8609"/>
  <c r="BP25" i="8609"/>
  <c r="BY20" i="8609"/>
  <c r="DU17" i="8609"/>
  <c r="BQ17" i="8609"/>
  <c r="DU16" i="8609"/>
  <c r="BQ16" i="8609"/>
  <c r="DH15" i="8609"/>
  <c r="CE21" i="8609"/>
  <c r="CV5" i="8609"/>
  <c r="DU22" i="8609"/>
  <c r="DZ20" i="8609"/>
  <c r="EA20" i="8609" s="1"/>
  <c r="DJ17" i="8609"/>
  <c r="BP17" i="8609"/>
  <c r="DK16" i="8609"/>
  <c r="BW15" i="8609"/>
  <c r="DB11" i="8609"/>
  <c r="CP8" i="8609"/>
  <c r="CA7" i="8609"/>
  <c r="DE22" i="8609"/>
  <c r="DI22" i="8609"/>
  <c r="CD25" i="8609"/>
  <c r="DE20" i="8609"/>
  <c r="CW10" i="8609"/>
  <c r="BZ8" i="8609"/>
  <c r="CZ7" i="8609"/>
  <c r="BX5" i="8608"/>
  <c r="DU9" i="8608"/>
  <c r="EC9" i="8608"/>
  <c r="BY5" i="8608"/>
  <c r="DT9" i="8608"/>
  <c r="CD5" i="8608"/>
  <c r="DK9" i="8608"/>
  <c r="CH8" i="8608"/>
  <c r="CW7" i="8608"/>
  <c r="CH7" i="8608"/>
  <c r="CC7" i="8608"/>
  <c r="BZ6" i="8608"/>
  <c r="DF16" i="8609"/>
  <c r="DK14" i="8609"/>
  <c r="DB12" i="8609"/>
  <c r="DG8" i="8609"/>
  <c r="BV5" i="8608"/>
  <c r="CB7" i="8608"/>
  <c r="DU6" i="8608"/>
  <c r="CA5" i="8609"/>
  <c r="CC25" i="8609"/>
  <c r="CH24" i="8609"/>
  <c r="DJ22" i="8609"/>
  <c r="CD21" i="8609"/>
  <c r="BQ18" i="8609"/>
  <c r="DE16" i="8609"/>
  <c r="DT15" i="8609"/>
  <c r="DI14" i="8609"/>
  <c r="CH13" i="8609"/>
  <c r="DF8" i="8609"/>
  <c r="CB8" i="8609"/>
  <c r="CW5" i="8610"/>
  <c r="DE14" i="8609"/>
  <c r="BX25" i="8609"/>
  <c r="CA24" i="8609"/>
  <c r="EC16" i="8609"/>
  <c r="CZ16" i="8609"/>
  <c r="DT16" i="8609"/>
  <c r="DB14" i="8609"/>
  <c r="CC13" i="8609"/>
  <c r="DB8" i="8609"/>
  <c r="CY6" i="8608"/>
  <c r="BX6" i="8608"/>
  <c r="BW25" i="8609"/>
  <c r="ED24" i="8609"/>
  <c r="BY24" i="8609"/>
  <c r="DU23" i="8609"/>
  <c r="CY22" i="8609"/>
  <c r="BX21" i="8609"/>
  <c r="CY16" i="8609"/>
  <c r="CY15" i="8609"/>
  <c r="CY14" i="8609"/>
  <c r="BX13" i="8609"/>
  <c r="ED12" i="8609"/>
  <c r="CY9" i="8609"/>
  <c r="CZ8" i="8609"/>
  <c r="BY8" i="8609"/>
  <c r="CV5" i="8608"/>
  <c r="DL9" i="8608"/>
  <c r="DU25" i="8609"/>
  <c r="EA24" i="8609"/>
  <c r="CY23" i="8609"/>
  <c r="BW22" i="8609"/>
  <c r="BW21" i="8609"/>
  <c r="EC18" i="8609"/>
  <c r="DZ16" i="8609"/>
  <c r="EA16" i="8609" s="1"/>
  <c r="CW16" i="8609"/>
  <c r="CD15" i="8609"/>
  <c r="CW14" i="8609"/>
  <c r="BW13" i="8609"/>
  <c r="EC12" i="8609"/>
  <c r="CH9" i="8609"/>
  <c r="ED8" i="8609"/>
  <c r="CY8" i="8609"/>
  <c r="BX8" i="8609"/>
  <c r="CV6" i="8609"/>
  <c r="CW6" i="8609" s="1"/>
  <c r="DJ25" i="8609"/>
  <c r="DT24" i="8609"/>
  <c r="DZ12" i="8609"/>
  <c r="EC8" i="8609"/>
  <c r="CH6" i="8609"/>
  <c r="DJ9" i="8608"/>
  <c r="DG25" i="8609"/>
  <c r="DL24" i="8609"/>
  <c r="BQ21" i="8609"/>
  <c r="EC20" i="8609"/>
  <c r="CD20" i="8609"/>
  <c r="DT18" i="8609"/>
  <c r="DL16" i="8609"/>
  <c r="BW14" i="8609"/>
  <c r="DK12" i="8609"/>
  <c r="CD11" i="8609"/>
  <c r="DZ8" i="8609"/>
  <c r="EA8" i="8609" s="1"/>
  <c r="CV8" i="8609"/>
  <c r="BV8" i="8609"/>
  <c r="EA7" i="8609"/>
  <c r="CE6" i="8609"/>
  <c r="DH24" i="8609"/>
  <c r="CY25" i="8609"/>
  <c r="CP25" i="8609"/>
  <c r="DG24" i="8609"/>
  <c r="CW21" i="8609"/>
  <c r="DU19" i="8609"/>
  <c r="DJ16" i="8609"/>
  <c r="DU14" i="8609"/>
  <c r="BQ14" i="8609"/>
  <c r="DH12" i="8609"/>
  <c r="BW11" i="8609"/>
  <c r="DL8" i="8609"/>
  <c r="CH8" i="8609"/>
  <c r="BQ8" i="8609"/>
  <c r="DU7" i="8609"/>
  <c r="BX7" i="8609"/>
  <c r="BW6" i="8609"/>
  <c r="CH25" i="8609"/>
  <c r="DE24" i="8609"/>
  <c r="CP21" i="8609"/>
  <c r="DB19" i="8609"/>
  <c r="DH16" i="8609"/>
  <c r="DT14" i="8609"/>
  <c r="DF12" i="8609"/>
  <c r="CY10" i="8609"/>
  <c r="DK8" i="8609"/>
  <c r="CE8" i="8609"/>
  <c r="DF7" i="8609"/>
  <c r="BW7" i="8609"/>
  <c r="BV6" i="8609"/>
  <c r="CA5" i="8610"/>
  <c r="BP73" i="8610"/>
  <c r="BX73" i="8610"/>
  <c r="BY73" i="8610"/>
  <c r="BZ73" i="8610"/>
  <c r="CA73" i="8610"/>
  <c r="CB73" i="8610"/>
  <c r="CC73" i="8610"/>
  <c r="CD73" i="8610"/>
  <c r="CE73" i="8610"/>
  <c r="CP73" i="8610"/>
  <c r="CV73" i="8610"/>
  <c r="CW73" i="8610" s="1"/>
  <c r="BV73" i="8610"/>
  <c r="CD52" i="8610"/>
  <c r="CW52" i="8610"/>
  <c r="BP52" i="8610"/>
  <c r="BW52" i="8610"/>
  <c r="CA21" i="8610"/>
  <c r="CH21" i="8610"/>
  <c r="CV21" i="8610"/>
  <c r="BW21" i="8610"/>
  <c r="CD21" i="8610"/>
  <c r="CE21" i="8610"/>
  <c r="CC33" i="8610"/>
  <c r="BW33" i="8610"/>
  <c r="BZ33" i="8610"/>
  <c r="CB33" i="8610"/>
  <c r="CW33" i="8610"/>
  <c r="CP28" i="8610"/>
  <c r="BW28" i="8610"/>
  <c r="BP28" i="8610"/>
  <c r="BY28" i="8610"/>
  <c r="CA28" i="8610"/>
  <c r="CC28" i="8610"/>
  <c r="CE28" i="8610"/>
  <c r="BQ35" i="8610"/>
  <c r="DT35" i="8610"/>
  <c r="DU35" i="8610"/>
  <c r="BY88" i="8610"/>
  <c r="BP88" i="8610"/>
  <c r="BV88" i="8610"/>
  <c r="BW88" i="8610"/>
  <c r="CB88" i="8610"/>
  <c r="CC88" i="8610"/>
  <c r="CE88" i="8610"/>
  <c r="CV88" i="8610"/>
  <c r="DI69" i="8610"/>
  <c r="DL69" i="8610"/>
  <c r="CE96" i="8610"/>
  <c r="CB96" i="8610"/>
  <c r="CC96" i="8610"/>
  <c r="CV96" i="8610"/>
  <c r="CZ92" i="8610"/>
  <c r="DJ92" i="8610"/>
  <c r="DU92" i="8610"/>
  <c r="DZ92" i="8610"/>
  <c r="ED92" i="8610"/>
  <c r="BQ92" i="8610"/>
  <c r="CA25" i="8610"/>
  <c r="BZ25" i="8610"/>
  <c r="CB25" i="8610"/>
  <c r="CE25" i="8610"/>
  <c r="CD25" i="8610"/>
  <c r="CH25" i="8610"/>
  <c r="CB80" i="8610"/>
  <c r="CE80" i="8610"/>
  <c r="CV80" i="8610"/>
  <c r="CW80" i="8610" s="1"/>
  <c r="CC97" i="8610"/>
  <c r="BZ97" i="8610"/>
  <c r="CB97" i="8610"/>
  <c r="DH86" i="8610"/>
  <c r="DE86" i="8610"/>
  <c r="DG86" i="8610"/>
  <c r="DJ86" i="8610"/>
  <c r="DT86" i="8610"/>
  <c r="EC86" i="8610"/>
  <c r="BQ86" i="8610"/>
  <c r="DL50" i="8610"/>
  <c r="DF50" i="8610"/>
  <c r="CW88" i="8610"/>
  <c r="CA29" i="8610"/>
  <c r="CD29" i="8610"/>
  <c r="BX29" i="8610"/>
  <c r="BY29" i="8610"/>
  <c r="BZ29" i="8610"/>
  <c r="CC29" i="8610"/>
  <c r="CH29" i="8610"/>
  <c r="CV29" i="8610"/>
  <c r="CW29" i="8610"/>
  <c r="DJ94" i="8610"/>
  <c r="DH91" i="8610"/>
  <c r="CZ84" i="8610"/>
  <c r="DH83" i="8610"/>
  <c r="BQ83" i="8610"/>
  <c r="ED82" i="8610"/>
  <c r="BQ81" i="8610"/>
  <c r="CZ80" i="8610"/>
  <c r="DL78" i="8610"/>
  <c r="CC78" i="8610"/>
  <c r="ED77" i="8610"/>
  <c r="DL76" i="8610"/>
  <c r="BQ75" i="8610"/>
  <c r="CV74" i="8610"/>
  <c r="CW74" i="8610" s="1"/>
  <c r="CH71" i="8610"/>
  <c r="CA70" i="8610"/>
  <c r="BY68" i="8610"/>
  <c r="CH67" i="8610"/>
  <c r="DF65" i="8610"/>
  <c r="CA64" i="8610"/>
  <c r="DB63" i="8610"/>
  <c r="DK61" i="8610"/>
  <c r="EA59" i="8610"/>
  <c r="DB58" i="8610"/>
  <c r="DU57" i="8610"/>
  <c r="DH55" i="8610"/>
  <c r="CH54" i="8610"/>
  <c r="CP44" i="8610"/>
  <c r="DL38" i="8610"/>
  <c r="DG91" i="8610"/>
  <c r="EA90" i="8610"/>
  <c r="BP83" i="8610"/>
  <c r="BW78" i="8610"/>
  <c r="EA77" i="8610"/>
  <c r="CE74" i="8610"/>
  <c r="CD67" i="8610"/>
  <c r="DF61" i="8610"/>
  <c r="CH44" i="8610"/>
  <c r="DB20" i="8610"/>
  <c r="DK20" i="8610"/>
  <c r="DL20" i="8610"/>
  <c r="DZ20" i="8610"/>
  <c r="BQ20" i="8610"/>
  <c r="CZ20" i="8610"/>
  <c r="DF91" i="8610"/>
  <c r="BV78" i="8610"/>
  <c r="CE44" i="8610"/>
  <c r="DU96" i="8610"/>
  <c r="DE94" i="8610"/>
  <c r="DB91" i="8610"/>
  <c r="DJ90" i="8610"/>
  <c r="BZ89" i="8610"/>
  <c r="CE84" i="8610"/>
  <c r="CV83" i="8610"/>
  <c r="CW83" i="8610" s="1"/>
  <c r="DI82" i="8610"/>
  <c r="EA81" i="8610"/>
  <c r="EA79" i="8610"/>
  <c r="DI78" i="8610"/>
  <c r="BQ78" i="8610"/>
  <c r="DB77" i="8610"/>
  <c r="CY76" i="8610"/>
  <c r="DZ75" i="8610"/>
  <c r="BV74" i="8610"/>
  <c r="DZ72" i="8610"/>
  <c r="BZ71" i="8610"/>
  <c r="DK70" i="8610"/>
  <c r="BZ67" i="8610"/>
  <c r="BV64" i="8610"/>
  <c r="CD61" i="8610"/>
  <c r="DJ60" i="8610"/>
  <c r="DL59" i="8610"/>
  <c r="BQ59" i="8610"/>
  <c r="EC58" i="8610"/>
  <c r="CV55" i="8610"/>
  <c r="CB54" i="8610"/>
  <c r="BX53" i="8610"/>
  <c r="BZ50" i="8610"/>
  <c r="DU47" i="8610"/>
  <c r="CC44" i="8610"/>
  <c r="CC43" i="8610"/>
  <c r="EC36" i="8610"/>
  <c r="CY36" i="8610"/>
  <c r="ED32" i="8610"/>
  <c r="DG26" i="8610"/>
  <c r="DZ24" i="8610"/>
  <c r="DH22" i="8610"/>
  <c r="DE22" i="8610"/>
  <c r="DF22" i="8610"/>
  <c r="DG22" i="8610"/>
  <c r="DK22" i="8610"/>
  <c r="DL22" i="8610"/>
  <c r="BQ22" i="8610"/>
  <c r="DZ22" i="8610"/>
  <c r="ED22" i="8610"/>
  <c r="CY22" i="8610"/>
  <c r="DI20" i="8610"/>
  <c r="ED91" i="8610"/>
  <c r="CZ91" i="8610"/>
  <c r="DH90" i="8610"/>
  <c r="EC85" i="8610"/>
  <c r="BW84" i="8610"/>
  <c r="CP83" i="8610"/>
  <c r="DZ81" i="8610"/>
  <c r="DU79" i="8610"/>
  <c r="CY77" i="8610"/>
  <c r="DU72" i="8610"/>
  <c r="DJ70" i="8610"/>
  <c r="BX67" i="8610"/>
  <c r="BY61" i="8610"/>
  <c r="DH60" i="8610"/>
  <c r="DK59" i="8610"/>
  <c r="EA58" i="8610"/>
  <c r="CH58" i="8610"/>
  <c r="CC57" i="8610"/>
  <c r="DU56" i="8610"/>
  <c r="DG54" i="8610"/>
  <c r="CA54" i="8610"/>
  <c r="CV51" i="8610"/>
  <c r="BY50" i="8610"/>
  <c r="ED49" i="8610"/>
  <c r="CE48" i="8610"/>
  <c r="DL47" i="8610"/>
  <c r="BY45" i="8610"/>
  <c r="CA44" i="8610"/>
  <c r="EA36" i="8610"/>
  <c r="CC36" i="8610"/>
  <c r="ED34" i="8610"/>
  <c r="CZ34" i="8610"/>
  <c r="EC32" i="8610"/>
  <c r="EA28" i="8610"/>
  <c r="BQ28" i="8610"/>
  <c r="CP27" i="8610"/>
  <c r="CW27" i="8610"/>
  <c r="CP99" i="8610"/>
  <c r="EA91" i="8610"/>
  <c r="CY91" i="8610"/>
  <c r="DB90" i="8610"/>
  <c r="DU85" i="8610"/>
  <c r="CH83" i="8610"/>
  <c r="DJ81" i="8610"/>
  <c r="DT79" i="8610"/>
  <c r="DI72" i="8610"/>
  <c r="DI70" i="8610"/>
  <c r="BW67" i="8610"/>
  <c r="DI59" i="8610"/>
  <c r="DZ58" i="8610"/>
  <c r="BZ54" i="8610"/>
  <c r="EC49" i="8610"/>
  <c r="BZ44" i="8610"/>
  <c r="DZ36" i="8610"/>
  <c r="BZ36" i="8610"/>
  <c r="EA32" i="8610"/>
  <c r="DH26" i="8610"/>
  <c r="DT26" i="8610"/>
  <c r="CZ26" i="8610"/>
  <c r="EA26" i="8610"/>
  <c r="DK26" i="8610"/>
  <c r="DF24" i="8610"/>
  <c r="EC24" i="8610"/>
  <c r="BQ24" i="8610"/>
  <c r="DJ24" i="8610"/>
  <c r="DU24" i="8610"/>
  <c r="DZ91" i="8610"/>
  <c r="DJ85" i="8610"/>
  <c r="CE83" i="8610"/>
  <c r="DZ71" i="8610"/>
  <c r="DL49" i="8610"/>
  <c r="BY44" i="8610"/>
  <c r="BY36" i="8610"/>
  <c r="CE99" i="8610"/>
  <c r="DU91" i="8610"/>
  <c r="DI85" i="8610"/>
  <c r="ED84" i="8610"/>
  <c r="CB83" i="8610"/>
  <c r="DF81" i="8610"/>
  <c r="DI79" i="8610"/>
  <c r="DI75" i="8610"/>
  <c r="CB72" i="8610"/>
  <c r="DT71" i="8610"/>
  <c r="DG70" i="8610"/>
  <c r="DK68" i="8610"/>
  <c r="BP67" i="8610"/>
  <c r="CW60" i="8610"/>
  <c r="DG59" i="8610"/>
  <c r="DT58" i="8610"/>
  <c r="EC54" i="8610"/>
  <c r="DB54" i="8610"/>
  <c r="BW54" i="8610"/>
  <c r="DH49" i="8610"/>
  <c r="BV45" i="8610"/>
  <c r="BX44" i="8610"/>
  <c r="DJ36" i="8610"/>
  <c r="BW36" i="8610"/>
  <c r="CD35" i="8610"/>
  <c r="DZ34" i="8610"/>
  <c r="CC34" i="8610"/>
  <c r="DG32" i="8610"/>
  <c r="DH28" i="8610"/>
  <c r="CY26" i="8610"/>
  <c r="CZ24" i="8610"/>
  <c r="BW72" i="8610"/>
  <c r="DL99" i="8610"/>
  <c r="CB99" i="8610"/>
  <c r="CC98" i="8610"/>
  <c r="DB95" i="8610"/>
  <c r="EC94" i="8610"/>
  <c r="DK91" i="8610"/>
  <c r="BQ91" i="8610"/>
  <c r="CZ88" i="8610"/>
  <c r="CH87" i="8610"/>
  <c r="CZ85" i="8610"/>
  <c r="DT84" i="8610"/>
  <c r="DL83" i="8610"/>
  <c r="BY83" i="8610"/>
  <c r="CY81" i="8610"/>
  <c r="CZ79" i="8610"/>
  <c r="DZ78" i="8610"/>
  <c r="CY78" i="8610"/>
  <c r="BQ77" i="8610"/>
  <c r="CY75" i="8610"/>
  <c r="BV72" i="8610"/>
  <c r="DK71" i="8610"/>
  <c r="CY70" i="8610"/>
  <c r="DB68" i="8610"/>
  <c r="DH67" i="8610"/>
  <c r="CV64" i="8610"/>
  <c r="CW64" i="8610" s="1"/>
  <c r="DI62" i="8610"/>
  <c r="CD60" i="8610"/>
  <c r="DI58" i="8610"/>
  <c r="DT55" i="8610"/>
  <c r="DE49" i="8610"/>
  <c r="CZ44" i="8610"/>
  <c r="BV44" i="8610"/>
  <c r="BY40" i="8610"/>
  <c r="BW39" i="8610"/>
  <c r="DH36" i="8610"/>
  <c r="BQ36" i="8610"/>
  <c r="DT34" i="8610"/>
  <c r="BZ34" i="8610"/>
  <c r="DZ33" i="8610"/>
  <c r="DE32" i="8610"/>
  <c r="DL30" i="8610"/>
  <c r="BP27" i="8610"/>
  <c r="EC26" i="8610"/>
  <c r="BY99" i="8610"/>
  <c r="DT94" i="8610"/>
  <c r="DJ91" i="8610"/>
  <c r="CA85" i="8610"/>
  <c r="DG84" i="8610"/>
  <c r="DK83" i="8610"/>
  <c r="BW83" i="8610"/>
  <c r="CV81" i="8610"/>
  <c r="CW81" i="8610" s="1"/>
  <c r="CP79" i="8610"/>
  <c r="DU78" i="8610"/>
  <c r="CW78" i="8610"/>
  <c r="CH75" i="8610"/>
  <c r="DU74" i="8610"/>
  <c r="CD70" i="8610"/>
  <c r="CE68" i="8610"/>
  <c r="CW67" i="8610"/>
  <c r="EC66" i="8610"/>
  <c r="DH65" i="8610"/>
  <c r="BQ65" i="8610"/>
  <c r="CP64" i="8610"/>
  <c r="ED63" i="8610"/>
  <c r="DF62" i="8610"/>
  <c r="BY60" i="8610"/>
  <c r="ED59" i="8610"/>
  <c r="DB59" i="8610"/>
  <c r="DG58" i="8610"/>
  <c r="BQ58" i="8610"/>
  <c r="DL55" i="8610"/>
  <c r="DU54" i="8610"/>
  <c r="CW54" i="8610"/>
  <c r="BP54" i="8610"/>
  <c r="CV49" i="8610"/>
  <c r="CW49" i="8610" s="1"/>
  <c r="BW40" i="8610"/>
  <c r="DG36" i="8610"/>
  <c r="DL34" i="8610"/>
  <c r="BV34" i="8610"/>
  <c r="DB32" i="8610"/>
  <c r="DK30" i="8610"/>
  <c r="DK28" i="8610"/>
  <c r="DZ28" i="8610"/>
  <c r="DZ26" i="8610"/>
  <c r="CZ25" i="8610"/>
  <c r="DZ25" i="8610"/>
  <c r="EA22" i="8610"/>
  <c r="CB26" i="8610"/>
  <c r="DJ23" i="8610"/>
  <c r="DU18" i="8610"/>
  <c r="CC18" i="8610"/>
  <c r="ED17" i="8610"/>
  <c r="DJ16" i="8610"/>
  <c r="DU15" i="8610"/>
  <c r="DL14" i="8610"/>
  <c r="DL10" i="8610"/>
  <c r="EA8" i="8610"/>
  <c r="CV7" i="8610"/>
  <c r="CP22" i="8610"/>
  <c r="CB18" i="8610"/>
  <c r="DU17" i="8610"/>
  <c r="DI16" i="8610"/>
  <c r="CY15" i="8610"/>
  <c r="BQ11" i="8610"/>
  <c r="DK10" i="8610"/>
  <c r="ED9" i="8610"/>
  <c r="BW18" i="8610"/>
  <c r="DH17" i="8610"/>
  <c r="DG16" i="8610"/>
  <c r="BX15" i="8610"/>
  <c r="CD12" i="8610"/>
  <c r="DI10" i="8610"/>
  <c r="DG8" i="8610"/>
  <c r="DF17" i="8610"/>
  <c r="DG10" i="8610"/>
  <c r="DB17" i="8610"/>
  <c r="BP18" i="8610"/>
  <c r="CY17" i="8610"/>
  <c r="CY16" i="8610"/>
  <c r="CA24" i="8610"/>
  <c r="CD19" i="8610"/>
  <c r="BZ17" i="8610"/>
  <c r="ED16" i="8610"/>
  <c r="CA16" i="8610"/>
  <c r="BX13" i="8610"/>
  <c r="BY12" i="8610"/>
  <c r="CY8" i="8610"/>
  <c r="BX19" i="8610"/>
  <c r="DZ16" i="8610"/>
  <c r="CW8" i="8610"/>
  <c r="BW19" i="8610"/>
  <c r="EC18" i="8610"/>
  <c r="CW18" i="8610"/>
  <c r="DU16" i="8610"/>
  <c r="BQ16" i="8610"/>
  <c r="EA14" i="8610"/>
  <c r="DH11" i="8610"/>
  <c r="EA10" i="8610"/>
  <c r="CC8" i="8610"/>
  <c r="DL7" i="8610"/>
  <c r="DG6" i="8610"/>
  <c r="DI27" i="8610"/>
  <c r="ED23" i="8610"/>
  <c r="BW23" i="8610"/>
  <c r="BP19" i="8610"/>
  <c r="EA18" i="8610"/>
  <c r="CP18" i="8610"/>
  <c r="DT16" i="8610"/>
  <c r="ED15" i="8610"/>
  <c r="DU14" i="8610"/>
  <c r="DF11" i="8610"/>
  <c r="DZ10" i="8610"/>
  <c r="DJ7" i="8610"/>
  <c r="DE6" i="8610"/>
  <c r="DT19" i="8614"/>
  <c r="DK5" i="8614"/>
  <c r="EC8" i="8614"/>
  <c r="DH18" i="8614"/>
  <c r="ED7" i="8614"/>
  <c r="BZ10" i="8614"/>
  <c r="CY15" i="8614"/>
  <c r="BW10" i="8614"/>
  <c r="CW8" i="8614"/>
  <c r="DE18" i="8614"/>
  <c r="DG6" i="8614"/>
  <c r="DB18" i="8614"/>
  <c r="CA6" i="8614"/>
  <c r="EC5" i="8614"/>
  <c r="DE8" i="8614"/>
  <c r="CZ5" i="8614"/>
  <c r="CP8" i="8614"/>
  <c r="CC5" i="8614"/>
  <c r="DI18" i="8614"/>
  <c r="CH5" i="8614"/>
  <c r="DZ5" i="8614"/>
  <c r="EA5" i="8614" s="1"/>
  <c r="EC17" i="8614"/>
  <c r="CD8" i="8614"/>
  <c r="EA14" i="8614"/>
  <c r="CA8" i="8614"/>
  <c r="CD16" i="8614"/>
  <c r="DK14" i="8614"/>
  <c r="BZ12" i="8614"/>
  <c r="DG14" i="8614"/>
  <c r="DH9" i="8614"/>
  <c r="DT7" i="8614"/>
  <c r="DB14" i="8614"/>
  <c r="DZ18" i="8614"/>
  <c r="EC7" i="8614"/>
  <c r="DH14" i="8614"/>
  <c r="DU10" i="8614"/>
  <c r="DE10" i="8614"/>
  <c r="DF7" i="8614"/>
  <c r="CY18" i="8614"/>
  <c r="BZ14" i="8614"/>
  <c r="DK7" i="8614"/>
  <c r="BY18" i="8614"/>
  <c r="BW14" i="8614"/>
  <c r="CA13" i="8614"/>
  <c r="DE12" i="8614"/>
  <c r="DI7" i="8614"/>
  <c r="CP12" i="8614"/>
  <c r="CH7" i="8614"/>
  <c r="DH5" i="8614"/>
  <c r="DT17" i="8614"/>
  <c r="DK15" i="8614"/>
  <c r="BQ14" i="8614"/>
  <c r="CE12" i="8614"/>
  <c r="DH11" i="8614"/>
  <c r="BX7" i="8614"/>
  <c r="DJ5" i="8614"/>
  <c r="EC18" i="8614"/>
  <c r="CD12" i="8614"/>
  <c r="BW7" i="8614"/>
  <c r="ED19" i="8614"/>
  <c r="CY16" i="8614"/>
  <c r="CA12" i="8614"/>
  <c r="ED5" i="8614"/>
  <c r="DL19" i="8614"/>
  <c r="DJ18" i="8614"/>
  <c r="DZ14" i="8614"/>
  <c r="DF19" i="8614"/>
  <c r="BP12" i="8614"/>
  <c r="CP5" i="8614"/>
  <c r="BW18" i="8614"/>
  <c r="BY16" i="8614"/>
  <c r="BX15" i="8614"/>
  <c r="DB10" i="8614"/>
  <c r="DJ7" i="8614"/>
  <c r="CY6" i="8614"/>
  <c r="CV5" i="8614"/>
  <c r="ED11" i="8614"/>
  <c r="CZ10" i="8614"/>
  <c r="CZ8" i="8614"/>
  <c r="CW18" i="8614"/>
  <c r="BP18" i="8614"/>
  <c r="BQ16" i="8614"/>
  <c r="DU11" i="8614"/>
  <c r="CY10" i="8614"/>
  <c r="CP18" i="8614"/>
  <c r="EC10" i="8614"/>
  <c r="CH18" i="8614"/>
  <c r="DG17" i="8614"/>
  <c r="DU14" i="8614"/>
  <c r="DZ10" i="8614"/>
  <c r="DL9" i="8614"/>
  <c r="CE8" i="8614"/>
  <c r="CE18" i="8614"/>
  <c r="BP5" i="8614"/>
  <c r="CC18" i="8614"/>
  <c r="DU16" i="8614"/>
  <c r="CV11" i="8614"/>
  <c r="CW11" i="8614" s="1"/>
  <c r="DK10" i="8614"/>
  <c r="BQ10" i="8614"/>
  <c r="CY9" i="8614"/>
  <c r="BY5" i="8614"/>
  <c r="CB18" i="8614"/>
  <c r="DK16" i="8614"/>
  <c r="CD11" i="8614"/>
  <c r="DJ10" i="8614"/>
  <c r="BZ8" i="8614"/>
  <c r="BZ5" i="8614"/>
  <c r="CA18" i="8614"/>
  <c r="DB16" i="8614"/>
  <c r="CC11" i="8614"/>
  <c r="DI10" i="8614"/>
  <c r="CB5" i="8614"/>
  <c r="CV19" i="8614"/>
  <c r="BZ18" i="8614"/>
  <c r="CZ16" i="8614"/>
  <c r="CZ14" i="8614"/>
  <c r="CB11" i="8614"/>
  <c r="DH10" i="8614"/>
  <c r="BP8" i="8614"/>
  <c r="BX11" i="8614"/>
  <c r="DG10" i="8614"/>
  <c r="BX18" i="8614"/>
  <c r="CE5" i="8614"/>
  <c r="DL5" i="8614"/>
  <c r="CD19" i="8614"/>
  <c r="DK18" i="8614"/>
  <c r="CD18" i="8614"/>
  <c r="DU17" i="8614"/>
  <c r="DI16" i="8614"/>
  <c r="BX16" i="8614"/>
  <c r="DU15" i="8614"/>
  <c r="EC14" i="8614"/>
  <c r="CY14" i="8614"/>
  <c r="DL13" i="8614"/>
  <c r="CH12" i="8614"/>
  <c r="CP11" i="8614"/>
  <c r="EA10" i="8614"/>
  <c r="CW10" i="8614"/>
  <c r="DU9" i="8614"/>
  <c r="CH8" i="8614"/>
  <c r="DG7" i="8614"/>
  <c r="BZ6" i="8614"/>
  <c r="BW16" i="8614"/>
  <c r="CP14" i="8614"/>
  <c r="CP10" i="8614"/>
  <c r="DU19" i="8614"/>
  <c r="DL17" i="8614"/>
  <c r="CH14" i="8614"/>
  <c r="BP14" i="8614"/>
  <c r="BX13" i="8614"/>
  <c r="EC12" i="8614"/>
  <c r="CH10" i="8614"/>
  <c r="BP10" i="8614"/>
  <c r="DZ8" i="8614"/>
  <c r="DH17" i="8614"/>
  <c r="CV15" i="8614"/>
  <c r="CW15" i="8614" s="1"/>
  <c r="CE14" i="8614"/>
  <c r="DZ12" i="8614"/>
  <c r="CE10" i="8614"/>
  <c r="DU8" i="8614"/>
  <c r="CW16" i="8614"/>
  <c r="BP16" i="8614"/>
  <c r="CP15" i="8614"/>
  <c r="CD14" i="8614"/>
  <c r="DU12" i="8614"/>
  <c r="CD10" i="8614"/>
  <c r="BW9" i="8614"/>
  <c r="DK8" i="8614"/>
  <c r="AW5" i="8614"/>
  <c r="BQ5" i="8614"/>
  <c r="DB5" i="8614"/>
  <c r="DK19" i="8614"/>
  <c r="DF17" i="8614"/>
  <c r="CP16" i="8614"/>
  <c r="CD15" i="8614"/>
  <c r="DJ14" i="8614"/>
  <c r="CC14" i="8614"/>
  <c r="DK12" i="8614"/>
  <c r="BY12" i="8614"/>
  <c r="BW11" i="8614"/>
  <c r="CC10" i="8614"/>
  <c r="DJ8" i="8614"/>
  <c r="BY8" i="8614"/>
  <c r="DH7" i="8614"/>
  <c r="BV5" i="8614"/>
  <c r="DE5" i="8614"/>
  <c r="DH19" i="8614"/>
  <c r="CZ18" i="8614"/>
  <c r="DE17" i="8614"/>
  <c r="CH16" i="8614"/>
  <c r="CC15" i="8614"/>
  <c r="DI14" i="8614"/>
  <c r="CB14" i="8614"/>
  <c r="DJ12" i="8614"/>
  <c r="BX12" i="8614"/>
  <c r="BV11" i="8614"/>
  <c r="CB10" i="8614"/>
  <c r="DI8" i="8614"/>
  <c r="BX8" i="8614"/>
  <c r="DB7" i="8614"/>
  <c r="DF5" i="8614"/>
  <c r="DG19" i="8614"/>
  <c r="CY17" i="8614"/>
  <c r="CE16" i="8614"/>
  <c r="CB15" i="8614"/>
  <c r="CA14" i="8614"/>
  <c r="DI12" i="8614"/>
  <c r="BW12" i="8614"/>
  <c r="CA10" i="8614"/>
  <c r="BW8" i="8614"/>
  <c r="DH6" i="8614"/>
  <c r="DF8" i="8614"/>
  <c r="DG5" i="8614"/>
  <c r="CA5" i="8614"/>
  <c r="DI5" i="8614"/>
  <c r="DE19" i="8614"/>
  <c r="EA18" i="8614"/>
  <c r="BQ18" i="8614"/>
  <c r="DZ16" i="8614"/>
  <c r="CA16" i="8614"/>
  <c r="BW15" i="8614"/>
  <c r="DE14" i="8614"/>
  <c r="BY14" i="8614"/>
  <c r="CZ12" i="8614"/>
  <c r="BQ12" i="8614"/>
  <c r="BY10" i="8614"/>
  <c r="CY8" i="8614"/>
  <c r="BQ8" i="8614"/>
  <c r="BZ7" i="8614"/>
  <c r="DF6" i="8614"/>
  <c r="BZ16" i="8614"/>
  <c r="BV15" i="8614"/>
  <c r="BX14" i="8614"/>
  <c r="CY12" i="8614"/>
  <c r="BX10" i="8614"/>
  <c r="BP5" i="8610"/>
  <c r="DZ5" i="8610"/>
  <c r="BQ5" i="8610"/>
  <c r="BX5" i="8610"/>
  <c r="BZ5" i="8610"/>
  <c r="CD5" i="8610"/>
  <c r="CE5" i="8610"/>
  <c r="CE94" i="8610"/>
  <c r="CH94" i="8610"/>
  <c r="CW94" i="8610"/>
  <c r="CP95" i="8610"/>
  <c r="CW95" i="8610"/>
  <c r="CC95" i="8610"/>
  <c r="CA94" i="8610"/>
  <c r="CA97" i="8610"/>
  <c r="DI90" i="8610"/>
  <c r="BV89" i="8610"/>
  <c r="BY87" i="8610"/>
  <c r="ED86" i="8610"/>
  <c r="DF86" i="8610"/>
  <c r="CB85" i="8610"/>
  <c r="DU82" i="8610"/>
  <c r="CY82" i="8610"/>
  <c r="ED80" i="8610"/>
  <c r="BZ79" i="8610"/>
  <c r="EC77" i="8610"/>
  <c r="CZ77" i="8610"/>
  <c r="BY75" i="8610"/>
  <c r="EC74" i="8610"/>
  <c r="CW89" i="8610"/>
  <c r="BW87" i="8610"/>
  <c r="BP81" i="8610"/>
  <c r="DI99" i="8610"/>
  <c r="CD99" i="8610"/>
  <c r="DL98" i="8610"/>
  <c r="BY97" i="8610"/>
  <c r="DJ95" i="8610"/>
  <c r="EA94" i="8610"/>
  <c r="DB94" i="8610"/>
  <c r="CB93" i="8610"/>
  <c r="DG90" i="8610"/>
  <c r="DU89" i="8610"/>
  <c r="CV89" i="8610"/>
  <c r="BP89" i="8610"/>
  <c r="ED87" i="8610"/>
  <c r="DB87" i="8610"/>
  <c r="BV87" i="8610"/>
  <c r="EA86" i="8610"/>
  <c r="DB86" i="8610"/>
  <c r="BP86" i="8610"/>
  <c r="DF85" i="8610"/>
  <c r="BZ85" i="8610"/>
  <c r="DL82" i="8610"/>
  <c r="DU81" i="8610"/>
  <c r="CH81" i="8610"/>
  <c r="DU80" i="8610"/>
  <c r="BY80" i="8610"/>
  <c r="DG79" i="8610"/>
  <c r="BW79" i="8610"/>
  <c r="BP78" i="8610"/>
  <c r="DZ77" i="8610"/>
  <c r="CV77" i="8610"/>
  <c r="CW77" i="8610" s="1"/>
  <c r="BP77" i="8610"/>
  <c r="CV76" i="8610"/>
  <c r="CW76" i="8610" s="1"/>
  <c r="DT74" i="8610"/>
  <c r="CB74" i="8610"/>
  <c r="DE71" i="8610"/>
  <c r="CZ71" i="8610"/>
  <c r="ED71" i="8610"/>
  <c r="BQ71" i="8610"/>
  <c r="DB71" i="8610"/>
  <c r="DF71" i="8610"/>
  <c r="DH71" i="8610"/>
  <c r="DI71" i="8610"/>
  <c r="DU71" i="8610"/>
  <c r="CY71" i="8610"/>
  <c r="EA71" i="8610"/>
  <c r="BP97" i="8610"/>
  <c r="DI95" i="8610"/>
  <c r="BQ95" i="8610"/>
  <c r="DZ94" i="8610"/>
  <c r="CZ94" i="8610"/>
  <c r="CA93" i="8610"/>
  <c r="ED90" i="8610"/>
  <c r="DF90" i="8610"/>
  <c r="DT89" i="8610"/>
  <c r="CH89" i="8610"/>
  <c r="EA87" i="8610"/>
  <c r="CZ87" i="8610"/>
  <c r="BQ87" i="8610"/>
  <c r="DZ86" i="8610"/>
  <c r="CZ86" i="8610"/>
  <c r="DE85" i="8610"/>
  <c r="BY85" i="8610"/>
  <c r="DK82" i="8610"/>
  <c r="DT81" i="8610"/>
  <c r="CE81" i="8610"/>
  <c r="DT80" i="8610"/>
  <c r="BW80" i="8610"/>
  <c r="DF79" i="8610"/>
  <c r="BV79" i="8610"/>
  <c r="DU77" i="8610"/>
  <c r="CH77" i="8610"/>
  <c r="CB76" i="8610"/>
  <c r="DF75" i="8610"/>
  <c r="DL74" i="8610"/>
  <c r="BY74" i="8610"/>
  <c r="BQ98" i="8610"/>
  <c r="CW96" i="8610"/>
  <c r="DH95" i="8610"/>
  <c r="DU94" i="8610"/>
  <c r="CY94" i="8610"/>
  <c r="BY93" i="8610"/>
  <c r="EC90" i="8610"/>
  <c r="DE90" i="8610"/>
  <c r="DL89" i="8610"/>
  <c r="CE89" i="8610"/>
  <c r="DZ87" i="8610"/>
  <c r="CY87" i="8610"/>
  <c r="BP87" i="8610"/>
  <c r="DU86" i="8610"/>
  <c r="CY86" i="8610"/>
  <c r="ED85" i="8610"/>
  <c r="DB85" i="8610"/>
  <c r="BX85" i="8610"/>
  <c r="DI83" i="8610"/>
  <c r="DJ82" i="8610"/>
  <c r="DL81" i="8610"/>
  <c r="CC81" i="8610"/>
  <c r="DL80" i="8610"/>
  <c r="BP80" i="8610"/>
  <c r="ED79" i="8610"/>
  <c r="DB79" i="8610"/>
  <c r="BQ79" i="8610"/>
  <c r="DT77" i="8610"/>
  <c r="CE77" i="8610"/>
  <c r="ED76" i="8610"/>
  <c r="BY76" i="8610"/>
  <c r="DB75" i="8610"/>
  <c r="DK74" i="8610"/>
  <c r="BW74" i="8610"/>
  <c r="CC89" i="8610"/>
  <c r="CW87" i="8610"/>
  <c r="BW85" i="8610"/>
  <c r="CB81" i="8610"/>
  <c r="DI80" i="8610"/>
  <c r="BP79" i="8610"/>
  <c r="DL77" i="8610"/>
  <c r="BW76" i="8610"/>
  <c r="DJ74" i="8610"/>
  <c r="ED99" i="8610"/>
  <c r="DB99" i="8610"/>
  <c r="BW99" i="8610"/>
  <c r="DH98" i="8610"/>
  <c r="CH96" i="8610"/>
  <c r="DF95" i="8610"/>
  <c r="DL94" i="8610"/>
  <c r="CB92" i="8610"/>
  <c r="DT91" i="8610"/>
  <c r="CE91" i="8610"/>
  <c r="DZ90" i="8610"/>
  <c r="CZ90" i="8610"/>
  <c r="DI89" i="8610"/>
  <c r="CB89" i="8610"/>
  <c r="DG88" i="8610"/>
  <c r="DT87" i="8610"/>
  <c r="CV87" i="8610"/>
  <c r="DL86" i="8610"/>
  <c r="CV86" i="8610"/>
  <c r="EA85" i="8610"/>
  <c r="CY85" i="8610"/>
  <c r="BV85" i="8610"/>
  <c r="DZ84" i="8610"/>
  <c r="BV84" i="8610"/>
  <c r="DG83" i="8610"/>
  <c r="DH82" i="8610"/>
  <c r="DI81" i="8610"/>
  <c r="CA81" i="8610"/>
  <c r="DG80" i="8610"/>
  <c r="DZ79" i="8610"/>
  <c r="CY79" i="8610"/>
  <c r="CV78" i="8610"/>
  <c r="DJ77" i="8610"/>
  <c r="CB77" i="8610"/>
  <c r="DU76" i="8610"/>
  <c r="BV76" i="8610"/>
  <c r="CV75" i="8610"/>
  <c r="CW75" i="8610" s="1"/>
  <c r="DI74" i="8610"/>
  <c r="BQ74" i="8610"/>
  <c r="CB91" i="8610"/>
  <c r="DU90" i="8610"/>
  <c r="CY90" i="8610"/>
  <c r="CA89" i="8610"/>
  <c r="CP87" i="8610"/>
  <c r="DK86" i="8610"/>
  <c r="CE86" i="8610"/>
  <c r="DZ85" i="8610"/>
  <c r="CW85" i="8610"/>
  <c r="BQ85" i="8610"/>
  <c r="DG82" i="8610"/>
  <c r="BQ82" i="8610"/>
  <c r="BZ81" i="8610"/>
  <c r="DF80" i="8610"/>
  <c r="CV79" i="8610"/>
  <c r="CW79" i="8610" s="1"/>
  <c r="DI77" i="8610"/>
  <c r="CA77" i="8610"/>
  <c r="DT76" i="8610"/>
  <c r="DE75" i="8610"/>
  <c r="CZ75" i="8610"/>
  <c r="DH74" i="8610"/>
  <c r="BP74" i="8610"/>
  <c r="DB72" i="8610"/>
  <c r="CY72" i="8610"/>
  <c r="CZ72" i="8610"/>
  <c r="DF72" i="8610"/>
  <c r="ED72" i="8610"/>
  <c r="CV85" i="8610"/>
  <c r="BP85" i="8610"/>
  <c r="BX75" i="8610"/>
  <c r="BV75" i="8610"/>
  <c r="BP75" i="8610"/>
  <c r="DU99" i="8610"/>
  <c r="BQ99" i="8610"/>
  <c r="EC98" i="8610"/>
  <c r="DE98" i="8610"/>
  <c r="CV97" i="8610"/>
  <c r="CW97" i="8610" s="1"/>
  <c r="BZ96" i="8610"/>
  <c r="DZ95" i="8610"/>
  <c r="CY95" i="8610"/>
  <c r="DI94" i="8610"/>
  <c r="BQ94" i="8610"/>
  <c r="DL90" i="8610"/>
  <c r="BQ90" i="8610"/>
  <c r="DE89" i="8610"/>
  <c r="BY89" i="8610"/>
  <c r="DJ87" i="8610"/>
  <c r="CE87" i="8610"/>
  <c r="DI86" i="8610"/>
  <c r="CB86" i="8610"/>
  <c r="DT85" i="8610"/>
  <c r="CH85" i="8610"/>
  <c r="DL84" i="8610"/>
  <c r="EA83" i="8610"/>
  <c r="CZ83" i="8610"/>
  <c r="EC82" i="8610"/>
  <c r="DE82" i="8610"/>
  <c r="DE81" i="8610"/>
  <c r="BX81" i="8610"/>
  <c r="CY80" i="8610"/>
  <c r="DL79" i="8610"/>
  <c r="CH79" i="8610"/>
  <c r="CB78" i="8610"/>
  <c r="DF77" i="8610"/>
  <c r="BY77" i="8610"/>
  <c r="DI76" i="8610"/>
  <c r="DT75" i="8610"/>
  <c r="CE75" i="8610"/>
  <c r="DF74" i="8610"/>
  <c r="DT72" i="8610"/>
  <c r="CV99" i="8610"/>
  <c r="CW99" i="8610" s="1"/>
  <c r="BP99" i="8610"/>
  <c r="EA98" i="8610"/>
  <c r="CE97" i="8610"/>
  <c r="BY96" i="8610"/>
  <c r="DU95" i="8610"/>
  <c r="ED89" i="8610"/>
  <c r="DB89" i="8610"/>
  <c r="BX89" i="8610"/>
  <c r="DI87" i="8610"/>
  <c r="CB87" i="8610"/>
  <c r="DL85" i="8610"/>
  <c r="CE85" i="8610"/>
  <c r="DI84" i="8610"/>
  <c r="DZ83" i="8610"/>
  <c r="CY83" i="8610"/>
  <c r="EA82" i="8610"/>
  <c r="ED81" i="8610"/>
  <c r="DB81" i="8610"/>
  <c r="BW81" i="8610"/>
  <c r="DK79" i="8610"/>
  <c r="CE79" i="8610"/>
  <c r="BY78" i="8610"/>
  <c r="DE77" i="8610"/>
  <c r="BX77" i="8610"/>
  <c r="DG76" i="8610"/>
  <c r="DL75" i="8610"/>
  <c r="CB75" i="8610"/>
  <c r="DL72" i="8610"/>
  <c r="BW89" i="8610"/>
  <c r="BZ87" i="8610"/>
  <c r="CC85" i="8610"/>
  <c r="BV81" i="8610"/>
  <c r="CB79" i="8610"/>
  <c r="BZ75" i="8610"/>
  <c r="DB74" i="8610"/>
  <c r="DE74" i="8610"/>
  <c r="ED74" i="8610"/>
  <c r="CY74" i="8610"/>
  <c r="DZ74" i="8610"/>
  <c r="BY72" i="8610"/>
  <c r="DT70" i="8610"/>
  <c r="CE70" i="8610"/>
  <c r="DE69" i="8610"/>
  <c r="BQ69" i="8610"/>
  <c r="CZ68" i="8610"/>
  <c r="ED67" i="8610"/>
  <c r="CC67" i="8610"/>
  <c r="DB66" i="8610"/>
  <c r="DT65" i="8610"/>
  <c r="CC65" i="8610"/>
  <c r="BX64" i="8610"/>
  <c r="DG63" i="8610"/>
  <c r="EA62" i="8610"/>
  <c r="DT61" i="8610"/>
  <c r="DK60" i="8610"/>
  <c r="CC60" i="8610"/>
  <c r="BW59" i="8610"/>
  <c r="DF58" i="8610"/>
  <c r="BX52" i="8610"/>
  <c r="DI50" i="8610"/>
  <c r="CD50" i="8610"/>
  <c r="BZ46" i="8610"/>
  <c r="CV43" i="8610"/>
  <c r="DL42" i="8610"/>
  <c r="CA42" i="8610"/>
  <c r="DH40" i="8610"/>
  <c r="CA40" i="8610"/>
  <c r="DZ38" i="8610"/>
  <c r="CY38" i="8610"/>
  <c r="CV35" i="8610"/>
  <c r="BP35" i="8610"/>
  <c r="CB31" i="8610"/>
  <c r="CW30" i="8610"/>
  <c r="CY25" i="8610"/>
  <c r="DB21" i="8610"/>
  <c r="CD17" i="8610"/>
  <c r="DF15" i="8610"/>
  <c r="DU11" i="8610"/>
  <c r="CP9" i="8610"/>
  <c r="BZ7" i="8610"/>
  <c r="DU67" i="8610"/>
  <c r="CE66" i="8610"/>
  <c r="DT62" i="8610"/>
  <c r="DH50" i="8610"/>
  <c r="CB50" i="8610"/>
  <c r="DK42" i="8610"/>
  <c r="BY42" i="8610"/>
  <c r="BZ40" i="8610"/>
  <c r="DU38" i="8610"/>
  <c r="ED35" i="8610"/>
  <c r="CH35" i="8610"/>
  <c r="BZ31" i="8610"/>
  <c r="DT30" i="8610"/>
  <c r="CP30" i="8610"/>
  <c r="DI28" i="8610"/>
  <c r="CV25" i="8610"/>
  <c r="CW25" i="8610" s="1"/>
  <c r="EA24" i="8610"/>
  <c r="DB24" i="8610"/>
  <c r="EC22" i="8610"/>
  <c r="DB22" i="8610"/>
  <c r="BP22" i="8610"/>
  <c r="CY21" i="8610"/>
  <c r="BV21" i="8610"/>
  <c r="DU20" i="8610"/>
  <c r="CY20" i="8610"/>
  <c r="CB19" i="8610"/>
  <c r="DI18" i="8610"/>
  <c r="CA18" i="8610"/>
  <c r="CC17" i="8610"/>
  <c r="DL16" i="8610"/>
  <c r="DB15" i="8610"/>
  <c r="DZ14" i="8610"/>
  <c r="CY14" i="8610"/>
  <c r="CC12" i="8610"/>
  <c r="DT11" i="8610"/>
  <c r="BY11" i="8610"/>
  <c r="CH9" i="8610"/>
  <c r="DI8" i="8610"/>
  <c r="BP8" i="8610"/>
  <c r="ED7" i="8610"/>
  <c r="BY7" i="8610"/>
  <c r="DL6" i="8610"/>
  <c r="CP71" i="8610"/>
  <c r="CC70" i="8610"/>
  <c r="DK67" i="8610"/>
  <c r="CC66" i="8610"/>
  <c r="DJ62" i="8610"/>
  <c r="DJ61" i="8610"/>
  <c r="DI60" i="8610"/>
  <c r="ED57" i="8610"/>
  <c r="BX56" i="8610"/>
  <c r="CZ52" i="8610"/>
  <c r="BV52" i="8610"/>
  <c r="CE51" i="8610"/>
  <c r="DG50" i="8610"/>
  <c r="CA50" i="8610"/>
  <c r="BW46" i="8610"/>
  <c r="DJ42" i="8610"/>
  <c r="BW42" i="8610"/>
  <c r="CV38" i="8610"/>
  <c r="CW38" i="8610" s="1"/>
  <c r="DZ35" i="8610"/>
  <c r="CE35" i="8610"/>
  <c r="BX31" i="8610"/>
  <c r="CH30" i="8610"/>
  <c r="CW21" i="8610"/>
  <c r="BP21" i="8610"/>
  <c r="DT20" i="8610"/>
  <c r="BZ19" i="8610"/>
  <c r="CB17" i="8610"/>
  <c r="CZ15" i="8610"/>
  <c r="CA14" i="8610"/>
  <c r="EC12" i="8610"/>
  <c r="DL11" i="8610"/>
  <c r="CE9" i="8610"/>
  <c r="DU7" i="8610"/>
  <c r="BX7" i="8610"/>
  <c r="DK6" i="8610"/>
  <c r="BP6" i="8610"/>
  <c r="DI67" i="8610"/>
  <c r="DL64" i="8610"/>
  <c r="DZ12" i="8610"/>
  <c r="CD9" i="8610"/>
  <c r="BW7" i="8610"/>
  <c r="ED50" i="8610"/>
  <c r="DE50" i="8610"/>
  <c r="DG42" i="8610"/>
  <c r="BQ42" i="8610"/>
  <c r="CH38" i="8610"/>
  <c r="BV7" i="8610"/>
  <c r="BZ70" i="8610"/>
  <c r="DE67" i="8610"/>
  <c r="BX66" i="8610"/>
  <c r="DB62" i="8610"/>
  <c r="DB61" i="8610"/>
  <c r="DE60" i="8610"/>
  <c r="CV59" i="8610"/>
  <c r="DT57" i="8610"/>
  <c r="CW56" i="8610"/>
  <c r="CP52" i="8610"/>
  <c r="ED51" i="8610"/>
  <c r="CB51" i="8610"/>
  <c r="EC50" i="8610"/>
  <c r="DB50" i="8610"/>
  <c r="BW50" i="8610"/>
  <c r="CB49" i="8610"/>
  <c r="DZ46" i="8610"/>
  <c r="CY46" i="8610"/>
  <c r="BP46" i="8610"/>
  <c r="ED45" i="8610"/>
  <c r="CB43" i="8610"/>
  <c r="DF42" i="8610"/>
  <c r="DG41" i="8610"/>
  <c r="DZ40" i="8610"/>
  <c r="CZ40" i="8610"/>
  <c r="BQ40" i="8610"/>
  <c r="DJ38" i="8610"/>
  <c r="CC38" i="8610"/>
  <c r="DT36" i="8610"/>
  <c r="CV36" i="8610"/>
  <c r="CW36" i="8610" s="1"/>
  <c r="BP36" i="8610"/>
  <c r="DL35" i="8610"/>
  <c r="CB35" i="8610"/>
  <c r="DI34" i="8610"/>
  <c r="BQ34" i="8610"/>
  <c r="DJ33" i="8610"/>
  <c r="DZ32" i="8610"/>
  <c r="CZ32" i="8610"/>
  <c r="EA31" i="8610"/>
  <c r="BQ31" i="8610"/>
  <c r="DI30" i="8610"/>
  <c r="CB30" i="8610"/>
  <c r="CB29" i="8610"/>
  <c r="EC28" i="8610"/>
  <c r="DE28" i="8610"/>
  <c r="BV28" i="8610"/>
  <c r="DL27" i="8610"/>
  <c r="BV27" i="8610"/>
  <c r="DU25" i="8610"/>
  <c r="CC25" i="8610"/>
  <c r="DL24" i="8610"/>
  <c r="CE22" i="8610"/>
  <c r="DJ20" i="8610"/>
  <c r="BV19" i="8610"/>
  <c r="BX17" i="8610"/>
  <c r="DZ15" i="8610"/>
  <c r="DJ12" i="8610"/>
  <c r="DG11" i="8610"/>
  <c r="CB9" i="8610"/>
  <c r="CZ62" i="8610"/>
  <c r="CZ61" i="8610"/>
  <c r="CP59" i="8610"/>
  <c r="CH52" i="8610"/>
  <c r="DU51" i="8610"/>
  <c r="BX51" i="8610"/>
  <c r="EA50" i="8610"/>
  <c r="CZ50" i="8610"/>
  <c r="CP46" i="8610"/>
  <c r="DU45" i="8610"/>
  <c r="CA43" i="8610"/>
  <c r="ED42" i="8610"/>
  <c r="DE42" i="8610"/>
  <c r="DF41" i="8610"/>
  <c r="DU40" i="8610"/>
  <c r="CY40" i="8610"/>
  <c r="DT39" i="8610"/>
  <c r="DI38" i="8610"/>
  <c r="CB38" i="8610"/>
  <c r="DL36" i="8610"/>
  <c r="CP36" i="8610"/>
  <c r="DI35" i="8610"/>
  <c r="BZ35" i="8610"/>
  <c r="DG34" i="8610"/>
  <c r="DI33" i="8610"/>
  <c r="DU32" i="8610"/>
  <c r="CY32" i="8610"/>
  <c r="BP31" i="8610"/>
  <c r="DG30" i="8610"/>
  <c r="BY30" i="8610"/>
  <c r="CC22" i="8610"/>
  <c r="BW17" i="8610"/>
  <c r="DF12" i="8610"/>
  <c r="CA9" i="8610"/>
  <c r="BY71" i="8610"/>
  <c r="DE70" i="8610"/>
  <c r="BX70" i="8610"/>
  <c r="EA60" i="8610"/>
  <c r="CZ60" i="8610"/>
  <c r="CH59" i="8610"/>
  <c r="DJ57" i="8610"/>
  <c r="CP56" i="8610"/>
  <c r="CE52" i="8610"/>
  <c r="DI51" i="8610"/>
  <c r="BW51" i="8610"/>
  <c r="DZ50" i="8610"/>
  <c r="CY50" i="8610"/>
  <c r="BQ50" i="8610"/>
  <c r="DT46" i="8610"/>
  <c r="CH46" i="8610"/>
  <c r="DL45" i="8610"/>
  <c r="BZ43" i="8610"/>
  <c r="EC42" i="8610"/>
  <c r="DB42" i="8610"/>
  <c r="DT40" i="8610"/>
  <c r="CV40" i="8610"/>
  <c r="DI39" i="8610"/>
  <c r="DG38" i="8610"/>
  <c r="CA38" i="8610"/>
  <c r="CH36" i="8610"/>
  <c r="DG35" i="8610"/>
  <c r="BY35" i="8610"/>
  <c r="DT32" i="8610"/>
  <c r="CV32" i="8610"/>
  <c r="CW31" i="8610"/>
  <c r="DF30" i="8610"/>
  <c r="BW30" i="8610"/>
  <c r="CB22" i="8610"/>
  <c r="ED21" i="8610"/>
  <c r="CC21" i="8610"/>
  <c r="DH20" i="8610"/>
  <c r="BV17" i="8610"/>
  <c r="DT15" i="8610"/>
  <c r="DI14" i="8610"/>
  <c r="DB12" i="8610"/>
  <c r="BW12" i="8610"/>
  <c r="DE11" i="8610"/>
  <c r="EA9" i="8610"/>
  <c r="BZ9" i="8610"/>
  <c r="CP7" i="8610"/>
  <c r="CZ6" i="8610"/>
  <c r="BW71" i="8610"/>
  <c r="DB70" i="8610"/>
  <c r="BW70" i="8610"/>
  <c r="DJ68" i="8610"/>
  <c r="CP67" i="8610"/>
  <c r="CD64" i="8610"/>
  <c r="BX62" i="8610"/>
  <c r="CA61" i="8610"/>
  <c r="DZ60" i="8610"/>
  <c r="CY60" i="8610"/>
  <c r="CD59" i="8610"/>
  <c r="DJ58" i="8610"/>
  <c r="DF57" i="8610"/>
  <c r="CH56" i="8610"/>
  <c r="CC52" i="8610"/>
  <c r="DH51" i="8610"/>
  <c r="BV51" i="8610"/>
  <c r="DU50" i="8610"/>
  <c r="CW50" i="8610"/>
  <c r="BP50" i="8610"/>
  <c r="BX49" i="8610"/>
  <c r="CE47" i="8610"/>
  <c r="DK46" i="8610"/>
  <c r="CE46" i="8610"/>
  <c r="CW45" i="8610"/>
  <c r="CW44" i="8610"/>
  <c r="BY43" i="8610"/>
  <c r="EA42" i="8610"/>
  <c r="CZ42" i="8610"/>
  <c r="ED41" i="8610"/>
  <c r="CZ41" i="8610"/>
  <c r="DL40" i="8610"/>
  <c r="CH40" i="8610"/>
  <c r="DF39" i="8610"/>
  <c r="DF38" i="8610"/>
  <c r="BZ38" i="8610"/>
  <c r="CE36" i="8610"/>
  <c r="DF35" i="8610"/>
  <c r="BX35" i="8610"/>
  <c r="DG33" i="8610"/>
  <c r="DL32" i="8610"/>
  <c r="CE32" i="8610"/>
  <c r="CV31" i="8610"/>
  <c r="ED30" i="8610"/>
  <c r="DE30" i="8610"/>
  <c r="CY28" i="8610"/>
  <c r="DH25" i="8610"/>
  <c r="BY25" i="8610"/>
  <c r="DI24" i="8610"/>
  <c r="DJ22" i="8610"/>
  <c r="CA22" i="8610"/>
  <c r="DU21" i="8610"/>
  <c r="CB21" i="8610"/>
  <c r="DG20" i="8610"/>
  <c r="CW19" i="8610"/>
  <c r="CW17" i="8610"/>
  <c r="BP17" i="8610"/>
  <c r="EC16" i="8610"/>
  <c r="DE16" i="8610"/>
  <c r="DL15" i="8610"/>
  <c r="DH14" i="8610"/>
  <c r="BV13" i="8610"/>
  <c r="CY12" i="8610"/>
  <c r="DB11" i="8610"/>
  <c r="DI9" i="8610"/>
  <c r="BX9" i="8610"/>
  <c r="CH7" i="8610"/>
  <c r="CY6" i="8610"/>
  <c r="BV71" i="8610"/>
  <c r="DB57" i="8610"/>
  <c r="CA52" i="8610"/>
  <c r="DF51" i="8610"/>
  <c r="BP51" i="8610"/>
  <c r="DT50" i="8610"/>
  <c r="CP50" i="8610"/>
  <c r="BW49" i="8610"/>
  <c r="DJ46" i="8610"/>
  <c r="CD46" i="8610"/>
  <c r="CV45" i="8610"/>
  <c r="BX43" i="8610"/>
  <c r="DZ42" i="8610"/>
  <c r="CY42" i="8610"/>
  <c r="DK40" i="8610"/>
  <c r="CE40" i="8610"/>
  <c r="ED38" i="8610"/>
  <c r="DE38" i="8610"/>
  <c r="DB35" i="8610"/>
  <c r="BW35" i="8610"/>
  <c r="DK32" i="8610"/>
  <c r="BZ32" i="8610"/>
  <c r="CH31" i="8610"/>
  <c r="EC30" i="8610"/>
  <c r="DB30" i="8610"/>
  <c r="BQ30" i="8610"/>
  <c r="BW29" i="8610"/>
  <c r="DT28" i="8610"/>
  <c r="CW28" i="8610"/>
  <c r="CV27" i="8610"/>
  <c r="DF25" i="8610"/>
  <c r="BX25" i="8610"/>
  <c r="DH24" i="8610"/>
  <c r="DL23" i="8610"/>
  <c r="BV23" i="8610"/>
  <c r="DI22" i="8610"/>
  <c r="BY22" i="8610"/>
  <c r="DL21" i="8610"/>
  <c r="BZ21" i="8610"/>
  <c r="ED20" i="8610"/>
  <c r="DF20" i="8610"/>
  <c r="CV19" i="8610"/>
  <c r="DT18" i="8610"/>
  <c r="CV17" i="8610"/>
  <c r="EA16" i="8610"/>
  <c r="DJ15" i="8610"/>
  <c r="DG14" i="8610"/>
  <c r="CP12" i="8610"/>
  <c r="BQ12" i="8610"/>
  <c r="ED11" i="8610"/>
  <c r="CY11" i="8610"/>
  <c r="DE9" i="8610"/>
  <c r="BW9" i="8610"/>
  <c r="CD7" i="8610"/>
  <c r="CP6" i="8610"/>
  <c r="DU73" i="8610"/>
  <c r="CH73" i="8610"/>
  <c r="CV72" i="8610"/>
  <c r="CW72" i="8610" s="1"/>
  <c r="EC70" i="8610"/>
  <c r="CP70" i="8610"/>
  <c r="BQ70" i="8610"/>
  <c r="ED69" i="8610"/>
  <c r="CE67" i="8610"/>
  <c r="DU66" i="8610"/>
  <c r="BZ64" i="8610"/>
  <c r="EC63" i="8610"/>
  <c r="BQ62" i="8610"/>
  <c r="EC61" i="8610"/>
  <c r="DT60" i="8610"/>
  <c r="CA59" i="8610"/>
  <c r="DH58" i="8610"/>
  <c r="CC56" i="8610"/>
  <c r="ED55" i="8610"/>
  <c r="BZ52" i="8610"/>
  <c r="DK50" i="8610"/>
  <c r="CH50" i="8610"/>
  <c r="DU49" i="8610"/>
  <c r="BV49" i="8610"/>
  <c r="DE48" i="8610"/>
  <c r="DI46" i="8610"/>
  <c r="CB46" i="8610"/>
  <c r="CD45" i="8610"/>
  <c r="BV43" i="8610"/>
  <c r="DU42" i="8610"/>
  <c r="CV42" i="8610"/>
  <c r="DZ41" i="8610"/>
  <c r="DJ40" i="8610"/>
  <c r="CC40" i="8610"/>
  <c r="EC38" i="8610"/>
  <c r="DB38" i="8610"/>
  <c r="BQ38" i="8610"/>
  <c r="CD37" i="8610"/>
  <c r="CB36" i="8610"/>
  <c r="CZ35" i="8610"/>
  <c r="BV35" i="8610"/>
  <c r="DJ32" i="8610"/>
  <c r="BW32" i="8610"/>
  <c r="CE31" i="8610"/>
  <c r="EA30" i="8610"/>
  <c r="CZ30" i="8610"/>
  <c r="BP30" i="8610"/>
  <c r="BV29" i="8610"/>
  <c r="DL28" i="8610"/>
  <c r="CV28" i="8610"/>
  <c r="CH27" i="8610"/>
  <c r="DB25" i="8610"/>
  <c r="BW25" i="8610"/>
  <c r="DG24" i="8610"/>
  <c r="BW22" i="8610"/>
  <c r="DH21" i="8610"/>
  <c r="BY21" i="8610"/>
  <c r="EC20" i="8610"/>
  <c r="DE20" i="8610"/>
  <c r="CH19" i="8610"/>
  <c r="CH17" i="8610"/>
  <c r="DI15" i="8610"/>
  <c r="DE14" i="8610"/>
  <c r="CH12" i="8610"/>
  <c r="BP12" i="8610"/>
  <c r="EC11" i="8610"/>
  <c r="CV11" i="8610"/>
  <c r="CW11" i="8610" s="1"/>
  <c r="CZ10" i="8610"/>
  <c r="BV9" i="8610"/>
  <c r="DZ8" i="8610"/>
  <c r="CA8" i="8610"/>
  <c r="CB7" i="8610"/>
  <c r="EC6" i="8610"/>
  <c r="CE6" i="8610"/>
  <c r="BP71" i="8610"/>
  <c r="CH70" i="8610"/>
  <c r="DJ63" i="8610"/>
  <c r="EC62" i="8610"/>
  <c r="EA61" i="8610"/>
  <c r="BX59" i="8610"/>
  <c r="BY52" i="8610"/>
  <c r="DJ50" i="8610"/>
  <c r="CE50" i="8610"/>
  <c r="CA46" i="8610"/>
  <c r="CW43" i="8610"/>
  <c r="BP43" i="8610"/>
  <c r="DT42" i="8610"/>
  <c r="CB40" i="8610"/>
  <c r="EA38" i="8610"/>
  <c r="CZ38" i="8610"/>
  <c r="BP38" i="8610"/>
  <c r="CC37" i="8610"/>
  <c r="CD33" i="8610"/>
  <c r="CC31" i="8610"/>
  <c r="DZ30" i="8610"/>
  <c r="CY30" i="8610"/>
  <c r="CE27" i="8610"/>
  <c r="BV25" i="8610"/>
  <c r="ED24" i="8610"/>
  <c r="DF21" i="8610"/>
  <c r="BX21" i="8610"/>
  <c r="EA20" i="8610"/>
  <c r="CE19" i="8610"/>
  <c r="DK18" i="8610"/>
  <c r="CE17" i="8610"/>
  <c r="DH15" i="8610"/>
  <c r="EC14" i="8610"/>
  <c r="DZ11" i="8610"/>
  <c r="CC11" i="8610"/>
  <c r="EC10" i="8610"/>
  <c r="CY10" i="8610"/>
  <c r="CV9" i="8610"/>
  <c r="CW9" i="8610" s="1"/>
  <c r="BP9" i="8610"/>
  <c r="BY8" i="8610"/>
  <c r="CC6" i="8610"/>
  <c r="BV5" i="8609"/>
  <c r="CZ5" i="8609"/>
  <c r="DH25" i="8609"/>
  <c r="BQ25" i="8609"/>
  <c r="EC24" i="8609"/>
  <c r="DB24" i="8609"/>
  <c r="BW24" i="8609"/>
  <c r="DT22" i="8609"/>
  <c r="DU21" i="8609"/>
  <c r="DF20" i="8609"/>
  <c r="BZ20" i="8609"/>
  <c r="DU18" i="8609"/>
  <c r="CC12" i="8609"/>
  <c r="CW9" i="8609"/>
  <c r="CY6" i="8609"/>
  <c r="BX5" i="8609"/>
  <c r="DE5" i="8609"/>
  <c r="CZ24" i="8609"/>
  <c r="ED6" i="8609"/>
  <c r="BQ6" i="8609"/>
  <c r="CZ6" i="8609"/>
  <c r="BY5" i="8609"/>
  <c r="DF5" i="8609"/>
  <c r="DZ24" i="8609"/>
  <c r="CY24" i="8609"/>
  <c r="BQ24" i="8609"/>
  <c r="DH23" i="8609"/>
  <c r="DK22" i="8609"/>
  <c r="CY21" i="8609"/>
  <c r="BP21" i="8609"/>
  <c r="ED20" i="8609"/>
  <c r="DB20" i="8609"/>
  <c r="BW20" i="8609"/>
  <c r="DH19" i="8609"/>
  <c r="DL18" i="8609"/>
  <c r="BW16" i="8609"/>
  <c r="CB13" i="8609"/>
  <c r="DG12" i="8609"/>
  <c r="CA12" i="8609"/>
  <c r="EC10" i="8609"/>
  <c r="CE9" i="8609"/>
  <c r="DJ8" i="8609"/>
  <c r="DL7" i="8609"/>
  <c r="BZ7" i="8609"/>
  <c r="EC6" i="8609"/>
  <c r="CP6" i="8609"/>
  <c r="BP6" i="8609"/>
  <c r="BZ5" i="8609"/>
  <c r="DG5" i="8609"/>
  <c r="DU24" i="8609"/>
  <c r="DB23" i="8609"/>
  <c r="BZ12" i="8609"/>
  <c r="DU10" i="8609"/>
  <c r="BQ10" i="8609"/>
  <c r="CD9" i="8609"/>
  <c r="EA6" i="8609"/>
  <c r="DK5" i="8609"/>
  <c r="BY12" i="8609"/>
  <c r="DT10" i="8609"/>
  <c r="DU6" i="8609"/>
  <c r="CB5" i="8609"/>
  <c r="DZ5" i="8609"/>
  <c r="BW12" i="8609"/>
  <c r="DL10" i="8609"/>
  <c r="CB9" i="8609"/>
  <c r="DK6" i="8609"/>
  <c r="CC5" i="8609"/>
  <c r="EC5" i="8609"/>
  <c r="DK24" i="8609"/>
  <c r="CD24" i="8609"/>
  <c r="DE18" i="8609"/>
  <c r="DB15" i="8609"/>
  <c r="DJ14" i="8609"/>
  <c r="BQ13" i="8609"/>
  <c r="EA12" i="8609"/>
  <c r="CZ12" i="8609"/>
  <c r="DK10" i="8609"/>
  <c r="ED9" i="8609"/>
  <c r="BX9" i="8609"/>
  <c r="DJ6" i="8609"/>
  <c r="CB6" i="8609"/>
  <c r="BW18" i="8609"/>
  <c r="ED5" i="8609"/>
  <c r="DJ24" i="8609"/>
  <c r="CC24" i="8609"/>
  <c r="CW22" i="8609"/>
  <c r="DL20" i="8609"/>
  <c r="CH20" i="8609"/>
  <c r="DB18" i="8609"/>
  <c r="DU13" i="8609"/>
  <c r="CY12" i="8609"/>
  <c r="BQ12" i="8609"/>
  <c r="DJ10" i="8609"/>
  <c r="DU9" i="8609"/>
  <c r="BW9" i="8609"/>
  <c r="CV7" i="8609"/>
  <c r="DH6" i="8609"/>
  <c r="CA6" i="8609"/>
  <c r="CW5" i="8609"/>
  <c r="CE5" i="8609"/>
  <c r="CW15" i="8609"/>
  <c r="DJ13" i="8609"/>
  <c r="DU12" i="8609"/>
  <c r="CW12" i="8609"/>
  <c r="DI10" i="8609"/>
  <c r="DJ9" i="8609"/>
  <c r="DF6" i="8609"/>
  <c r="BZ6" i="8609"/>
  <c r="CH5" i="8609"/>
  <c r="CW18" i="8609"/>
  <c r="CY13" i="8609"/>
  <c r="DT12" i="8609"/>
  <c r="CP12" i="8609"/>
  <c r="DE10" i="8609"/>
  <c r="DG9" i="8609"/>
  <c r="BQ9" i="8609"/>
  <c r="DE6" i="8609"/>
  <c r="BY6" i="8609"/>
  <c r="BP5" i="8609"/>
  <c r="CP5" i="8609"/>
  <c r="DF24" i="8609"/>
  <c r="BZ24" i="8609"/>
  <c r="EC22" i="8609"/>
  <c r="BQ22" i="8609"/>
  <c r="DH20" i="8609"/>
  <c r="CB20" i="8609"/>
  <c r="CA18" i="8609"/>
  <c r="CB16" i="8609"/>
  <c r="BZ15" i="8609"/>
  <c r="CW13" i="8609"/>
  <c r="DL12" i="8609"/>
  <c r="CH12" i="8609"/>
  <c r="DB10" i="8609"/>
  <c r="DF9" i="8609"/>
  <c r="BP9" i="8609"/>
  <c r="DB6" i="8609"/>
  <c r="BX6" i="8609"/>
  <c r="CW8" i="8608"/>
  <c r="DZ7" i="8608"/>
  <c r="EA7" i="8608" s="1"/>
  <c r="CD6" i="8608"/>
  <c r="ED7" i="8608"/>
  <c r="CP8" i="8608"/>
  <c r="DU7" i="8608"/>
  <c r="DT7" i="8608"/>
  <c r="DL7" i="8608"/>
  <c r="CE8" i="8608"/>
  <c r="DK7" i="8608"/>
  <c r="CD7" i="8608"/>
  <c r="BW6" i="8608"/>
  <c r="DJ7" i="8608"/>
  <c r="DH7" i="8608"/>
  <c r="CC8" i="8608"/>
  <c r="CY9" i="8608"/>
  <c r="CB8" i="8608"/>
  <c r="DG7" i="8608"/>
  <c r="CA7" i="8608"/>
  <c r="BX8" i="8608"/>
  <c r="DF7" i="8608"/>
  <c r="BZ7" i="8608"/>
  <c r="BQ9" i="8608"/>
  <c r="DU8" i="8608"/>
  <c r="BW8" i="8608"/>
  <c r="DE7" i="8608"/>
  <c r="BY7" i="8608"/>
  <c r="DJ8" i="8608"/>
  <c r="DH8" i="8608"/>
  <c r="BQ8" i="8608"/>
  <c r="EC7" i="8608"/>
  <c r="CZ7" i="8608"/>
  <c r="BQ7" i="8608"/>
  <c r="DB6" i="8608"/>
  <c r="DB7" i="8608"/>
  <c r="CY8" i="8608"/>
  <c r="BP8" i="8608"/>
  <c r="CY7" i="8608"/>
  <c r="AY5" i="8608"/>
  <c r="BV9" i="8608"/>
  <c r="CV9" i="8608"/>
  <c r="BX9" i="8608"/>
  <c r="BY9" i="8608"/>
  <c r="BZ9" i="8608"/>
  <c r="CA9" i="8608"/>
  <c r="CB9" i="8608"/>
  <c r="CC9" i="8608"/>
  <c r="CH9" i="8608"/>
  <c r="CE9" i="8608"/>
  <c r="CD9" i="8608"/>
  <c r="BP9" i="8608"/>
  <c r="CW9" i="8608"/>
  <c r="CP9" i="8608"/>
  <c r="BW9" i="8608"/>
  <c r="DT5" i="8608"/>
  <c r="DK5" i="8608"/>
  <c r="DH5" i="8608"/>
  <c r="DJ5" i="8608"/>
  <c r="BQ5" i="8608"/>
  <c r="DI5" i="8608"/>
  <c r="DG5" i="8608"/>
  <c r="DF5" i="8608"/>
  <c r="DZ5" i="8608"/>
  <c r="ED5" i="8608"/>
  <c r="EA5" i="8608"/>
  <c r="EC5" i="8608"/>
  <c r="DE5" i="8608"/>
  <c r="CZ5" i="8608"/>
  <c r="DB5" i="8608"/>
  <c r="CY5" i="8608"/>
  <c r="AZ5" i="8608"/>
  <c r="BU5" i="8608"/>
  <c r="AX5" i="8608"/>
  <c r="AW5" i="8608"/>
  <c r="AU5" i="8608"/>
  <c r="AV5" i="8608"/>
  <c r="BO5" i="8608"/>
  <c r="BN5" i="8608"/>
  <c r="AT5" i="8608"/>
  <c r="BM5" i="8608"/>
  <c r="BJ5" i="8608"/>
  <c r="AS5" i="8608"/>
  <c r="BK5" i="8608"/>
  <c r="BL5" i="8608" s="1"/>
  <c r="AR5" i="8608"/>
  <c r="AQ5" i="8608"/>
  <c r="DU5" i="8608"/>
  <c r="EN5" i="8609"/>
  <c r="EM5" i="8609"/>
  <c r="FA5" i="8609"/>
  <c r="EX5" i="8609"/>
  <c r="EL5" i="8609"/>
  <c r="EW5" i="8609"/>
  <c r="EK5" i="8609"/>
  <c r="EV5" i="8609"/>
  <c r="EJ5" i="8609"/>
  <c r="EU5" i="8609"/>
  <c r="EI5" i="8609"/>
  <c r="ET5" i="8609"/>
  <c r="EH5" i="8609"/>
  <c r="EP5" i="8609"/>
  <c r="ES5" i="8609"/>
  <c r="EG5" i="8609"/>
  <c r="EQ5" i="8609"/>
  <c r="ER5" i="8609"/>
  <c r="EF5" i="8609"/>
  <c r="EE5" i="8609"/>
  <c r="FJ5" i="8609"/>
  <c r="EO5" i="8609"/>
  <c r="BX23" i="8609"/>
  <c r="CP22" i="8609"/>
  <c r="DH21" i="8609"/>
  <c r="BX19" i="8609"/>
  <c r="CP18" i="8609"/>
  <c r="DH17" i="8609"/>
  <c r="BX15" i="8609"/>
  <c r="CP14" i="8609"/>
  <c r="DH13" i="8609"/>
  <c r="BX11" i="8609"/>
  <c r="BA11" i="8609"/>
  <c r="CP10" i="8609"/>
  <c r="DH9" i="8609"/>
  <c r="DU5" i="8610"/>
  <c r="EN5" i="8610"/>
  <c r="EM5" i="8608"/>
  <c r="CH22" i="8609"/>
  <c r="DG21" i="8609"/>
  <c r="CH18" i="8609"/>
  <c r="DG17" i="8609"/>
  <c r="CH14" i="8609"/>
  <c r="DG13" i="8609"/>
  <c r="CH10" i="8609"/>
  <c r="DI9" i="8608"/>
  <c r="ED8" i="8608"/>
  <c r="DL6" i="8608"/>
  <c r="ED25" i="8609"/>
  <c r="DL19" i="8609"/>
  <c r="CV19" i="8609"/>
  <c r="BV19" i="8609"/>
  <c r="BP18" i="8609"/>
  <c r="ED17" i="8609"/>
  <c r="DF17" i="8609"/>
  <c r="CV15" i="8609"/>
  <c r="BV15" i="8609"/>
  <c r="CE14" i="8609"/>
  <c r="BP14" i="8609"/>
  <c r="ED13" i="8609"/>
  <c r="DF13" i="8609"/>
  <c r="CV11" i="8609"/>
  <c r="BV11" i="8609"/>
  <c r="CE10" i="8609"/>
  <c r="BP10" i="8609"/>
  <c r="CY5" i="8610"/>
  <c r="EA5" i="8610"/>
  <c r="DG8" i="8608"/>
  <c r="BZ5" i="8608"/>
  <c r="EN5" i="8608"/>
  <c r="BV6" i="8608"/>
  <c r="DL23" i="8609"/>
  <c r="CV23" i="8609"/>
  <c r="BV23" i="8609"/>
  <c r="BP22" i="8609"/>
  <c r="DF21" i="8609"/>
  <c r="CE18" i="8609"/>
  <c r="CA5" i="8608"/>
  <c r="EO5" i="8608"/>
  <c r="DH9" i="8608"/>
  <c r="BO9" i="8608"/>
  <c r="AU9" i="8608"/>
  <c r="EC8" i="8608"/>
  <c r="DE8" i="8608"/>
  <c r="CA8" i="8608"/>
  <c r="BX7" i="8608"/>
  <c r="DK6" i="8608"/>
  <c r="CP6" i="8608"/>
  <c r="BU6" i="8608"/>
  <c r="AX6" i="8608"/>
  <c r="AU5" i="8609"/>
  <c r="BO5" i="8609"/>
  <c r="DH5" i="8609"/>
  <c r="EC25" i="8609"/>
  <c r="DE25" i="8609"/>
  <c r="CA25" i="8609"/>
  <c r="BX24" i="8609"/>
  <c r="DK23" i="8609"/>
  <c r="CP23" i="8609"/>
  <c r="BU23" i="8609"/>
  <c r="AX23" i="8609"/>
  <c r="DH22" i="8609"/>
  <c r="CD22" i="8609"/>
  <c r="BO22" i="8609"/>
  <c r="AU22" i="8609"/>
  <c r="EC21" i="8609"/>
  <c r="DE21" i="8609"/>
  <c r="CA21" i="8609"/>
  <c r="BX20" i="8609"/>
  <c r="BA20" i="8609"/>
  <c r="DK19" i="8609"/>
  <c r="CP19" i="8609"/>
  <c r="BU19" i="8609"/>
  <c r="AX19" i="8609"/>
  <c r="DH18" i="8609"/>
  <c r="CD18" i="8609"/>
  <c r="BO18" i="8609"/>
  <c r="AU18" i="8609"/>
  <c r="EC17" i="8609"/>
  <c r="DE17" i="8609"/>
  <c r="CA17" i="8609"/>
  <c r="BX16" i="8609"/>
  <c r="BA16" i="8609"/>
  <c r="DK15" i="8609"/>
  <c r="CP15" i="8609"/>
  <c r="BU15" i="8609"/>
  <c r="AX15" i="8609"/>
  <c r="DH14" i="8609"/>
  <c r="CD14" i="8609"/>
  <c r="BO14" i="8609"/>
  <c r="AU14" i="8609"/>
  <c r="EC13" i="8609"/>
  <c r="DE13" i="8609"/>
  <c r="CA13" i="8609"/>
  <c r="BX12" i="8609"/>
  <c r="BA12" i="8609"/>
  <c r="DK11" i="8609"/>
  <c r="CP11" i="8609"/>
  <c r="BU11" i="8609"/>
  <c r="AX11" i="8609"/>
  <c r="DH10" i="8609"/>
  <c r="CD10" i="8609"/>
  <c r="BO10" i="8609"/>
  <c r="AU10" i="8609"/>
  <c r="EC9" i="8609"/>
  <c r="DE9" i="8609"/>
  <c r="CA9" i="8609"/>
  <c r="BA8" i="8609"/>
  <c r="DK7" i="8609"/>
  <c r="BO7" i="8609"/>
  <c r="AT7" i="8609"/>
  <c r="DZ6" i="8609"/>
  <c r="BU6" i="8609"/>
  <c r="AV6" i="8609"/>
  <c r="CZ5" i="8610"/>
  <c r="EC5" i="8610"/>
  <c r="ER5" i="8610"/>
  <c r="DF8" i="8608"/>
  <c r="DF25" i="8609"/>
  <c r="CE22" i="8609"/>
  <c r="CB5" i="8608"/>
  <c r="FJ5" i="8608"/>
  <c r="BN9" i="8608"/>
  <c r="BZ8" i="8608"/>
  <c r="AV5" i="8609"/>
  <c r="DI5" i="8609"/>
  <c r="EA25" i="8609"/>
  <c r="DB25" i="8609"/>
  <c r="DJ23" i="8609"/>
  <c r="CH23" i="8609"/>
  <c r="BQ23" i="8609"/>
  <c r="AW23" i="8609"/>
  <c r="DG22" i="8609"/>
  <c r="CC22" i="8609"/>
  <c r="BN22" i="8609"/>
  <c r="AT22" i="8609"/>
  <c r="EA21" i="8609"/>
  <c r="DB21" i="8609"/>
  <c r="BZ21" i="8609"/>
  <c r="DJ19" i="8609"/>
  <c r="CH19" i="8609"/>
  <c r="BQ19" i="8609"/>
  <c r="AW19" i="8609"/>
  <c r="DG18" i="8609"/>
  <c r="CC18" i="8609"/>
  <c r="BN18" i="8609"/>
  <c r="AT18" i="8609"/>
  <c r="DB17" i="8609"/>
  <c r="BZ17" i="8609"/>
  <c r="DJ15" i="8609"/>
  <c r="CH15" i="8609"/>
  <c r="BQ15" i="8609"/>
  <c r="AW15" i="8609"/>
  <c r="DG14" i="8609"/>
  <c r="CC14" i="8609"/>
  <c r="BN14" i="8609"/>
  <c r="AT14" i="8609"/>
  <c r="DB13" i="8609"/>
  <c r="BZ13" i="8609"/>
  <c r="DJ11" i="8609"/>
  <c r="CH11" i="8609"/>
  <c r="BQ11" i="8609"/>
  <c r="AW11" i="8609"/>
  <c r="CC10" i="8609"/>
  <c r="BN10" i="8609"/>
  <c r="AT10" i="8609"/>
  <c r="DB9" i="8609"/>
  <c r="BZ9" i="8609"/>
  <c r="DI7" i="8609"/>
  <c r="AU6" i="8609"/>
  <c r="DB5" i="8610"/>
  <c r="EE5" i="8610"/>
  <c r="ES5" i="8610"/>
  <c r="FA5" i="8608"/>
  <c r="DT6" i="8608"/>
  <c r="AV9" i="8608"/>
  <c r="CV6" i="8608"/>
  <c r="CW6" i="8608" s="1"/>
  <c r="ED21" i="8609"/>
  <c r="EP5" i="8608"/>
  <c r="AT9" i="8608"/>
  <c r="DB8" i="8608"/>
  <c r="BW7" i="8608"/>
  <c r="DJ6" i="8608"/>
  <c r="CH6" i="8608"/>
  <c r="BQ6" i="8608"/>
  <c r="AW6" i="8608"/>
  <c r="BZ25" i="8609"/>
  <c r="CC5" i="8608"/>
  <c r="EE5" i="8608"/>
  <c r="EQ5" i="8608"/>
  <c r="ED9" i="8608"/>
  <c r="DF9" i="8608"/>
  <c r="BM9" i="8608"/>
  <c r="AS9" i="8608"/>
  <c r="DZ8" i="8608"/>
  <c r="EA8" i="8608" s="1"/>
  <c r="CZ8" i="8608"/>
  <c r="BY8" i="8608"/>
  <c r="CV7" i="8608"/>
  <c r="BV7" i="8608"/>
  <c r="DI6" i="8608"/>
  <c r="CE6" i="8608"/>
  <c r="BP6" i="8608"/>
  <c r="AV6" i="8608"/>
  <c r="AW5" i="8609"/>
  <c r="BQ5" i="8609"/>
  <c r="DJ5" i="8609"/>
  <c r="DZ25" i="8609"/>
  <c r="CZ25" i="8609"/>
  <c r="BY25" i="8609"/>
  <c r="CV24" i="8609"/>
  <c r="BV24" i="8609"/>
  <c r="DI23" i="8609"/>
  <c r="CE23" i="8609"/>
  <c r="BP23" i="8609"/>
  <c r="AV23" i="8609"/>
  <c r="ED22" i="8609"/>
  <c r="DF22" i="8609"/>
  <c r="CB22" i="8609"/>
  <c r="BM22" i="8609"/>
  <c r="AS22" i="8609"/>
  <c r="DZ21" i="8609"/>
  <c r="CZ21" i="8609"/>
  <c r="BY21" i="8609"/>
  <c r="CV20" i="8609"/>
  <c r="BV20" i="8609"/>
  <c r="DI19" i="8609"/>
  <c r="CE19" i="8609"/>
  <c r="BP19" i="8609"/>
  <c r="AV19" i="8609"/>
  <c r="ED18" i="8609"/>
  <c r="DF18" i="8609"/>
  <c r="CB18" i="8609"/>
  <c r="BM18" i="8609"/>
  <c r="AS18" i="8609"/>
  <c r="DZ17" i="8609"/>
  <c r="EA17" i="8609" s="1"/>
  <c r="CZ17" i="8609"/>
  <c r="BY17" i="8609"/>
  <c r="CV16" i="8609"/>
  <c r="BV16" i="8609"/>
  <c r="DI15" i="8609"/>
  <c r="CE15" i="8609"/>
  <c r="BP15" i="8609"/>
  <c r="AV15" i="8609"/>
  <c r="ED14" i="8609"/>
  <c r="DF14" i="8609"/>
  <c r="CB14" i="8609"/>
  <c r="BM14" i="8609"/>
  <c r="AS14" i="8609"/>
  <c r="DZ13" i="8609"/>
  <c r="EA13" i="8609" s="1"/>
  <c r="CZ13" i="8609"/>
  <c r="BY13" i="8609"/>
  <c r="CV12" i="8609"/>
  <c r="BV12" i="8609"/>
  <c r="DI11" i="8609"/>
  <c r="CE11" i="8609"/>
  <c r="BP11" i="8609"/>
  <c r="AV11" i="8609"/>
  <c r="ED10" i="8609"/>
  <c r="DF10" i="8609"/>
  <c r="CB10" i="8609"/>
  <c r="BM10" i="8609"/>
  <c r="AS10" i="8609"/>
  <c r="DZ9" i="8609"/>
  <c r="EA9" i="8609" s="1"/>
  <c r="CZ9" i="8609"/>
  <c r="BY9" i="8609"/>
  <c r="BM7" i="8609"/>
  <c r="AR7" i="8609"/>
  <c r="DT7" i="8609" s="1"/>
  <c r="DL6" i="8609"/>
  <c r="AS6" i="8609"/>
  <c r="CV5" i="8610"/>
  <c r="BV5" i="8610"/>
  <c r="CB5" i="8610"/>
  <c r="BY5" i="8610"/>
  <c r="EF5" i="8610"/>
  <c r="ET5" i="8610"/>
  <c r="CA22" i="8609"/>
  <c r="CA10" i="8609"/>
  <c r="DL5" i="8610"/>
  <c r="ED5" i="8610"/>
  <c r="DF5" i="8610"/>
  <c r="DG5" i="8610"/>
  <c r="DH6" i="8608"/>
  <c r="BP5" i="8608"/>
  <c r="ES5" i="8608"/>
  <c r="DB9" i="8608"/>
  <c r="BK9" i="8608"/>
  <c r="BL9" i="8608" s="1"/>
  <c r="DG6" i="8608"/>
  <c r="CC6" i="8608"/>
  <c r="AT6" i="8608"/>
  <c r="AY5" i="8609"/>
  <c r="DG23" i="8609"/>
  <c r="CC23" i="8609"/>
  <c r="AT23" i="8609"/>
  <c r="DB22" i="8609"/>
  <c r="BK22" i="8609"/>
  <c r="DT21" i="8609"/>
  <c r="DG19" i="8609"/>
  <c r="BN19" i="8609"/>
  <c r="AT19" i="8609"/>
  <c r="BK18" i="8609"/>
  <c r="AQ18" i="8609"/>
  <c r="DT17" i="8609"/>
  <c r="DG15" i="8609"/>
  <c r="BN15" i="8609"/>
  <c r="AT15" i="8609"/>
  <c r="BZ14" i="8609"/>
  <c r="DT13" i="8609"/>
  <c r="DG11" i="8609"/>
  <c r="CC11" i="8609"/>
  <c r="BN11" i="8609"/>
  <c r="AT11" i="8609"/>
  <c r="BZ10" i="8609"/>
  <c r="AQ10" i="8609"/>
  <c r="DG10" i="8609" s="1"/>
  <c r="DT9" i="8609"/>
  <c r="BQ7" i="8609"/>
  <c r="DJ7" i="8609"/>
  <c r="BM6" i="8609"/>
  <c r="AQ6" i="8609"/>
  <c r="EV5" i="8610"/>
  <c r="EJ5" i="8610"/>
  <c r="FJ5" i="8610"/>
  <c r="EP5" i="8610"/>
  <c r="DH5" i="8610"/>
  <c r="EH5" i="8610"/>
  <c r="EW5" i="8610"/>
  <c r="CE5" i="8608"/>
  <c r="EG5" i="8608"/>
  <c r="AQ9" i="8608"/>
  <c r="DG9" i="8608" s="1"/>
  <c r="DT8" i="8608"/>
  <c r="BN6" i="8608"/>
  <c r="DL5" i="8609"/>
  <c r="DT25" i="8609"/>
  <c r="BN23" i="8609"/>
  <c r="EA22" i="8609"/>
  <c r="BZ22" i="8609"/>
  <c r="AQ22" i="8609"/>
  <c r="CC19" i="8609"/>
  <c r="BZ18" i="8609"/>
  <c r="CC15" i="8609"/>
  <c r="CH5" i="8608"/>
  <c r="EH5" i="8608"/>
  <c r="ET5" i="8608"/>
  <c r="DZ9" i="8608"/>
  <c r="EA9" i="8608" s="1"/>
  <c r="BJ9" i="8608"/>
  <c r="DL8" i="8608"/>
  <c r="CV8" i="8608"/>
  <c r="CE7" i="8608"/>
  <c r="ED6" i="8608"/>
  <c r="DF6" i="8608"/>
  <c r="CB6" i="8608"/>
  <c r="BM6" i="8608"/>
  <c r="AS6" i="8608"/>
  <c r="BW5" i="8609"/>
  <c r="DT5" i="8609"/>
  <c r="DL25" i="8609"/>
  <c r="CV25" i="8609"/>
  <c r="CW25" i="8609" s="1"/>
  <c r="CE24" i="8609"/>
  <c r="ED23" i="8609"/>
  <c r="DF23" i="8609"/>
  <c r="CB23" i="8609"/>
  <c r="BM23" i="8609"/>
  <c r="AS23" i="8609"/>
  <c r="DZ22" i="8609"/>
  <c r="BY22" i="8609"/>
  <c r="BJ22" i="8609"/>
  <c r="DL21" i="8609"/>
  <c r="CV21" i="8609"/>
  <c r="CE20" i="8609"/>
  <c r="ED19" i="8609"/>
  <c r="DF19" i="8609"/>
  <c r="CB19" i="8609"/>
  <c r="BM19" i="8609"/>
  <c r="AS19" i="8609"/>
  <c r="DZ18" i="8609"/>
  <c r="BY18" i="8609"/>
  <c r="BJ18" i="8609"/>
  <c r="DL17" i="8609"/>
  <c r="CV17" i="8609"/>
  <c r="BV17" i="8609"/>
  <c r="CE16" i="8609"/>
  <c r="ED15" i="8609"/>
  <c r="DF15" i="8609"/>
  <c r="CB15" i="8609"/>
  <c r="BM15" i="8609"/>
  <c r="AS15" i="8609"/>
  <c r="DZ14" i="8609"/>
  <c r="EA14" i="8609" s="1"/>
  <c r="BY14" i="8609"/>
  <c r="BJ14" i="8609"/>
  <c r="DL13" i="8609"/>
  <c r="CV13" i="8609"/>
  <c r="BV13" i="8609"/>
  <c r="CE12" i="8609"/>
  <c r="ED11" i="8609"/>
  <c r="DF11" i="8609"/>
  <c r="CB11" i="8609"/>
  <c r="BM11" i="8609"/>
  <c r="AS11" i="8609"/>
  <c r="DZ10" i="8609"/>
  <c r="EA10" i="8609" s="1"/>
  <c r="BY10" i="8609"/>
  <c r="BJ10" i="8609"/>
  <c r="DL9" i="8609"/>
  <c r="CV9" i="8609"/>
  <c r="BV9" i="8609"/>
  <c r="ED7" i="8609"/>
  <c r="DE7" i="8609"/>
  <c r="BL6" i="8609"/>
  <c r="CC5" i="8610"/>
  <c r="DI5" i="8610"/>
  <c r="EI5" i="8610"/>
  <c r="EX5" i="8610"/>
  <c r="CP5" i="8608"/>
  <c r="EI5" i="8608"/>
  <c r="EU5" i="8608"/>
  <c r="DK8" i="8608"/>
  <c r="EC6" i="8608"/>
  <c r="DE6" i="8608"/>
  <c r="CA6" i="8608"/>
  <c r="BL6" i="8608"/>
  <c r="CY5" i="8609"/>
  <c r="DU5" i="8609"/>
  <c r="DK25" i="8609"/>
  <c r="EC23" i="8609"/>
  <c r="DE23" i="8609"/>
  <c r="CA23" i="8609"/>
  <c r="BL23" i="8609"/>
  <c r="AR23" i="8609"/>
  <c r="DT23" i="8609" s="1"/>
  <c r="BX22" i="8609"/>
  <c r="DK21" i="8609"/>
  <c r="EC19" i="8609"/>
  <c r="DE19" i="8609"/>
  <c r="CA19" i="8609"/>
  <c r="BL19" i="8609"/>
  <c r="AR19" i="8609"/>
  <c r="DT19" i="8609" s="1"/>
  <c r="BX18" i="8609"/>
  <c r="DK17" i="8609"/>
  <c r="EC15" i="8609"/>
  <c r="DE15" i="8609"/>
  <c r="CA15" i="8609"/>
  <c r="BL15" i="8609"/>
  <c r="AR15" i="8609"/>
  <c r="BX14" i="8609"/>
  <c r="DK13" i="8609"/>
  <c r="CP13" i="8609"/>
  <c r="EC11" i="8609"/>
  <c r="DE11" i="8609"/>
  <c r="CA11" i="8609"/>
  <c r="BL11" i="8609"/>
  <c r="AR11" i="8609"/>
  <c r="DT11" i="8609" s="1"/>
  <c r="BX10" i="8609"/>
  <c r="DK9" i="8609"/>
  <c r="EC7" i="8609"/>
  <c r="DB7" i="8609"/>
  <c r="AW7" i="8609"/>
  <c r="AQ7" i="8609"/>
  <c r="DG7" i="8609" s="1"/>
  <c r="DG6" i="8609"/>
  <c r="DT6" i="8609"/>
  <c r="DJ5" i="8610"/>
  <c r="EK5" i="8610"/>
  <c r="FA5" i="8610"/>
  <c r="BW5" i="8608"/>
  <c r="EK5" i="8608"/>
  <c r="DZ6" i="8608"/>
  <c r="EA6" i="8608" s="1"/>
  <c r="DB5" i="8609"/>
  <c r="DZ23" i="8609"/>
  <c r="EA23" i="8609" s="1"/>
  <c r="CV22" i="8609"/>
  <c r="DZ19" i="8609"/>
  <c r="EA19" i="8609" s="1"/>
  <c r="CV18" i="8609"/>
  <c r="DZ15" i="8609"/>
  <c r="CV14" i="8609"/>
  <c r="CE13" i="8609"/>
  <c r="DZ11" i="8609"/>
  <c r="EA11" i="8609" s="1"/>
  <c r="CV10" i="8609"/>
  <c r="AT6" i="8609"/>
  <c r="BN6" i="8609"/>
  <c r="AZ6" i="8609"/>
  <c r="DT5" i="8610"/>
  <c r="EM5" i="8610"/>
  <c r="BX98" i="8610"/>
  <c r="CB98" i="8610"/>
  <c r="CE98" i="8610"/>
  <c r="BP98" i="8610"/>
  <c r="CH98" i="8610"/>
  <c r="CP98" i="8610"/>
  <c r="BW98" i="8610"/>
  <c r="BZ98" i="8610"/>
  <c r="DG96" i="8610"/>
  <c r="BK96" i="8610"/>
  <c r="BL96" i="8610" s="1"/>
  <c r="CP90" i="8610"/>
  <c r="BX90" i="8610"/>
  <c r="CH90" i="8610"/>
  <c r="BP90" i="8610"/>
  <c r="CV90" i="8610"/>
  <c r="BV90" i="8610"/>
  <c r="BW90" i="8610"/>
  <c r="BY90" i="8610"/>
  <c r="CB90" i="8610"/>
  <c r="CD90" i="8610"/>
  <c r="CE90" i="8610"/>
  <c r="BA96" i="8610"/>
  <c r="BZ90" i="8610"/>
  <c r="AZ96" i="8610"/>
  <c r="DH97" i="8610"/>
  <c r="DK97" i="8610"/>
  <c r="DT97" i="8610"/>
  <c r="CY97" i="8610"/>
  <c r="EA97" i="8610"/>
  <c r="CZ97" i="8610"/>
  <c r="EC97" i="8610"/>
  <c r="DB97" i="8610"/>
  <c r="ED97" i="8610"/>
  <c r="DG97" i="8610"/>
  <c r="DJ97" i="8610"/>
  <c r="DZ97" i="8610"/>
  <c r="AT96" i="8610"/>
  <c r="BX95" i="8610"/>
  <c r="CA95" i="8610"/>
  <c r="CV95" i="8610"/>
  <c r="BW95" i="8610"/>
  <c r="BY95" i="8610"/>
  <c r="BZ95" i="8610"/>
  <c r="CD95" i="8610"/>
  <c r="CH95" i="8610"/>
  <c r="CP94" i="8610"/>
  <c r="BX94" i="8610"/>
  <c r="BY94" i="8610"/>
  <c r="BZ94" i="8610"/>
  <c r="CB94" i="8610"/>
  <c r="CC94" i="8610"/>
  <c r="CD94" i="8610"/>
  <c r="BP94" i="8610"/>
  <c r="CV94" i="8610"/>
  <c r="BV94" i="8610"/>
  <c r="BW94" i="8610"/>
  <c r="AZ87" i="8610"/>
  <c r="BA87" i="8610"/>
  <c r="AR87" i="8610"/>
  <c r="AT87" i="8610"/>
  <c r="BN87" i="8610"/>
  <c r="AU87" i="8610"/>
  <c r="BO87" i="8610"/>
  <c r="AX87" i="8610"/>
  <c r="BU87" i="8610"/>
  <c r="AQ87" i="8610"/>
  <c r="AV87" i="8610"/>
  <c r="AW87" i="8610"/>
  <c r="AY87" i="8610"/>
  <c r="BK87" i="8610"/>
  <c r="BL87" i="8610" s="1"/>
  <c r="BM87" i="8610"/>
  <c r="CV98" i="8610"/>
  <c r="CW98" i="8610" s="1"/>
  <c r="DU97" i="8610"/>
  <c r="BQ97" i="8610"/>
  <c r="AU97" i="8610"/>
  <c r="BO97" i="8610"/>
  <c r="AX97" i="8610"/>
  <c r="BU97" i="8610"/>
  <c r="AR97" i="8610"/>
  <c r="BN97" i="8610"/>
  <c r="AV97" i="8610"/>
  <c r="AW97" i="8610"/>
  <c r="AY97" i="8610"/>
  <c r="BJ97" i="8610"/>
  <c r="BL97" i="8610"/>
  <c r="CE95" i="8610"/>
  <c r="AQ88" i="8610"/>
  <c r="BK88" i="8610"/>
  <c r="BL88" i="8610" s="1"/>
  <c r="AR88" i="8610"/>
  <c r="AU88" i="8610"/>
  <c r="BO88" i="8610"/>
  <c r="AW88" i="8610"/>
  <c r="AX88" i="8610"/>
  <c r="BU88" i="8610"/>
  <c r="BA88" i="8610"/>
  <c r="BM88" i="8610"/>
  <c r="BN88" i="8610"/>
  <c r="AT88" i="8610"/>
  <c r="AV88" i="8610"/>
  <c r="AZ88" i="8610"/>
  <c r="BJ88" i="8610"/>
  <c r="CD98" i="8610"/>
  <c r="DL97" i="8610"/>
  <c r="DI97" i="8610"/>
  <c r="DE96" i="8610"/>
  <c r="EC96" i="8610"/>
  <c r="DH96" i="8610"/>
  <c r="DT96" i="8610"/>
  <c r="CY96" i="8610"/>
  <c r="EA96" i="8610"/>
  <c r="CZ96" i="8610"/>
  <c r="ED96" i="8610"/>
  <c r="DB96" i="8610"/>
  <c r="DI96" i="8610"/>
  <c r="DK96" i="8610"/>
  <c r="DH93" i="8610"/>
  <c r="DK93" i="8610"/>
  <c r="DF93" i="8610"/>
  <c r="DG93" i="8610"/>
  <c r="DJ93" i="8610"/>
  <c r="DL93" i="8610"/>
  <c r="DT93" i="8610"/>
  <c r="CY93" i="8610"/>
  <c r="EA93" i="8610"/>
  <c r="DB93" i="8610"/>
  <c r="ED93" i="8610"/>
  <c r="DE93" i="8610"/>
  <c r="CA98" i="8610"/>
  <c r="DF97" i="8610"/>
  <c r="DZ96" i="8610"/>
  <c r="BV95" i="8610"/>
  <c r="EC93" i="8610"/>
  <c r="DE97" i="8610"/>
  <c r="AR96" i="8610"/>
  <c r="AU96" i="8610"/>
  <c r="BO96" i="8610"/>
  <c r="AS96" i="8610"/>
  <c r="AW96" i="8610"/>
  <c r="AX96" i="8610"/>
  <c r="AY96" i="8610"/>
  <c r="BJ96" i="8610"/>
  <c r="BM96" i="8610"/>
  <c r="BL93" i="8610"/>
  <c r="BV98" i="8610"/>
  <c r="AZ97" i="8610"/>
  <c r="DL96" i="8610"/>
  <c r="BQ96" i="8610"/>
  <c r="DU93" i="8610"/>
  <c r="CW90" i="8610"/>
  <c r="AT97" i="8610"/>
  <c r="DJ96" i="8610"/>
  <c r="BN96" i="8610"/>
  <c r="BP95" i="8610"/>
  <c r="DI93" i="8610"/>
  <c r="DE92" i="8610"/>
  <c r="EC92" i="8610"/>
  <c r="DH92" i="8610"/>
  <c r="DG92" i="8610"/>
  <c r="DI92" i="8610"/>
  <c r="DK92" i="8610"/>
  <c r="DL92" i="8610"/>
  <c r="DT92" i="8610"/>
  <c r="CY92" i="8610"/>
  <c r="EA92" i="8610"/>
  <c r="DB92" i="8610"/>
  <c r="DF92" i="8610"/>
  <c r="CC90" i="8610"/>
  <c r="BJ87" i="8610"/>
  <c r="BX91" i="8610"/>
  <c r="CA91" i="8610"/>
  <c r="AT89" i="8610"/>
  <c r="BN89" i="8610"/>
  <c r="AU89" i="8610"/>
  <c r="BO89" i="8610"/>
  <c r="AX89" i="8610"/>
  <c r="BU89" i="8610"/>
  <c r="AZ89" i="8610"/>
  <c r="BA89" i="8610"/>
  <c r="BM79" i="8610"/>
  <c r="AW78" i="8610"/>
  <c r="AX78" i="8610"/>
  <c r="BU78" i="8610"/>
  <c r="AZ78" i="8610"/>
  <c r="BA78" i="8610"/>
  <c r="BJ78" i="8610"/>
  <c r="AQ78" i="8610"/>
  <c r="BK78" i="8610"/>
  <c r="BL78" i="8610" s="1"/>
  <c r="AR78" i="8610"/>
  <c r="AU78" i="8610"/>
  <c r="BO78" i="8610"/>
  <c r="BJ98" i="8610"/>
  <c r="AV94" i="8610"/>
  <c r="BX93" i="8610"/>
  <c r="BX92" i="8610"/>
  <c r="BZ91" i="8610"/>
  <c r="BA91" i="8610"/>
  <c r="AR91" i="8610"/>
  <c r="BK89" i="8610"/>
  <c r="BL89" i="8610" s="1"/>
  <c r="AT81" i="8610"/>
  <c r="BN81" i="8610"/>
  <c r="AU81" i="8610"/>
  <c r="BO81" i="8610"/>
  <c r="AW81" i="8610"/>
  <c r="AX81" i="8610"/>
  <c r="BU81" i="8610"/>
  <c r="AZ81" i="8610"/>
  <c r="BA81" i="8610"/>
  <c r="AR81" i="8610"/>
  <c r="BL81" i="8610"/>
  <c r="BJ79" i="8610"/>
  <c r="AW74" i="8610"/>
  <c r="AX74" i="8610"/>
  <c r="BU74" i="8610"/>
  <c r="AZ74" i="8610"/>
  <c r="BA74" i="8610"/>
  <c r="BJ74" i="8610"/>
  <c r="AQ74" i="8610"/>
  <c r="BK74" i="8610"/>
  <c r="BL74" i="8610" s="1"/>
  <c r="AR74" i="8610"/>
  <c r="AT74" i="8610"/>
  <c r="BN74" i="8610"/>
  <c r="AU74" i="8610"/>
  <c r="BO74" i="8610"/>
  <c r="AV74" i="8610"/>
  <c r="AT85" i="8610"/>
  <c r="BN85" i="8610"/>
  <c r="AU85" i="8610"/>
  <c r="BO85" i="8610"/>
  <c r="AX85" i="8610"/>
  <c r="BU85" i="8610"/>
  <c r="AZ85" i="8610"/>
  <c r="BA85" i="8610"/>
  <c r="AR85" i="8610"/>
  <c r="AY79" i="8610"/>
  <c r="CD97" i="8610"/>
  <c r="CP97" i="8610"/>
  <c r="CA96" i="8610"/>
  <c r="CD96" i="8610"/>
  <c r="AT94" i="8610"/>
  <c r="BV93" i="8610"/>
  <c r="BV92" i="8610"/>
  <c r="BW91" i="8610"/>
  <c r="AX90" i="8610"/>
  <c r="BU90" i="8610"/>
  <c r="BA90" i="8610"/>
  <c r="AQ90" i="8610"/>
  <c r="BK90" i="8610"/>
  <c r="BL90" i="8610" s="1"/>
  <c r="AY89" i="8610"/>
  <c r="BM85" i="8610"/>
  <c r="CW84" i="8610"/>
  <c r="AZ83" i="8610"/>
  <c r="BA83" i="8610"/>
  <c r="AR83" i="8610"/>
  <c r="AT83" i="8610"/>
  <c r="BN83" i="8610"/>
  <c r="AU83" i="8610"/>
  <c r="BO83" i="8610"/>
  <c r="AX83" i="8610"/>
  <c r="BU83" i="8610"/>
  <c r="AW79" i="8610"/>
  <c r="BN78" i="8610"/>
  <c r="BK85" i="8610"/>
  <c r="BL85" i="8610" s="1"/>
  <c r="AV79" i="8610"/>
  <c r="BZ99" i="8610"/>
  <c r="DE99" i="8610"/>
  <c r="EC99" i="8610"/>
  <c r="AV98" i="8610"/>
  <c r="BX97" i="8610"/>
  <c r="BX96" i="8610"/>
  <c r="BA95" i="8610"/>
  <c r="AR95" i="8610"/>
  <c r="BM94" i="8610"/>
  <c r="AQ94" i="8610"/>
  <c r="CH93" i="8610"/>
  <c r="BN93" i="8610"/>
  <c r="AR93" i="8610"/>
  <c r="CP92" i="8610"/>
  <c r="BP92" i="8610"/>
  <c r="AS92" i="8610"/>
  <c r="CV91" i="8610"/>
  <c r="AU91" i="8610"/>
  <c r="AW90" i="8610"/>
  <c r="AS89" i="8610"/>
  <c r="CH86" i="8610"/>
  <c r="CP86" i="8610"/>
  <c r="BX86" i="8610"/>
  <c r="BZ86" i="8610"/>
  <c r="CA86" i="8610"/>
  <c r="CD86" i="8610"/>
  <c r="AY85" i="8610"/>
  <c r="CC84" i="8610"/>
  <c r="BJ83" i="8610"/>
  <c r="AY81" i="8610"/>
  <c r="BZ80" i="8610"/>
  <c r="CA80" i="8610"/>
  <c r="CC80" i="8610"/>
  <c r="CD80" i="8610"/>
  <c r="CH80" i="8610"/>
  <c r="CP80" i="8610"/>
  <c r="BX80" i="8610"/>
  <c r="AV78" i="8610"/>
  <c r="AQ76" i="8610"/>
  <c r="BK76" i="8610"/>
  <c r="BL76" i="8610" s="1"/>
  <c r="AR76" i="8610"/>
  <c r="AT76" i="8610"/>
  <c r="BN76" i="8610"/>
  <c r="AU76" i="8610"/>
  <c r="BO76" i="8610"/>
  <c r="AV76" i="8610"/>
  <c r="AW76" i="8610"/>
  <c r="AX76" i="8610"/>
  <c r="BU76" i="8610"/>
  <c r="AZ76" i="8610"/>
  <c r="BA76" i="8610"/>
  <c r="AU98" i="8610"/>
  <c r="BW97" i="8610"/>
  <c r="BW96" i="8610"/>
  <c r="CE93" i="8610"/>
  <c r="BM93" i="8610"/>
  <c r="AQ93" i="8610"/>
  <c r="CH92" i="8610"/>
  <c r="BN92" i="8610"/>
  <c r="AQ92" i="8610"/>
  <c r="CP91" i="8610"/>
  <c r="BP91" i="8610"/>
  <c r="AT91" i="8610"/>
  <c r="AV90" i="8610"/>
  <c r="AR89" i="8610"/>
  <c r="AW86" i="8610"/>
  <c r="AX86" i="8610"/>
  <c r="BU86" i="8610"/>
  <c r="BA86" i="8610"/>
  <c r="AQ86" i="8610"/>
  <c r="BK86" i="8610"/>
  <c r="BL86" i="8610" s="1"/>
  <c r="AR86" i="8610"/>
  <c r="AU86" i="8610"/>
  <c r="BO86" i="8610"/>
  <c r="AW85" i="8610"/>
  <c r="CB84" i="8610"/>
  <c r="AY83" i="8610"/>
  <c r="CH82" i="8610"/>
  <c r="CP82" i="8610"/>
  <c r="BX82" i="8610"/>
  <c r="BZ82" i="8610"/>
  <c r="CA82" i="8610"/>
  <c r="CD82" i="8610"/>
  <c r="AV81" i="8610"/>
  <c r="AQ80" i="8610"/>
  <c r="BK80" i="8610"/>
  <c r="BL80" i="8610" s="1"/>
  <c r="AR80" i="8610"/>
  <c r="AT80" i="8610"/>
  <c r="BN80" i="8610"/>
  <c r="AU80" i="8610"/>
  <c r="BO80" i="8610"/>
  <c r="AW80" i="8610"/>
  <c r="AX80" i="8610"/>
  <c r="BU80" i="8610"/>
  <c r="BA80" i="8610"/>
  <c r="AT78" i="8610"/>
  <c r="AQ72" i="8610"/>
  <c r="BK72" i="8610"/>
  <c r="BL72" i="8610" s="1"/>
  <c r="AR72" i="8610"/>
  <c r="AT72" i="8610"/>
  <c r="BN72" i="8610"/>
  <c r="AU72" i="8610"/>
  <c r="BO72" i="8610"/>
  <c r="AV72" i="8610"/>
  <c r="AW72" i="8610"/>
  <c r="AX72" i="8610"/>
  <c r="BU72" i="8610"/>
  <c r="AZ72" i="8610"/>
  <c r="BA72" i="8610"/>
  <c r="BJ72" i="8610"/>
  <c r="BX99" i="8610"/>
  <c r="AR99" i="8610"/>
  <c r="BL99" i="8610"/>
  <c r="BO98" i="8610"/>
  <c r="AT98" i="8610"/>
  <c r="BV97" i="8610"/>
  <c r="BV96" i="8610"/>
  <c r="CH91" i="8610"/>
  <c r="BO91" i="8610"/>
  <c r="AS91" i="8610"/>
  <c r="AU90" i="8610"/>
  <c r="AQ89" i="8610"/>
  <c r="BZ88" i="8610"/>
  <c r="CA88" i="8610"/>
  <c r="CD88" i="8610"/>
  <c r="CH88" i="8610"/>
  <c r="CP88" i="8610"/>
  <c r="BX88" i="8610"/>
  <c r="BN86" i="8610"/>
  <c r="AV85" i="8610"/>
  <c r="AW83" i="8610"/>
  <c r="BP82" i="8610"/>
  <c r="AW82" i="8610"/>
  <c r="AX82" i="8610"/>
  <c r="BU82" i="8610"/>
  <c r="BA82" i="8610"/>
  <c r="AQ82" i="8610"/>
  <c r="BK82" i="8610"/>
  <c r="BL82" i="8610" s="1"/>
  <c r="AR82" i="8610"/>
  <c r="AU82" i="8610"/>
  <c r="BO82" i="8610"/>
  <c r="AS81" i="8610"/>
  <c r="BV80" i="8610"/>
  <c r="AS78" i="8610"/>
  <c r="AY74" i="8610"/>
  <c r="AS68" i="8610"/>
  <c r="BM68" i="8610"/>
  <c r="AQ68" i="8610"/>
  <c r="AR68" i="8610"/>
  <c r="BN68" i="8610"/>
  <c r="AT68" i="8610"/>
  <c r="BO68" i="8610"/>
  <c r="AU68" i="8610"/>
  <c r="AV68" i="8610"/>
  <c r="AW68" i="8610"/>
  <c r="BU68" i="8610"/>
  <c r="AX68" i="8610"/>
  <c r="AY68" i="8610"/>
  <c r="BA68" i="8610"/>
  <c r="BJ68" i="8610"/>
  <c r="BK68" i="8610"/>
  <c r="BL68" i="8610" s="1"/>
  <c r="AZ79" i="8610"/>
  <c r="BA79" i="8610"/>
  <c r="AQ79" i="8610"/>
  <c r="BK79" i="8610"/>
  <c r="BL79" i="8610" s="1"/>
  <c r="AR79" i="8610"/>
  <c r="AT79" i="8610"/>
  <c r="BN79" i="8610"/>
  <c r="AU79" i="8610"/>
  <c r="BO79" i="8610"/>
  <c r="AX79" i="8610"/>
  <c r="BU79" i="8610"/>
  <c r="AX94" i="8610"/>
  <c r="BU94" i="8610"/>
  <c r="BA94" i="8610"/>
  <c r="CD93" i="8610"/>
  <c r="CP93" i="8610"/>
  <c r="CA92" i="8610"/>
  <c r="CD92" i="8610"/>
  <c r="CD91" i="8610"/>
  <c r="AQ85" i="8610"/>
  <c r="BZ84" i="8610"/>
  <c r="CA84" i="8610"/>
  <c r="CD84" i="8610"/>
  <c r="CH84" i="8610"/>
  <c r="CP84" i="8610"/>
  <c r="BX84" i="8610"/>
  <c r="AQ98" i="8610"/>
  <c r="CH97" i="8610"/>
  <c r="CP96" i="8610"/>
  <c r="BP96" i="8610"/>
  <c r="AY94" i="8610"/>
  <c r="BZ93" i="8610"/>
  <c r="AU93" i="8610"/>
  <c r="BO93" i="8610"/>
  <c r="AX93" i="8610"/>
  <c r="BU93" i="8610"/>
  <c r="BZ92" i="8610"/>
  <c r="AR92" i="8610"/>
  <c r="BL92" i="8610"/>
  <c r="AU92" i="8610"/>
  <c r="BO92" i="8610"/>
  <c r="CC91" i="8610"/>
  <c r="BK91" i="8610"/>
  <c r="BL91" i="8610" s="1"/>
  <c r="BO90" i="8610"/>
  <c r="AR90" i="8610"/>
  <c r="BM89" i="8610"/>
  <c r="BP84" i="8610"/>
  <c r="AQ84" i="8610"/>
  <c r="BK84" i="8610"/>
  <c r="BL84" i="8610" s="1"/>
  <c r="AR84" i="8610"/>
  <c r="AU84" i="8610"/>
  <c r="BO84" i="8610"/>
  <c r="AW84" i="8610"/>
  <c r="AX84" i="8610"/>
  <c r="BU84" i="8610"/>
  <c r="BA84" i="8610"/>
  <c r="AQ83" i="8610"/>
  <c r="BJ80" i="8610"/>
  <c r="DZ69" i="8610"/>
  <c r="CY69" i="8610"/>
  <c r="DZ64" i="8610"/>
  <c r="CY64" i="8610"/>
  <c r="CB63" i="8610"/>
  <c r="CP62" i="8610"/>
  <c r="BK61" i="8610"/>
  <c r="BL61" i="8610" s="1"/>
  <c r="BN57" i="8610"/>
  <c r="CA55" i="8610"/>
  <c r="CH55" i="8610"/>
  <c r="BY55" i="8610"/>
  <c r="BZ55" i="8610"/>
  <c r="DT53" i="8610"/>
  <c r="DK52" i="8610"/>
  <c r="CH41" i="8610"/>
  <c r="DK31" i="8610"/>
  <c r="CZ31" i="8610"/>
  <c r="DZ31" i="8610"/>
  <c r="DE31" i="8610"/>
  <c r="EC31" i="8610"/>
  <c r="DU31" i="8610"/>
  <c r="ED31" i="8610"/>
  <c r="DB31" i="8610"/>
  <c r="DF31" i="8610"/>
  <c r="DG31" i="8610"/>
  <c r="DH31" i="8610"/>
  <c r="DI31" i="8610"/>
  <c r="DJ31" i="8610"/>
  <c r="DL31" i="8610"/>
  <c r="DT31" i="8610"/>
  <c r="CD78" i="8610"/>
  <c r="BL77" i="8610"/>
  <c r="AR77" i="8610"/>
  <c r="BX76" i="8610"/>
  <c r="BU75" i="8610"/>
  <c r="AX75" i="8610"/>
  <c r="CD74" i="8610"/>
  <c r="BL73" i="8610"/>
  <c r="AR73" i="8610"/>
  <c r="BX72" i="8610"/>
  <c r="BU71" i="8610"/>
  <c r="AX71" i="8610"/>
  <c r="DU69" i="8610"/>
  <c r="BZ68" i="8610"/>
  <c r="DF68" i="8610"/>
  <c r="ED68" i="8610"/>
  <c r="DJ67" i="8610"/>
  <c r="BO67" i="8610"/>
  <c r="AT67" i="8610"/>
  <c r="EA66" i="8610"/>
  <c r="CZ66" i="8610"/>
  <c r="BV66" i="8610"/>
  <c r="CV66" i="8610"/>
  <c r="CW66" i="8610" s="1"/>
  <c r="CD65" i="8610"/>
  <c r="DU64" i="8610"/>
  <c r="CA63" i="8610"/>
  <c r="DK62" i="8610"/>
  <c r="CH62" i="8610"/>
  <c r="BP62" i="8610"/>
  <c r="BJ61" i="8610"/>
  <c r="CE60" i="8610"/>
  <c r="AX59" i="8610"/>
  <c r="BM57" i="8610"/>
  <c r="DK57" i="8610"/>
  <c r="DI57" i="8610"/>
  <c r="DI56" i="8610"/>
  <c r="CP55" i="8610"/>
  <c r="AR55" i="8610"/>
  <c r="AW55" i="8610"/>
  <c r="BJ55" i="8610"/>
  <c r="AQ55" i="8610"/>
  <c r="BK55" i="8610"/>
  <c r="BL55" i="8610" s="1"/>
  <c r="DL53" i="8610"/>
  <c r="DI52" i="8610"/>
  <c r="DE51" i="8610"/>
  <c r="EC51" i="8610"/>
  <c r="DG51" i="8610"/>
  <c r="BQ51" i="8610"/>
  <c r="DJ51" i="8610"/>
  <c r="DT51" i="8610"/>
  <c r="CZ51" i="8610"/>
  <c r="DZ51" i="8610"/>
  <c r="DB51" i="8610"/>
  <c r="EA51" i="8610"/>
  <c r="AX49" i="8610"/>
  <c r="BU49" i="8610"/>
  <c r="AZ49" i="8610"/>
  <c r="BJ49" i="8610"/>
  <c r="AQ49" i="8610"/>
  <c r="BK49" i="8610"/>
  <c r="BL49" i="8610" s="1"/>
  <c r="AT49" i="8610"/>
  <c r="BN49" i="8610"/>
  <c r="AV49" i="8610"/>
  <c r="AW49" i="8610"/>
  <c r="DH44" i="8610"/>
  <c r="BQ44" i="8610"/>
  <c r="DJ44" i="8610"/>
  <c r="DL44" i="8610"/>
  <c r="DT44" i="8610"/>
  <c r="DB44" i="8610"/>
  <c r="EA44" i="8610"/>
  <c r="DF44" i="8610"/>
  <c r="ED44" i="8610"/>
  <c r="DG44" i="8610"/>
  <c r="CB41" i="8610"/>
  <c r="AU38" i="8610"/>
  <c r="BO38" i="8610"/>
  <c r="BA38" i="8610"/>
  <c r="AY38" i="8610"/>
  <c r="BJ38" i="8610"/>
  <c r="AQ38" i="8610"/>
  <c r="BM38" i="8610"/>
  <c r="AR38" i="8610"/>
  <c r="AS38" i="8610"/>
  <c r="AT38" i="8610"/>
  <c r="AW38" i="8610"/>
  <c r="AX38" i="8610"/>
  <c r="AX35" i="8610"/>
  <c r="BU35" i="8610"/>
  <c r="AR35" i="8610"/>
  <c r="BM35" i="8610"/>
  <c r="AS35" i="8610"/>
  <c r="BO35" i="8610"/>
  <c r="AU35" i="8610"/>
  <c r="AV35" i="8610"/>
  <c r="AW35" i="8610"/>
  <c r="AY35" i="8610"/>
  <c r="AZ35" i="8610"/>
  <c r="BJ35" i="8610"/>
  <c r="BK35" i="8610"/>
  <c r="BL35" i="8610" s="1"/>
  <c r="AW75" i="8610"/>
  <c r="AW71" i="8610"/>
  <c r="DT69" i="8610"/>
  <c r="DZ66" i="8610"/>
  <c r="CY66" i="8610"/>
  <c r="DT64" i="8610"/>
  <c r="BZ63" i="8610"/>
  <c r="CZ63" i="8610"/>
  <c r="DZ63" i="8610"/>
  <c r="CE62" i="8610"/>
  <c r="BA61" i="8610"/>
  <c r="BP61" i="8610"/>
  <c r="CE61" i="8610"/>
  <c r="BU59" i="8610"/>
  <c r="AW59" i="8610"/>
  <c r="CP57" i="8610"/>
  <c r="BZ57" i="8610"/>
  <c r="BP57" i="8610"/>
  <c r="CE57" i="8610"/>
  <c r="CE55" i="8610"/>
  <c r="DK45" i="8610"/>
  <c r="DT45" i="8610"/>
  <c r="CZ45" i="8610"/>
  <c r="DZ45" i="8610"/>
  <c r="DB45" i="8610"/>
  <c r="EA45" i="8610"/>
  <c r="DG45" i="8610"/>
  <c r="DI45" i="8610"/>
  <c r="BQ45" i="8610"/>
  <c r="DJ45" i="8610"/>
  <c r="DK43" i="8610"/>
  <c r="DB43" i="8610"/>
  <c r="EC43" i="8610"/>
  <c r="DF43" i="8610"/>
  <c r="DH43" i="8610"/>
  <c r="DI43" i="8610"/>
  <c r="BQ43" i="8610"/>
  <c r="DT43" i="8610"/>
  <c r="CY43" i="8610"/>
  <c r="DZ43" i="8610"/>
  <c r="CZ43" i="8610"/>
  <c r="EA43" i="8610"/>
  <c r="AX57" i="8610"/>
  <c r="BU57" i="8610"/>
  <c r="AQ57" i="8610"/>
  <c r="BK57" i="8610"/>
  <c r="BL57" i="8610" s="1"/>
  <c r="AV57" i="8610"/>
  <c r="DK53" i="8610"/>
  <c r="DB53" i="8610"/>
  <c r="EA53" i="8610"/>
  <c r="DG53" i="8610"/>
  <c r="DI53" i="8610"/>
  <c r="BQ53" i="8610"/>
  <c r="DJ53" i="8610"/>
  <c r="DH52" i="8610"/>
  <c r="BQ52" i="8610"/>
  <c r="DJ52" i="8610"/>
  <c r="DT52" i="8610"/>
  <c r="DB52" i="8610"/>
  <c r="EA52" i="8610"/>
  <c r="DF52" i="8610"/>
  <c r="ED52" i="8610"/>
  <c r="DG52" i="8610"/>
  <c r="AR51" i="8610"/>
  <c r="AT51" i="8610"/>
  <c r="BN51" i="8610"/>
  <c r="AW51" i="8610"/>
  <c r="AZ51" i="8610"/>
  <c r="BJ51" i="8610"/>
  <c r="AQ51" i="8610"/>
  <c r="BK51" i="8610"/>
  <c r="BL51" i="8610" s="1"/>
  <c r="CA41" i="8610"/>
  <c r="CP41" i="8610"/>
  <c r="CE41" i="8610"/>
  <c r="BP41" i="8610"/>
  <c r="CV41" i="8610"/>
  <c r="BV41" i="8610"/>
  <c r="BW41" i="8610"/>
  <c r="BY41" i="8610"/>
  <c r="BZ41" i="8610"/>
  <c r="CC41" i="8610"/>
  <c r="CD41" i="8610"/>
  <c r="BA36" i="8610"/>
  <c r="AU36" i="8610"/>
  <c r="BO36" i="8610"/>
  <c r="AR36" i="8610"/>
  <c r="BN36" i="8610"/>
  <c r="AT36" i="8610"/>
  <c r="AV36" i="8610"/>
  <c r="BU36" i="8610"/>
  <c r="AW36" i="8610"/>
  <c r="AX36" i="8610"/>
  <c r="AY36" i="8610"/>
  <c r="BJ36" i="8610"/>
  <c r="BK36" i="8610"/>
  <c r="BL36" i="8610" s="1"/>
  <c r="DK88" i="8610"/>
  <c r="CD87" i="8610"/>
  <c r="DK84" i="8610"/>
  <c r="CD83" i="8610"/>
  <c r="DK80" i="8610"/>
  <c r="CD79" i="8610"/>
  <c r="CA78" i="8610"/>
  <c r="BA77" i="8610"/>
  <c r="DK76" i="8610"/>
  <c r="CP76" i="8610"/>
  <c r="CD75" i="8610"/>
  <c r="BO75" i="8610"/>
  <c r="AU75" i="8610"/>
  <c r="CA74" i="8610"/>
  <c r="BA73" i="8610"/>
  <c r="DK72" i="8610"/>
  <c r="CP72" i="8610"/>
  <c r="CD71" i="8610"/>
  <c r="BO71" i="8610"/>
  <c r="AU71" i="8610"/>
  <c r="DK69" i="8610"/>
  <c r="BO69" i="8610"/>
  <c r="AT69" i="8610"/>
  <c r="DZ68" i="8610"/>
  <c r="CY68" i="8610"/>
  <c r="BW68" i="8610"/>
  <c r="DG67" i="8610"/>
  <c r="AQ67" i="8610"/>
  <c r="DT66" i="8610"/>
  <c r="CP66" i="8610"/>
  <c r="BQ66" i="8610"/>
  <c r="CA65" i="8610"/>
  <c r="DK64" i="8610"/>
  <c r="AU64" i="8610"/>
  <c r="EA63" i="8610"/>
  <c r="CY63" i="8610"/>
  <c r="BW63" i="8610"/>
  <c r="DH62" i="8610"/>
  <c r="CC62" i="8610"/>
  <c r="DZ61" i="8610"/>
  <c r="CY61" i="8610"/>
  <c r="BW61" i="8610"/>
  <c r="AY61" i="8610"/>
  <c r="CA60" i="8610"/>
  <c r="AU59" i="8610"/>
  <c r="BX58" i="8610"/>
  <c r="BV58" i="8610"/>
  <c r="CV58" i="8610"/>
  <c r="DH57" i="8610"/>
  <c r="CB57" i="8610"/>
  <c r="BA57" i="8610"/>
  <c r="CZ56" i="8610"/>
  <c r="CC55" i="8610"/>
  <c r="AY55" i="8610"/>
  <c r="DE53" i="8610"/>
  <c r="CP53" i="8610"/>
  <c r="BZ53" i="8610"/>
  <c r="CC53" i="8610"/>
  <c r="BP53" i="8610"/>
  <c r="CE53" i="8610"/>
  <c r="CH53" i="8610"/>
  <c r="CY52" i="8610"/>
  <c r="BO51" i="8610"/>
  <c r="EC48" i="8610"/>
  <c r="DE47" i="8610"/>
  <c r="EC47" i="8610"/>
  <c r="DG47" i="8610"/>
  <c r="DI47" i="8610"/>
  <c r="BQ47" i="8610"/>
  <c r="DJ47" i="8610"/>
  <c r="DT47" i="8610"/>
  <c r="CZ47" i="8610"/>
  <c r="DZ47" i="8610"/>
  <c r="DB47" i="8610"/>
  <c r="EA47" i="8610"/>
  <c r="DH45" i="8610"/>
  <c r="AX45" i="8610"/>
  <c r="BU45" i="8610"/>
  <c r="AZ45" i="8610"/>
  <c r="BJ45" i="8610"/>
  <c r="AQ45" i="8610"/>
  <c r="BK45" i="8610"/>
  <c r="BL45" i="8610" s="1"/>
  <c r="AT45" i="8610"/>
  <c r="BN45" i="8610"/>
  <c r="AV45" i="8610"/>
  <c r="AW45" i="8610"/>
  <c r="EA37" i="8610"/>
  <c r="DJ88" i="8610"/>
  <c r="BQ88" i="8610"/>
  <c r="CC87" i="8610"/>
  <c r="DJ84" i="8610"/>
  <c r="BQ84" i="8610"/>
  <c r="CC83" i="8610"/>
  <c r="DJ80" i="8610"/>
  <c r="BQ80" i="8610"/>
  <c r="CC79" i="8610"/>
  <c r="BZ78" i="8610"/>
  <c r="AZ77" i="8610"/>
  <c r="DJ76" i="8610"/>
  <c r="CH76" i="8610"/>
  <c r="BQ76" i="8610"/>
  <c r="DG75" i="8610"/>
  <c r="CC75" i="8610"/>
  <c r="BN75" i="8610"/>
  <c r="AT75" i="8610"/>
  <c r="EA74" i="8610"/>
  <c r="BZ74" i="8610"/>
  <c r="DT73" i="8610"/>
  <c r="AZ73" i="8610"/>
  <c r="DJ72" i="8610"/>
  <c r="CH72" i="8610"/>
  <c r="BQ72" i="8610"/>
  <c r="DG71" i="8610"/>
  <c r="CC71" i="8610"/>
  <c r="BN71" i="8610"/>
  <c r="AT71" i="8610"/>
  <c r="EA70" i="8610"/>
  <c r="CZ70" i="8610"/>
  <c r="BV70" i="8610"/>
  <c r="CV70" i="8610"/>
  <c r="CW70" i="8610" s="1"/>
  <c r="DJ69" i="8610"/>
  <c r="CD69" i="8610"/>
  <c r="BN69" i="8610"/>
  <c r="AS69" i="8610"/>
  <c r="DU68" i="8610"/>
  <c r="BV68" i="8610"/>
  <c r="CA67" i="8610"/>
  <c r="BK67" i="8610"/>
  <c r="BL67" i="8610" s="1"/>
  <c r="DK66" i="8610"/>
  <c r="CH66" i="8610"/>
  <c r="BP66" i="8610"/>
  <c r="BJ65" i="8610"/>
  <c r="DJ64" i="8610"/>
  <c r="CE64" i="8610"/>
  <c r="BO64" i="8610"/>
  <c r="AT64" i="8610"/>
  <c r="DU63" i="8610"/>
  <c r="CW63" i="8610"/>
  <c r="BV63" i="8610"/>
  <c r="AX63" i="8610"/>
  <c r="DG62" i="8610"/>
  <c r="CB62" i="8610"/>
  <c r="DU61" i="8610"/>
  <c r="CW61" i="8610"/>
  <c r="BV61" i="8610"/>
  <c r="AX61" i="8610"/>
  <c r="BZ60" i="8610"/>
  <c r="DF60" i="8610"/>
  <c r="ED60" i="8610"/>
  <c r="CE59" i="8610"/>
  <c r="BO59" i="8610"/>
  <c r="AT59" i="8610"/>
  <c r="BW58" i="8610"/>
  <c r="DG57" i="8610"/>
  <c r="CA57" i="8610"/>
  <c r="AZ57" i="8610"/>
  <c r="CY56" i="8610"/>
  <c r="DK55" i="8610"/>
  <c r="CB55" i="8610"/>
  <c r="AX55" i="8610"/>
  <c r="CZ53" i="8610"/>
  <c r="AX53" i="8610"/>
  <c r="BU53" i="8610"/>
  <c r="AQ53" i="8610"/>
  <c r="BK53" i="8610"/>
  <c r="BL53" i="8610" s="1"/>
  <c r="AT53" i="8610"/>
  <c r="BN53" i="8610"/>
  <c r="AV53" i="8610"/>
  <c r="AW53" i="8610"/>
  <c r="AU52" i="8610"/>
  <c r="BO52" i="8610"/>
  <c r="AW52" i="8610"/>
  <c r="AZ52" i="8610"/>
  <c r="AQ52" i="8610"/>
  <c r="BK52" i="8610"/>
  <c r="BL52" i="8610" s="1"/>
  <c r="AS52" i="8610"/>
  <c r="BM52" i="8610"/>
  <c r="AT52" i="8610"/>
  <c r="BN52" i="8610"/>
  <c r="BM51" i="8610"/>
  <c r="BA49" i="8610"/>
  <c r="DZ48" i="8610"/>
  <c r="DK47" i="8610"/>
  <c r="DF45" i="8610"/>
  <c r="BO45" i="8610"/>
  <c r="CD42" i="8610"/>
  <c r="BX42" i="8610"/>
  <c r="CE42" i="8610"/>
  <c r="BP42" i="8610"/>
  <c r="CP42" i="8610"/>
  <c r="CW42" i="8610"/>
  <c r="BV42" i="8610"/>
  <c r="BZ42" i="8610"/>
  <c r="CB42" i="8610"/>
  <c r="CC42" i="8610"/>
  <c r="DI37" i="8610"/>
  <c r="AR21" i="8610"/>
  <c r="AT21" i="8610"/>
  <c r="BN21" i="8610"/>
  <c r="AV21" i="8610"/>
  <c r="AW21" i="8610"/>
  <c r="AX21" i="8610"/>
  <c r="BU21" i="8610"/>
  <c r="AZ21" i="8610"/>
  <c r="BJ21" i="8610"/>
  <c r="BK21" i="8610"/>
  <c r="BL21" i="8610" s="1"/>
  <c r="BM21" i="8610"/>
  <c r="BO21" i="8610"/>
  <c r="AQ21" i="8610"/>
  <c r="AS21" i="8610"/>
  <c r="AU21" i="8610"/>
  <c r="AY21" i="8610"/>
  <c r="BA21" i="8610"/>
  <c r="CE76" i="8610"/>
  <c r="BP76" i="8610"/>
  <c r="BM75" i="8610"/>
  <c r="AS75" i="8610"/>
  <c r="CE72" i="8610"/>
  <c r="BP72" i="8610"/>
  <c r="BM71" i="8610"/>
  <c r="AS71" i="8610"/>
  <c r="DH69" i="8610"/>
  <c r="CV68" i="8610"/>
  <c r="CW68" i="8610" s="1"/>
  <c r="CZ67" i="8610"/>
  <c r="DZ67" i="8610"/>
  <c r="DJ66" i="8610"/>
  <c r="BP65" i="8610"/>
  <c r="CE65" i="8610"/>
  <c r="DI64" i="8610"/>
  <c r="DT63" i="8610"/>
  <c r="CV63" i="8610"/>
  <c r="CA62" i="8610"/>
  <c r="CV61" i="8610"/>
  <c r="BU61" i="8610"/>
  <c r="AW61" i="8610"/>
  <c r="BN59" i="8610"/>
  <c r="AS59" i="8610"/>
  <c r="BY57" i="8610"/>
  <c r="AY57" i="8610"/>
  <c r="BX55" i="8610"/>
  <c r="CY53" i="8610"/>
  <c r="BA51" i="8610"/>
  <c r="DU48" i="8610"/>
  <c r="AR47" i="8610"/>
  <c r="AT47" i="8610"/>
  <c r="BN47" i="8610"/>
  <c r="AV47" i="8610"/>
  <c r="AW47" i="8610"/>
  <c r="AZ47" i="8610"/>
  <c r="BJ47" i="8610"/>
  <c r="AQ47" i="8610"/>
  <c r="BK47" i="8610"/>
  <c r="BL47" i="8610" s="1"/>
  <c r="DE45" i="8610"/>
  <c r="ED43" i="8610"/>
  <c r="BN38" i="8610"/>
  <c r="DG37" i="8610"/>
  <c r="BN35" i="8610"/>
  <c r="EC95" i="8610"/>
  <c r="EC91" i="8610"/>
  <c r="DK89" i="8610"/>
  <c r="CP89" i="8610"/>
  <c r="DH88" i="8610"/>
  <c r="EC87" i="8610"/>
  <c r="CA87" i="8610"/>
  <c r="DK85" i="8610"/>
  <c r="CP85" i="8610"/>
  <c r="DH84" i="8610"/>
  <c r="EC83" i="8610"/>
  <c r="CA83" i="8610"/>
  <c r="DK81" i="8610"/>
  <c r="CP81" i="8610"/>
  <c r="DH80" i="8610"/>
  <c r="EC79" i="8610"/>
  <c r="CA79" i="8610"/>
  <c r="BX78" i="8610"/>
  <c r="DK77" i="8610"/>
  <c r="CP77" i="8610"/>
  <c r="BU77" i="8610"/>
  <c r="AX77" i="8610"/>
  <c r="DH76" i="8610"/>
  <c r="CD76" i="8610"/>
  <c r="EC75" i="8610"/>
  <c r="CA75" i="8610"/>
  <c r="AR75" i="8610"/>
  <c r="BX74" i="8610"/>
  <c r="DK73" i="8610"/>
  <c r="BU73" i="8610"/>
  <c r="AX73" i="8610"/>
  <c r="DH72" i="8610"/>
  <c r="CD72" i="8610"/>
  <c r="EC71" i="8610"/>
  <c r="CA71" i="8610"/>
  <c r="AR71" i="8610"/>
  <c r="DU70" i="8610"/>
  <c r="DG69" i="8610"/>
  <c r="BL69" i="8610"/>
  <c r="AQ69" i="8610"/>
  <c r="DL68" i="8610"/>
  <c r="CP68" i="8610"/>
  <c r="BQ68" i="8610"/>
  <c r="EC67" i="8610"/>
  <c r="DB67" i="8610"/>
  <c r="AZ67" i="8610"/>
  <c r="DI66" i="8610"/>
  <c r="CD66" i="8610"/>
  <c r="BX65" i="8610"/>
  <c r="DH64" i="8610"/>
  <c r="CC64" i="8610"/>
  <c r="BL64" i="8610"/>
  <c r="AQ64" i="8610"/>
  <c r="DL63" i="8610"/>
  <c r="CP63" i="8610"/>
  <c r="BQ63" i="8610"/>
  <c r="AV63" i="8610"/>
  <c r="ED62" i="8610"/>
  <c r="DE62" i="8610"/>
  <c r="BZ62" i="8610"/>
  <c r="DL61" i="8610"/>
  <c r="CP61" i="8610"/>
  <c r="BQ61" i="8610"/>
  <c r="AU61" i="8610"/>
  <c r="BX60" i="8610"/>
  <c r="AS60" i="8610"/>
  <c r="BM60" i="8610"/>
  <c r="CC59" i="8610"/>
  <c r="BM59" i="8610"/>
  <c r="AR59" i="8610"/>
  <c r="CW58" i="8610"/>
  <c r="DE57" i="8610"/>
  <c r="BX57" i="8610"/>
  <c r="AW57" i="8610"/>
  <c r="EA56" i="8610"/>
  <c r="BW55" i="8610"/>
  <c r="AU55" i="8610"/>
  <c r="CW53" i="8610"/>
  <c r="AY51" i="8610"/>
  <c r="AU49" i="8610"/>
  <c r="DK48" i="8610"/>
  <c r="CY45" i="8610"/>
  <c r="EC44" i="8610"/>
  <c r="DU43" i="8610"/>
  <c r="BK38" i="8610"/>
  <c r="BL38" i="8610" s="1"/>
  <c r="BA35" i="8610"/>
  <c r="AW77" i="8610"/>
  <c r="CC76" i="8610"/>
  <c r="BK75" i="8610"/>
  <c r="BL75" i="8610" s="1"/>
  <c r="AQ75" i="8610"/>
  <c r="AW73" i="8610"/>
  <c r="CC72" i="8610"/>
  <c r="BK71" i="8610"/>
  <c r="BL71" i="8610" s="1"/>
  <c r="AQ71" i="8610"/>
  <c r="DF69" i="8610"/>
  <c r="CH68" i="8610"/>
  <c r="BP68" i="8610"/>
  <c r="EA67" i="8610"/>
  <c r="CY67" i="8610"/>
  <c r="DH66" i="8610"/>
  <c r="BW65" i="8610"/>
  <c r="DK63" i="8610"/>
  <c r="CH63" i="8610"/>
  <c r="BP63" i="8610"/>
  <c r="CH61" i="8610"/>
  <c r="BO61" i="8610"/>
  <c r="AT61" i="8610"/>
  <c r="BW60" i="8610"/>
  <c r="BL59" i="8610"/>
  <c r="AQ59" i="8610"/>
  <c r="BW57" i="8610"/>
  <c r="AU57" i="8610"/>
  <c r="DH56" i="8610"/>
  <c r="DT56" i="8610"/>
  <c r="DF56" i="8610"/>
  <c r="ED56" i="8610"/>
  <c r="DG56" i="8610"/>
  <c r="BV55" i="8610"/>
  <c r="ED53" i="8610"/>
  <c r="EC52" i="8610"/>
  <c r="AX51" i="8610"/>
  <c r="BO47" i="8610"/>
  <c r="DZ44" i="8610"/>
  <c r="DL43" i="8610"/>
  <c r="AZ38" i="8610"/>
  <c r="BM36" i="8610"/>
  <c r="AT35" i="8610"/>
  <c r="DF64" i="8610"/>
  <c r="ED64" i="8610"/>
  <c r="CE63" i="8610"/>
  <c r="BV62" i="8610"/>
  <c r="CV62" i="8610"/>
  <c r="BN61" i="8610"/>
  <c r="AS61" i="8610"/>
  <c r="AV51" i="8610"/>
  <c r="DH48" i="8610"/>
  <c r="BQ48" i="8610"/>
  <c r="DJ48" i="8610"/>
  <c r="DL48" i="8610"/>
  <c r="DT48" i="8610"/>
  <c r="DB48" i="8610"/>
  <c r="EA48" i="8610"/>
  <c r="DF48" i="8610"/>
  <c r="ED48" i="8610"/>
  <c r="DG48" i="8610"/>
  <c r="DE37" i="8610"/>
  <c r="EC37" i="8610"/>
  <c r="DK37" i="8610"/>
  <c r="DF37" i="8610"/>
  <c r="DH37" i="8610"/>
  <c r="DJ37" i="8610"/>
  <c r="DL37" i="8610"/>
  <c r="DT37" i="8610"/>
  <c r="DU37" i="8610"/>
  <c r="BQ37" i="8610"/>
  <c r="DZ37" i="8610"/>
  <c r="CZ37" i="8610"/>
  <c r="ED37" i="8610"/>
  <c r="DB37" i="8610"/>
  <c r="EC88" i="8610"/>
  <c r="DE88" i="8610"/>
  <c r="EC84" i="8610"/>
  <c r="DE84" i="8610"/>
  <c r="EC80" i="8610"/>
  <c r="DE80" i="8610"/>
  <c r="CP78" i="8610"/>
  <c r="BO77" i="8610"/>
  <c r="AU77" i="8610"/>
  <c r="EC76" i="8610"/>
  <c r="DE76" i="8610"/>
  <c r="CA76" i="8610"/>
  <c r="BA75" i="8610"/>
  <c r="CP74" i="8610"/>
  <c r="BO73" i="8610"/>
  <c r="AU73" i="8610"/>
  <c r="EC72" i="8610"/>
  <c r="DE72" i="8610"/>
  <c r="CA72" i="8610"/>
  <c r="BA71" i="8610"/>
  <c r="EC69" i="8610"/>
  <c r="DB69" i="8610"/>
  <c r="BA69" i="8610"/>
  <c r="BP69" i="8610"/>
  <c r="CE69" i="8610"/>
  <c r="DI68" i="8610"/>
  <c r="CD68" i="8610"/>
  <c r="DT67" i="8610"/>
  <c r="BU67" i="8610"/>
  <c r="AW67" i="8610"/>
  <c r="DF66" i="8610"/>
  <c r="CA66" i="8610"/>
  <c r="CV65" i="8610"/>
  <c r="CW65" i="8610" s="1"/>
  <c r="EC64" i="8610"/>
  <c r="DB64" i="8610"/>
  <c r="DI63" i="8610"/>
  <c r="CD63" i="8610"/>
  <c r="BN63" i="8610"/>
  <c r="AS63" i="8610"/>
  <c r="DZ62" i="8610"/>
  <c r="CY62" i="8610"/>
  <c r="BW62" i="8610"/>
  <c r="DH61" i="8610"/>
  <c r="CC61" i="8610"/>
  <c r="BM61" i="8610"/>
  <c r="AR61" i="8610"/>
  <c r="CV60" i="8610"/>
  <c r="BZ59" i="8610"/>
  <c r="BA59" i="8610"/>
  <c r="CZ59" i="8610"/>
  <c r="DZ59" i="8610"/>
  <c r="CE58" i="8610"/>
  <c r="EA57" i="8610"/>
  <c r="CY57" i="8610"/>
  <c r="BQ57" i="8610"/>
  <c r="AS57" i="8610"/>
  <c r="DL56" i="8610"/>
  <c r="AU56" i="8610"/>
  <c r="BO56" i="8610"/>
  <c r="AZ56" i="8610"/>
  <c r="AS56" i="8610"/>
  <c r="BM56" i="8610"/>
  <c r="AT56" i="8610"/>
  <c r="BN56" i="8610"/>
  <c r="BP55" i="8610"/>
  <c r="DZ53" i="8610"/>
  <c r="CB53" i="8610"/>
  <c r="DU52" i="8610"/>
  <c r="DL51" i="8610"/>
  <c r="AU51" i="8610"/>
  <c r="CZ48" i="8610"/>
  <c r="BA47" i="8610"/>
  <c r="DK44" i="8610"/>
  <c r="DG43" i="8610"/>
  <c r="DK39" i="8610"/>
  <c r="DE39" i="8610"/>
  <c r="EC39" i="8610"/>
  <c r="CY39" i="8610"/>
  <c r="EA39" i="8610"/>
  <c r="DB39" i="8610"/>
  <c r="DG39" i="8610"/>
  <c r="DH39" i="8610"/>
  <c r="DJ39" i="8610"/>
  <c r="DL39" i="8610"/>
  <c r="DU39" i="8610"/>
  <c r="BQ39" i="8610"/>
  <c r="DZ39" i="8610"/>
  <c r="AS36" i="8610"/>
  <c r="EA88" i="8610"/>
  <c r="EA84" i="8610"/>
  <c r="EA80" i="8610"/>
  <c r="BN77" i="8610"/>
  <c r="EA76" i="8610"/>
  <c r="BN73" i="8610"/>
  <c r="EA72" i="8610"/>
  <c r="EA69" i="8610"/>
  <c r="CZ69" i="8610"/>
  <c r="DH68" i="8610"/>
  <c r="CC68" i="8610"/>
  <c r="DL67" i="8610"/>
  <c r="BQ67" i="8610"/>
  <c r="AV67" i="8610"/>
  <c r="ED66" i="8610"/>
  <c r="DE66" i="8610"/>
  <c r="BZ66" i="8610"/>
  <c r="CP65" i="8610"/>
  <c r="EA64" i="8610"/>
  <c r="CZ64" i="8610"/>
  <c r="AS64" i="8610"/>
  <c r="BM64" i="8610"/>
  <c r="DH63" i="8610"/>
  <c r="CC63" i="8610"/>
  <c r="DU62" i="8610"/>
  <c r="CW62" i="8610"/>
  <c r="DG61" i="8610"/>
  <c r="CB61" i="8610"/>
  <c r="AQ61" i="8610"/>
  <c r="CP60" i="8610"/>
  <c r="AZ59" i="8610"/>
  <c r="CD58" i="8610"/>
  <c r="DZ57" i="8610"/>
  <c r="CW57" i="8610"/>
  <c r="BO57" i="8610"/>
  <c r="AR57" i="8610"/>
  <c r="DK56" i="8610"/>
  <c r="CW55" i="8610"/>
  <c r="BO55" i="8610"/>
  <c r="DE55" i="8610"/>
  <c r="EC55" i="8610"/>
  <c r="BQ55" i="8610"/>
  <c r="DJ55" i="8610"/>
  <c r="CZ55" i="8610"/>
  <c r="DZ55" i="8610"/>
  <c r="DB55" i="8610"/>
  <c r="EA55" i="8610"/>
  <c r="DU53" i="8610"/>
  <c r="CA53" i="8610"/>
  <c r="DL52" i="8610"/>
  <c r="DK51" i="8610"/>
  <c r="AS51" i="8610"/>
  <c r="DK49" i="8610"/>
  <c r="DT49" i="8610"/>
  <c r="CZ49" i="8610"/>
  <c r="DZ49" i="8610"/>
  <c r="DB49" i="8610"/>
  <c r="EA49" i="8610"/>
  <c r="DG49" i="8610"/>
  <c r="DI49" i="8610"/>
  <c r="BQ49" i="8610"/>
  <c r="DJ49" i="8610"/>
  <c r="CY48" i="8610"/>
  <c r="AY47" i="8610"/>
  <c r="AS45" i="8610"/>
  <c r="DI44" i="8610"/>
  <c r="DE43" i="8610"/>
  <c r="CW41" i="8610"/>
  <c r="ED39" i="8610"/>
  <c r="AR37" i="8610"/>
  <c r="BL37" i="8610"/>
  <c r="AX37" i="8610"/>
  <c r="BU37" i="8610"/>
  <c r="AZ37" i="8610"/>
  <c r="BJ37" i="8610"/>
  <c r="BM37" i="8610"/>
  <c r="AQ37" i="8610"/>
  <c r="BN37" i="8610"/>
  <c r="AS37" i="8610"/>
  <c r="BO37" i="8610"/>
  <c r="AT37" i="8610"/>
  <c r="AU37" i="8610"/>
  <c r="AW37" i="8610"/>
  <c r="AY37" i="8610"/>
  <c r="AQ36" i="8610"/>
  <c r="BZ51" i="8610"/>
  <c r="CH49" i="8610"/>
  <c r="BN48" i="8610"/>
  <c r="AT48" i="8610"/>
  <c r="BZ47" i="8610"/>
  <c r="CH45" i="8610"/>
  <c r="BN44" i="8610"/>
  <c r="AT44" i="8610"/>
  <c r="AX43" i="8610"/>
  <c r="BU43" i="8610"/>
  <c r="BM41" i="8610"/>
  <c r="AT40" i="8610"/>
  <c r="AU39" i="8610"/>
  <c r="BW38" i="8610"/>
  <c r="BX37" i="8610"/>
  <c r="DK35" i="8610"/>
  <c r="DE35" i="8610"/>
  <c r="EC35" i="8610"/>
  <c r="CH34" i="8610"/>
  <c r="BN34" i="8610"/>
  <c r="AR34" i="8610"/>
  <c r="DT33" i="8610"/>
  <c r="CH33" i="8610"/>
  <c r="BO33" i="8610"/>
  <c r="AS33" i="8610"/>
  <c r="AX31" i="8610"/>
  <c r="BU31" i="8610"/>
  <c r="BJ31" i="8610"/>
  <c r="AR31" i="8610"/>
  <c r="BL31" i="8610"/>
  <c r="AT31" i="8610"/>
  <c r="BN31" i="8610"/>
  <c r="DB29" i="8610"/>
  <c r="DF27" i="8610"/>
  <c r="AQ27" i="8610"/>
  <c r="CP24" i="8610"/>
  <c r="BP20" i="8610"/>
  <c r="AY19" i="8610"/>
  <c r="CP16" i="8610"/>
  <c r="CD15" i="8610"/>
  <c r="CV14" i="8610"/>
  <c r="CB56" i="8610"/>
  <c r="CV54" i="8610"/>
  <c r="BV54" i="8610"/>
  <c r="CB52" i="8610"/>
  <c r="BY51" i="8610"/>
  <c r="CV50" i="8610"/>
  <c r="BV50" i="8610"/>
  <c r="CE49" i="8610"/>
  <c r="BP49" i="8610"/>
  <c r="CB48" i="8610"/>
  <c r="BM48" i="8610"/>
  <c r="AS48" i="8610"/>
  <c r="BY47" i="8610"/>
  <c r="CV46" i="8610"/>
  <c r="CW46" i="8610" s="1"/>
  <c r="BV46" i="8610"/>
  <c r="CE45" i="8610"/>
  <c r="BP45" i="8610"/>
  <c r="CB44" i="8610"/>
  <c r="BM44" i="8610"/>
  <c r="AS44" i="8610"/>
  <c r="BW43" i="8610"/>
  <c r="AY43" i="8610"/>
  <c r="DE41" i="8610"/>
  <c r="EC41" i="8610"/>
  <c r="DK41" i="8610"/>
  <c r="CP40" i="8610"/>
  <c r="AS40" i="8610"/>
  <c r="CV39" i="8610"/>
  <c r="AT39" i="8610"/>
  <c r="BV38" i="8610"/>
  <c r="BW37" i="8610"/>
  <c r="BX36" i="8610"/>
  <c r="CD36" i="8610"/>
  <c r="DH35" i="8610"/>
  <c r="CP35" i="8610"/>
  <c r="CA35" i="8610"/>
  <c r="CE34" i="8610"/>
  <c r="BM34" i="8610"/>
  <c r="AQ34" i="8610"/>
  <c r="CE33" i="8610"/>
  <c r="BN33" i="8610"/>
  <c r="AQ33" i="8610"/>
  <c r="CW32" i="8610"/>
  <c r="BA31" i="8610"/>
  <c r="CZ29" i="8610"/>
  <c r="BX28" i="8610"/>
  <c r="BZ28" i="8610"/>
  <c r="CB28" i="8610"/>
  <c r="CD28" i="8610"/>
  <c r="CH28" i="8610"/>
  <c r="DB27" i="8610"/>
  <c r="CD26" i="8610"/>
  <c r="CH26" i="8610"/>
  <c r="BV26" i="8610"/>
  <c r="CV26" i="8610"/>
  <c r="CW26" i="8610" s="1"/>
  <c r="BX26" i="8610"/>
  <c r="BZ26" i="8610"/>
  <c r="DE25" i="8610"/>
  <c r="EC25" i="8610"/>
  <c r="DG25" i="8610"/>
  <c r="DI25" i="8610"/>
  <c r="BQ25" i="8610"/>
  <c r="DK25" i="8610"/>
  <c r="DT25" i="8610"/>
  <c r="CE24" i="8610"/>
  <c r="DH23" i="8610"/>
  <c r="AX23" i="8610"/>
  <c r="BU23" i="8610"/>
  <c r="AZ23" i="8610"/>
  <c r="BJ23" i="8610"/>
  <c r="AQ23" i="8610"/>
  <c r="BK23" i="8610"/>
  <c r="BL23" i="8610" s="1"/>
  <c r="AR23" i="8610"/>
  <c r="AT23" i="8610"/>
  <c r="BN23" i="8610"/>
  <c r="AV23" i="8610"/>
  <c r="DE17" i="8610"/>
  <c r="EC17" i="8610"/>
  <c r="DG17" i="8610"/>
  <c r="DI17" i="8610"/>
  <c r="BQ17" i="8610"/>
  <c r="DJ17" i="8610"/>
  <c r="DK17" i="8610"/>
  <c r="DT17" i="8610"/>
  <c r="CZ17" i="8610"/>
  <c r="DZ17" i="8610"/>
  <c r="CE16" i="8610"/>
  <c r="CB15" i="8610"/>
  <c r="CD14" i="8610"/>
  <c r="CZ9" i="8610"/>
  <c r="DZ9" i="8610"/>
  <c r="DF9" i="8610"/>
  <c r="DG9" i="8610"/>
  <c r="DH9" i="8610"/>
  <c r="DJ9" i="8610"/>
  <c r="DK9" i="8610"/>
  <c r="BQ9" i="8610"/>
  <c r="DL9" i="8610"/>
  <c r="DT9" i="8610"/>
  <c r="DU9" i="8610"/>
  <c r="DB9" i="8610"/>
  <c r="EC9" i="8610"/>
  <c r="BA28" i="8610"/>
  <c r="AQ28" i="8610"/>
  <c r="BK28" i="8610"/>
  <c r="BL28" i="8610" s="1"/>
  <c r="AS28" i="8610"/>
  <c r="BM28" i="8610"/>
  <c r="AU28" i="8610"/>
  <c r="BO28" i="8610"/>
  <c r="AW28" i="8610"/>
  <c r="DK27" i="8610"/>
  <c r="DT27" i="8610"/>
  <c r="CZ27" i="8610"/>
  <c r="DZ27" i="8610"/>
  <c r="DE27" i="8610"/>
  <c r="EC27" i="8610"/>
  <c r="DG27" i="8610"/>
  <c r="CZ13" i="8610"/>
  <c r="DZ13" i="8610"/>
  <c r="DJ13" i="8610"/>
  <c r="DK13" i="8610"/>
  <c r="BQ13" i="8610"/>
  <c r="DL13" i="8610"/>
  <c r="DU13" i="8610"/>
  <c r="CY13" i="8610"/>
  <c r="EA13" i="8610"/>
  <c r="DB13" i="8610"/>
  <c r="EC13" i="8610"/>
  <c r="DF13" i="8610"/>
  <c r="DH13" i="8610"/>
  <c r="CC49" i="8610"/>
  <c r="BK48" i="8610"/>
  <c r="BL48" i="8610" s="1"/>
  <c r="AQ48" i="8610"/>
  <c r="CC45" i="8610"/>
  <c r="BK44" i="8610"/>
  <c r="BL44" i="8610" s="1"/>
  <c r="AQ44" i="8610"/>
  <c r="AU42" i="8610"/>
  <c r="BO42" i="8610"/>
  <c r="BA42" i="8610"/>
  <c r="AR41" i="8610"/>
  <c r="BL41" i="8610"/>
  <c r="AX41" i="8610"/>
  <c r="BU41" i="8610"/>
  <c r="BM40" i="8610"/>
  <c r="AQ40" i="8610"/>
  <c r="BN39" i="8610"/>
  <c r="AQ39" i="8610"/>
  <c r="BK34" i="8610"/>
  <c r="BL34" i="8610" s="1"/>
  <c r="BK33" i="8610"/>
  <c r="DE33" i="8610"/>
  <c r="EC33" i="8610"/>
  <c r="DK33" i="8610"/>
  <c r="CP32" i="8610"/>
  <c r="AR25" i="8610"/>
  <c r="BL25" i="8610"/>
  <c r="AT25" i="8610"/>
  <c r="BN25" i="8610"/>
  <c r="AV25" i="8610"/>
  <c r="AW25" i="8610"/>
  <c r="AX25" i="8610"/>
  <c r="BU25" i="8610"/>
  <c r="AZ25" i="8610"/>
  <c r="BY24" i="8610"/>
  <c r="DU19" i="8610"/>
  <c r="AR17" i="8610"/>
  <c r="AT17" i="8610"/>
  <c r="BN17" i="8610"/>
  <c r="AV17" i="8610"/>
  <c r="AW17" i="8610"/>
  <c r="AX17" i="8610"/>
  <c r="BU17" i="8610"/>
  <c r="AZ17" i="8610"/>
  <c r="BJ17" i="8610"/>
  <c r="BY16" i="8610"/>
  <c r="BJ9" i="8610"/>
  <c r="BK9" i="8610"/>
  <c r="BL9" i="8610" s="1"/>
  <c r="AQ9" i="8610"/>
  <c r="AR9" i="8610"/>
  <c r="BM9" i="8610"/>
  <c r="AT9" i="8610"/>
  <c r="BO9" i="8610"/>
  <c r="AU9" i="8610"/>
  <c r="AV9" i="8610"/>
  <c r="AW9" i="8610"/>
  <c r="BU9" i="8610"/>
  <c r="AX9" i="8610"/>
  <c r="AZ9" i="8610"/>
  <c r="CD34" i="8610"/>
  <c r="BX34" i="8610"/>
  <c r="CA33" i="8610"/>
  <c r="CP33" i="8610"/>
  <c r="DE29" i="8610"/>
  <c r="EC29" i="8610"/>
  <c r="DI29" i="8610"/>
  <c r="DK29" i="8610"/>
  <c r="DT29" i="8610"/>
  <c r="BJ28" i="8610"/>
  <c r="AX27" i="8610"/>
  <c r="BU27" i="8610"/>
  <c r="AZ27" i="8610"/>
  <c r="BJ27" i="8610"/>
  <c r="AR27" i="8610"/>
  <c r="AT27" i="8610"/>
  <c r="BN27" i="8610"/>
  <c r="CW20" i="8610"/>
  <c r="CB14" i="8610"/>
  <c r="BZ14" i="8610"/>
  <c r="CC14" i="8610"/>
  <c r="CE14" i="8610"/>
  <c r="BP14" i="8610"/>
  <c r="CH14" i="8610"/>
  <c r="CP14" i="8610"/>
  <c r="BV14" i="8610"/>
  <c r="CW14" i="8610"/>
  <c r="BX14" i="8610"/>
  <c r="AU34" i="8610"/>
  <c r="BO34" i="8610"/>
  <c r="BA34" i="8610"/>
  <c r="AR33" i="8610"/>
  <c r="BL33" i="8610"/>
  <c r="AX33" i="8610"/>
  <c r="BU33" i="8610"/>
  <c r="BX32" i="8610"/>
  <c r="CB32" i="8610"/>
  <c r="CD32" i="8610"/>
  <c r="AZ28" i="8610"/>
  <c r="ED27" i="8610"/>
  <c r="BX24" i="8610"/>
  <c r="BZ24" i="8610"/>
  <c r="CB24" i="8610"/>
  <c r="CC24" i="8610"/>
  <c r="CD24" i="8610"/>
  <c r="CH24" i="8610"/>
  <c r="BV24" i="8610"/>
  <c r="CV24" i="8610"/>
  <c r="CP20" i="8610"/>
  <c r="DK19" i="8610"/>
  <c r="DT19" i="8610"/>
  <c r="CZ19" i="8610"/>
  <c r="DZ19" i="8610"/>
  <c r="DB19" i="8610"/>
  <c r="EA19" i="8610"/>
  <c r="DE19" i="8610"/>
  <c r="EC19" i="8610"/>
  <c r="DG19" i="8610"/>
  <c r="DI19" i="8610"/>
  <c r="BX16" i="8610"/>
  <c r="BZ16" i="8610"/>
  <c r="CB16" i="8610"/>
  <c r="CC16" i="8610"/>
  <c r="CD16" i="8610"/>
  <c r="CH16" i="8610"/>
  <c r="BV16" i="8610"/>
  <c r="CV16" i="8610"/>
  <c r="CP15" i="8610"/>
  <c r="BW15" i="8610"/>
  <c r="CW15" i="8610"/>
  <c r="BY15" i="8610"/>
  <c r="BZ15" i="8610"/>
  <c r="CA15" i="8610"/>
  <c r="CC15" i="8610"/>
  <c r="BP15" i="8610"/>
  <c r="CE15" i="8610"/>
  <c r="CV10" i="8610"/>
  <c r="CC54" i="8610"/>
  <c r="CH51" i="8610"/>
  <c r="CC50" i="8610"/>
  <c r="BZ49" i="8610"/>
  <c r="AZ48" i="8610"/>
  <c r="CH47" i="8610"/>
  <c r="CC46" i="8610"/>
  <c r="BZ45" i="8610"/>
  <c r="AZ44" i="8610"/>
  <c r="BN43" i="8610"/>
  <c r="AS43" i="8610"/>
  <c r="AW42" i="8610"/>
  <c r="AW41" i="8610"/>
  <c r="BX40" i="8610"/>
  <c r="CD40" i="8610"/>
  <c r="CP39" i="8610"/>
  <c r="CA39" i="8610"/>
  <c r="EA35" i="8610"/>
  <c r="CY35" i="8610"/>
  <c r="BY34" i="8610"/>
  <c r="AY34" i="8610"/>
  <c r="DF33" i="8610"/>
  <c r="BY33" i="8610"/>
  <c r="AZ33" i="8610"/>
  <c r="CC32" i="8610"/>
  <c r="BA32" i="8610"/>
  <c r="AS32" i="8610"/>
  <c r="BM32" i="8610"/>
  <c r="AU32" i="8610"/>
  <c r="BO32" i="8610"/>
  <c r="AU31" i="8610"/>
  <c r="DU29" i="8610"/>
  <c r="AR29" i="8610"/>
  <c r="BL29" i="8610"/>
  <c r="AV29" i="8610"/>
  <c r="AX29" i="8610"/>
  <c r="BU29" i="8610"/>
  <c r="AZ29" i="8610"/>
  <c r="AY28" i="8610"/>
  <c r="EA27" i="8610"/>
  <c r="BA27" i="8610"/>
  <c r="BJ25" i="8610"/>
  <c r="DE21" i="8610"/>
  <c r="EC21" i="8610"/>
  <c r="DG21" i="8610"/>
  <c r="DI21" i="8610"/>
  <c r="BQ21" i="8610"/>
  <c r="DJ21" i="8610"/>
  <c r="DK21" i="8610"/>
  <c r="DT21" i="8610"/>
  <c r="CZ21" i="8610"/>
  <c r="DZ21" i="8610"/>
  <c r="CE20" i="8610"/>
  <c r="DH19" i="8610"/>
  <c r="BK17" i="8610"/>
  <c r="BL17" i="8610" s="1"/>
  <c r="CH10" i="8610"/>
  <c r="BA40" i="8610"/>
  <c r="AU40" i="8610"/>
  <c r="BO40" i="8610"/>
  <c r="AX39" i="8610"/>
  <c r="BU39" i="8610"/>
  <c r="AR39" i="8610"/>
  <c r="BL39" i="8610"/>
  <c r="BW34" i="8610"/>
  <c r="AX34" i="8610"/>
  <c r="DB33" i="8610"/>
  <c r="BX33" i="8610"/>
  <c r="AY33" i="8610"/>
  <c r="CA32" i="8610"/>
  <c r="AS31" i="8610"/>
  <c r="DL29" i="8610"/>
  <c r="AX28" i="8610"/>
  <c r="DU27" i="8610"/>
  <c r="AY27" i="8610"/>
  <c r="BA25" i="8610"/>
  <c r="BP24" i="8610"/>
  <c r="CA20" i="8610"/>
  <c r="DF19" i="8610"/>
  <c r="BQ19" i="8610"/>
  <c r="AX19" i="8610"/>
  <c r="BU19" i="8610"/>
  <c r="AZ19" i="8610"/>
  <c r="BJ19" i="8610"/>
  <c r="AQ19" i="8610"/>
  <c r="BK19" i="8610"/>
  <c r="BL19" i="8610" s="1"/>
  <c r="AR19" i="8610"/>
  <c r="AT19" i="8610"/>
  <c r="BN19" i="8610"/>
  <c r="AV19" i="8610"/>
  <c r="BA17" i="8610"/>
  <c r="BP16" i="8610"/>
  <c r="AW48" i="8610"/>
  <c r="AW44" i="8610"/>
  <c r="AX40" i="8610"/>
  <c r="AY39" i="8610"/>
  <c r="CD38" i="8610"/>
  <c r="BX38" i="8610"/>
  <c r="CA37" i="8610"/>
  <c r="CP37" i="8610"/>
  <c r="CW34" i="8610"/>
  <c r="BU34" i="8610"/>
  <c r="AV34" i="8610"/>
  <c r="EA33" i="8610"/>
  <c r="CY33" i="8610"/>
  <c r="BV33" i="8610"/>
  <c r="AV33" i="8610"/>
  <c r="BY32" i="8610"/>
  <c r="DH29" i="8610"/>
  <c r="AT28" i="8610"/>
  <c r="DJ27" i="8610"/>
  <c r="AV27" i="8610"/>
  <c r="AU25" i="8610"/>
  <c r="BO19" i="8610"/>
  <c r="AU17" i="8610"/>
  <c r="DT13" i="8610"/>
  <c r="BA9" i="8610"/>
  <c r="BX20" i="8610"/>
  <c r="BZ20" i="8610"/>
  <c r="CB20" i="8610"/>
  <c r="CC20" i="8610"/>
  <c r="CD20" i="8610"/>
  <c r="CH20" i="8610"/>
  <c r="BV20" i="8610"/>
  <c r="CV20" i="8610"/>
  <c r="CB10" i="8610"/>
  <c r="BV10" i="8610"/>
  <c r="CW10" i="8610"/>
  <c r="BW10" i="8610"/>
  <c r="BX10" i="8610"/>
  <c r="BZ10" i="8610"/>
  <c r="CA10" i="8610"/>
  <c r="CC10" i="8610"/>
  <c r="CD10" i="8610"/>
  <c r="CE10" i="8610"/>
  <c r="CP10" i="8610"/>
  <c r="BO48" i="8610"/>
  <c r="BO44" i="8610"/>
  <c r="BA43" i="8610"/>
  <c r="BM42" i="8610"/>
  <c r="AQ42" i="8610"/>
  <c r="BN41" i="8610"/>
  <c r="AQ41" i="8610"/>
  <c r="CW40" i="8610"/>
  <c r="BU40" i="8610"/>
  <c r="AV40" i="8610"/>
  <c r="BV39" i="8610"/>
  <c r="AV39" i="8610"/>
  <c r="BY38" i="8610"/>
  <c r="BY37" i="8610"/>
  <c r="DJ35" i="8610"/>
  <c r="CP34" i="8610"/>
  <c r="BP34" i="8610"/>
  <c r="AS34" i="8610"/>
  <c r="DU33" i="8610"/>
  <c r="CV33" i="8610"/>
  <c r="BP33" i="8610"/>
  <c r="AT33" i="8610"/>
  <c r="BV32" i="8610"/>
  <c r="AV32" i="8610"/>
  <c r="BM31" i="8610"/>
  <c r="CP31" i="8610"/>
  <c r="BY31" i="8610"/>
  <c r="CA31" i="8610"/>
  <c r="CD30" i="8610"/>
  <c r="BV30" i="8610"/>
  <c r="CV30" i="8610"/>
  <c r="BX30" i="8610"/>
  <c r="BZ30" i="8610"/>
  <c r="DF29" i="8610"/>
  <c r="AU29" i="8610"/>
  <c r="BU28" i="8610"/>
  <c r="DH27" i="8610"/>
  <c r="AS27" i="8610"/>
  <c r="AQ25" i="8610"/>
  <c r="CW24" i="8610"/>
  <c r="DK23" i="8610"/>
  <c r="DT23" i="8610"/>
  <c r="CZ23" i="8610"/>
  <c r="DZ23" i="8610"/>
  <c r="DB23" i="8610"/>
  <c r="EA23" i="8610"/>
  <c r="DE23" i="8610"/>
  <c r="EC23" i="8610"/>
  <c r="DG23" i="8610"/>
  <c r="DI23" i="8610"/>
  <c r="BA19" i="8610"/>
  <c r="AQ17" i="8610"/>
  <c r="CW16" i="8610"/>
  <c r="CH15" i="8610"/>
  <c r="DG13" i="8610"/>
  <c r="AS9" i="8610"/>
  <c r="AS14" i="8610"/>
  <c r="BM14" i="8610"/>
  <c r="DU12" i="8610"/>
  <c r="CB11" i="8610"/>
  <c r="CB8" i="8610"/>
  <c r="DT7" i="8610"/>
  <c r="CH6" i="8610"/>
  <c r="CC27" i="8610"/>
  <c r="AQ26" i="8610"/>
  <c r="AW24" i="8610"/>
  <c r="CC23" i="8610"/>
  <c r="BZ22" i="8610"/>
  <c r="BK22" i="8610"/>
  <c r="BL22" i="8610" s="1"/>
  <c r="AQ22" i="8610"/>
  <c r="AW20" i="8610"/>
  <c r="CC19" i="8610"/>
  <c r="BZ18" i="8610"/>
  <c r="BK18" i="8610"/>
  <c r="BL18" i="8610" s="1"/>
  <c r="AQ18" i="8610"/>
  <c r="AW16" i="8610"/>
  <c r="DG15" i="8610"/>
  <c r="BN15" i="8610"/>
  <c r="AS15" i="8610"/>
  <c r="AX14" i="8610"/>
  <c r="BK13" i="8610"/>
  <c r="BL13" i="8610" s="1"/>
  <c r="DK12" i="8610"/>
  <c r="BO10" i="8610"/>
  <c r="AT10" i="8610"/>
  <c r="BQ8" i="8610"/>
  <c r="DJ8" i="8610"/>
  <c r="DL8" i="8610"/>
  <c r="BL7" i="8610"/>
  <c r="DB6" i="8610"/>
  <c r="EA6" i="8610"/>
  <c r="DF6" i="8610"/>
  <c r="ED6" i="8610"/>
  <c r="BP11" i="8610"/>
  <c r="CE11" i="8610"/>
  <c r="CH8" i="8610"/>
  <c r="BV8" i="8610"/>
  <c r="CV8" i="8610"/>
  <c r="DG7" i="8610"/>
  <c r="DI7" i="8610"/>
  <c r="BZ6" i="8610"/>
  <c r="CB6" i="8610"/>
  <c r="BA30" i="8610"/>
  <c r="CP29" i="8610"/>
  <c r="CA27" i="8610"/>
  <c r="BA26" i="8610"/>
  <c r="CP25" i="8610"/>
  <c r="BO24" i="8610"/>
  <c r="AU24" i="8610"/>
  <c r="CA23" i="8610"/>
  <c r="BX22" i="8610"/>
  <c r="BA22" i="8610"/>
  <c r="CP21" i="8610"/>
  <c r="BO20" i="8610"/>
  <c r="AU20" i="8610"/>
  <c r="CA19" i="8610"/>
  <c r="BX18" i="8610"/>
  <c r="BA18" i="8610"/>
  <c r="CP17" i="8610"/>
  <c r="BO16" i="8610"/>
  <c r="AU16" i="8610"/>
  <c r="EC15" i="8610"/>
  <c r="DE15" i="8610"/>
  <c r="BL15" i="8610"/>
  <c r="AQ15" i="8610"/>
  <c r="AV14" i="8610"/>
  <c r="AZ13" i="8610"/>
  <c r="DI12" i="8610"/>
  <c r="EA11" i="8610"/>
  <c r="CZ11" i="8610"/>
  <c r="BX11" i="8610"/>
  <c r="BL10" i="8610"/>
  <c r="AQ10" i="8610"/>
  <c r="ED8" i="8610"/>
  <c r="DB8" i="8610"/>
  <c r="BX8" i="8610"/>
  <c r="DH7" i="8610"/>
  <c r="CC7" i="8610"/>
  <c r="BP7" i="8610"/>
  <c r="CE7" i="8610"/>
  <c r="DH6" i="8610"/>
  <c r="CA6" i="8610"/>
  <c r="AQ6" i="8610"/>
  <c r="BK6" i="8610"/>
  <c r="BL6" i="8610" s="1"/>
  <c r="AS6" i="8610"/>
  <c r="BM6" i="8610"/>
  <c r="BN24" i="8610"/>
  <c r="AT24" i="8610"/>
  <c r="BN20" i="8610"/>
  <c r="AT20" i="8610"/>
  <c r="BN16" i="8610"/>
  <c r="AT16" i="8610"/>
  <c r="AU14" i="8610"/>
  <c r="DH12" i="8610"/>
  <c r="BW11" i="8610"/>
  <c r="BW8" i="8610"/>
  <c r="DF7" i="8610"/>
  <c r="AT7" i="8610"/>
  <c r="BN7" i="8610"/>
  <c r="AV7" i="8610"/>
  <c r="BY6" i="8610"/>
  <c r="CE29" i="8610"/>
  <c r="BP29" i="8610"/>
  <c r="BY27" i="8610"/>
  <c r="BP25" i="8610"/>
  <c r="BM24" i="8610"/>
  <c r="AS24" i="8610"/>
  <c r="BY23" i="8610"/>
  <c r="CV22" i="8610"/>
  <c r="CW22" i="8610" s="1"/>
  <c r="BV22" i="8610"/>
  <c r="BM20" i="8610"/>
  <c r="AS20" i="8610"/>
  <c r="BY19" i="8610"/>
  <c r="CV18" i="8610"/>
  <c r="BV18" i="8610"/>
  <c r="BM16" i="8610"/>
  <c r="AS16" i="8610"/>
  <c r="BJ15" i="8610"/>
  <c r="BO14" i="8610"/>
  <c r="AT14" i="8610"/>
  <c r="AX13" i="8610"/>
  <c r="DG12" i="8610"/>
  <c r="BV11" i="8610"/>
  <c r="DF10" i="8610"/>
  <c r="ED10" i="8610"/>
  <c r="DE7" i="8610"/>
  <c r="AZ7" i="8610"/>
  <c r="BX6" i="8610"/>
  <c r="BK24" i="8610"/>
  <c r="BL24" i="8610" s="1"/>
  <c r="AQ24" i="8610"/>
  <c r="CH22" i="8610"/>
  <c r="BK20" i="8610"/>
  <c r="BL20" i="8610" s="1"/>
  <c r="AQ20" i="8610"/>
  <c r="CH18" i="8610"/>
  <c r="BK16" i="8610"/>
  <c r="BL16" i="8610" s="1"/>
  <c r="AQ16" i="8610"/>
  <c r="BL14" i="8610"/>
  <c r="AQ14" i="8610"/>
  <c r="AV13" i="8610"/>
  <c r="ED12" i="8610"/>
  <c r="DE12" i="8610"/>
  <c r="CP11" i="8610"/>
  <c r="AS10" i="8610"/>
  <c r="BM10" i="8610"/>
  <c r="CP8" i="8610"/>
  <c r="EC7" i="8610"/>
  <c r="CZ7" i="8610"/>
  <c r="BV6" i="8610"/>
  <c r="CH11" i="8610"/>
  <c r="CE8" i="8610"/>
  <c r="EA7" i="8610"/>
  <c r="CY7" i="8610"/>
  <c r="BO30" i="8610"/>
  <c r="BO26" i="8610"/>
  <c r="BO22" i="8610"/>
  <c r="BO18" i="8610"/>
  <c r="BU15" i="8610"/>
  <c r="AX15" i="8610"/>
  <c r="BJ14" i="8610"/>
  <c r="DF14" i="8610"/>
  <c r="ED14" i="8610"/>
  <c r="CE13" i="8610"/>
  <c r="BO13" i="8610"/>
  <c r="AT13" i="8610"/>
  <c r="EA12" i="8610"/>
  <c r="CZ12" i="8610"/>
  <c r="BV12" i="8610"/>
  <c r="CV12" i="8610"/>
  <c r="CW12" i="8610" s="1"/>
  <c r="DJ11" i="8610"/>
  <c r="CD11" i="8610"/>
  <c r="BN11" i="8610"/>
  <c r="AS11" i="8610"/>
  <c r="DU10" i="8610"/>
  <c r="AX10" i="8610"/>
  <c r="DK8" i="8610"/>
  <c r="CD8" i="8610"/>
  <c r="DZ7" i="8610"/>
  <c r="CW7" i="8610"/>
  <c r="BU7" i="8610"/>
  <c r="AU7" i="8610"/>
  <c r="DU6" i="8610"/>
  <c r="CV6" i="8610"/>
  <c r="CW6" i="8610" s="1"/>
  <c r="BQ6" i="8610"/>
  <c r="AU6" i="8610"/>
  <c r="BP17" i="8614"/>
  <c r="CE17" i="8614"/>
  <c r="CH17" i="8614"/>
  <c r="CP17" i="8614"/>
  <c r="BY17" i="8614"/>
  <c r="BZ17" i="8614"/>
  <c r="BV17" i="8614"/>
  <c r="BW17" i="8614"/>
  <c r="BX17" i="8614"/>
  <c r="CA17" i="8614"/>
  <c r="CB17" i="8614"/>
  <c r="CC17" i="8614"/>
  <c r="CD17" i="8614"/>
  <c r="CV17" i="8614"/>
  <c r="CW17" i="8614"/>
  <c r="EG5" i="8614"/>
  <c r="EV5" i="8614"/>
  <c r="CC19" i="8614"/>
  <c r="AV17" i="8614"/>
  <c r="AW17" i="8614"/>
  <c r="AX17" i="8614"/>
  <c r="BU17" i="8614"/>
  <c r="BJ17" i="8614"/>
  <c r="AQ17" i="8614"/>
  <c r="BK17" i="8614"/>
  <c r="DT15" i="8614"/>
  <c r="DH13" i="8614"/>
  <c r="EH5" i="8614"/>
  <c r="FA5" i="8614"/>
  <c r="CB19" i="8614"/>
  <c r="DE13" i="8614"/>
  <c r="DE7" i="8614"/>
  <c r="EI5" i="8614"/>
  <c r="CA19" i="8614"/>
  <c r="CZ15" i="8614"/>
  <c r="DZ15" i="8614"/>
  <c r="DB15" i="8614"/>
  <c r="EA15" i="8614"/>
  <c r="DE15" i="8614"/>
  <c r="EC15" i="8614"/>
  <c r="DI15" i="8614"/>
  <c r="BQ15" i="8614"/>
  <c r="DJ15" i="8614"/>
  <c r="BP9" i="8614"/>
  <c r="CE9" i="8614"/>
  <c r="CH9" i="8614"/>
  <c r="CP9" i="8614"/>
  <c r="BX9" i="8614"/>
  <c r="BY9" i="8614"/>
  <c r="BZ9" i="8614"/>
  <c r="CA9" i="8614"/>
  <c r="CB9" i="8614"/>
  <c r="CC9" i="8614"/>
  <c r="BA5" i="8614"/>
  <c r="AZ5" i="8614"/>
  <c r="BO5" i="8614"/>
  <c r="AU5" i="8614"/>
  <c r="BJ5" i="8614"/>
  <c r="EJ5" i="8614"/>
  <c r="BX19" i="8614"/>
  <c r="AZ17" i="8614"/>
  <c r="EC16" i="8614"/>
  <c r="DH15" i="8614"/>
  <c r="CW9" i="8614"/>
  <c r="AV9" i="8614"/>
  <c r="AW9" i="8614"/>
  <c r="AX9" i="8614"/>
  <c r="BU9" i="8614"/>
  <c r="BA9" i="8614"/>
  <c r="BJ9" i="8614"/>
  <c r="AQ9" i="8614"/>
  <c r="DG9" i="8614" s="1"/>
  <c r="BK9" i="8614"/>
  <c r="BL9" i="8614" s="1"/>
  <c r="AR9" i="8614"/>
  <c r="DT9" i="8614" s="1"/>
  <c r="AS9" i="8614"/>
  <c r="BM9" i="8614"/>
  <c r="AT9" i="8614"/>
  <c r="BN9" i="8614"/>
  <c r="BK5" i="8614"/>
  <c r="BL5" i="8614" s="1"/>
  <c r="EM5" i="8614"/>
  <c r="FJ5" i="8614"/>
  <c r="BW19" i="8614"/>
  <c r="AY17" i="8614"/>
  <c r="DG15" i="8614"/>
  <c r="BJ15" i="8614"/>
  <c r="AQ15" i="8614"/>
  <c r="BK15" i="8614"/>
  <c r="BL15" i="8614" s="1"/>
  <c r="AR15" i="8614"/>
  <c r="AV15" i="8614"/>
  <c r="AW15" i="8614"/>
  <c r="AZ15" i="8614"/>
  <c r="CV13" i="8614"/>
  <c r="CW13" i="8614" s="1"/>
  <c r="CZ11" i="8614"/>
  <c r="DZ11" i="8614"/>
  <c r="DB11" i="8614"/>
  <c r="EA11" i="8614"/>
  <c r="DE11" i="8614"/>
  <c r="EC11" i="8614"/>
  <c r="DI11" i="8614"/>
  <c r="BQ11" i="8614"/>
  <c r="DJ11" i="8614"/>
  <c r="DK11" i="8614"/>
  <c r="DL11" i="8614"/>
  <c r="DT11" i="8614"/>
  <c r="CV9" i="8614"/>
  <c r="AZ7" i="8614"/>
  <c r="BV19" i="8614"/>
  <c r="DF16" i="8614"/>
  <c r="ED16" i="8614"/>
  <c r="DG16" i="8614"/>
  <c r="DH16" i="8614"/>
  <c r="DL16" i="8614"/>
  <c r="DT16" i="8614"/>
  <c r="DF15" i="8614"/>
  <c r="CD9" i="8614"/>
  <c r="EX5" i="8614"/>
  <c r="EL5" i="8614"/>
  <c r="EW5" i="8614"/>
  <c r="EK5" i="8614"/>
  <c r="ER5" i="8614"/>
  <c r="EF5" i="8614"/>
  <c r="EO5" i="8614"/>
  <c r="DI13" i="8614"/>
  <c r="BQ13" i="8614"/>
  <c r="DJ13" i="8614"/>
  <c r="DK13" i="8614"/>
  <c r="CZ13" i="8614"/>
  <c r="DZ13" i="8614"/>
  <c r="DB13" i="8614"/>
  <c r="EA13" i="8614"/>
  <c r="DF13" i="8614"/>
  <c r="ED13" i="8614"/>
  <c r="DG13" i="8614"/>
  <c r="BP13" i="8614"/>
  <c r="CE13" i="8614"/>
  <c r="CH13" i="8614"/>
  <c r="CP13" i="8614"/>
  <c r="BY13" i="8614"/>
  <c r="BZ13" i="8614"/>
  <c r="CB13" i="8614"/>
  <c r="CC13" i="8614"/>
  <c r="AR5" i="8614"/>
  <c r="DT5" i="8614" s="1"/>
  <c r="EQ5" i="8614"/>
  <c r="CZ19" i="8614"/>
  <c r="DZ19" i="8614"/>
  <c r="DB19" i="8614"/>
  <c r="EA19" i="8614"/>
  <c r="DI19" i="8614"/>
  <c r="BQ19" i="8614"/>
  <c r="DJ19" i="8614"/>
  <c r="AR17" i="8614"/>
  <c r="DJ16" i="8614"/>
  <c r="AY15" i="8614"/>
  <c r="EC13" i="8614"/>
  <c r="BW13" i="8614"/>
  <c r="AV13" i="8614"/>
  <c r="AW13" i="8614"/>
  <c r="AX13" i="8614"/>
  <c r="BU13" i="8614"/>
  <c r="BJ13" i="8614"/>
  <c r="AQ13" i="8614"/>
  <c r="BK13" i="8614"/>
  <c r="BL13" i="8614" s="1"/>
  <c r="AS13" i="8614"/>
  <c r="BM13" i="8614"/>
  <c r="AT13" i="8614"/>
  <c r="BN13" i="8614"/>
  <c r="CY11" i="8614"/>
  <c r="BO9" i="8614"/>
  <c r="ES5" i="8614"/>
  <c r="BY19" i="8614"/>
  <c r="BZ19" i="8614"/>
  <c r="BP19" i="8614"/>
  <c r="CE19" i="8614"/>
  <c r="CH19" i="8614"/>
  <c r="DU13" i="8614"/>
  <c r="BV13" i="8614"/>
  <c r="AT5" i="8614"/>
  <c r="BU5" i="8614"/>
  <c r="ET5" i="8614"/>
  <c r="EC19" i="8614"/>
  <c r="CP19" i="8614"/>
  <c r="BJ19" i="8614"/>
  <c r="AQ19" i="8614"/>
  <c r="BK19" i="8614"/>
  <c r="AV19" i="8614"/>
  <c r="AW19" i="8614"/>
  <c r="BO17" i="8614"/>
  <c r="DI17" i="8614"/>
  <c r="BQ17" i="8614"/>
  <c r="DJ17" i="8614"/>
  <c r="DK17" i="8614"/>
  <c r="CZ17" i="8614"/>
  <c r="DZ17" i="8614"/>
  <c r="DB17" i="8614"/>
  <c r="EA17" i="8614"/>
  <c r="DE16" i="8614"/>
  <c r="ED15" i="8614"/>
  <c r="AU15" i="8614"/>
  <c r="DT13" i="8614"/>
  <c r="BO13" i="8614"/>
  <c r="AY9" i="8614"/>
  <c r="EA12" i="8614"/>
  <c r="DB12" i="8614"/>
  <c r="AZ11" i="8614"/>
  <c r="EA8" i="8614"/>
  <c r="DB8" i="8614"/>
  <c r="CE7" i="8614"/>
  <c r="DZ6" i="8614"/>
  <c r="EA6" i="8614" s="1"/>
  <c r="CW6" i="8614"/>
  <c r="BQ6" i="8614"/>
  <c r="ED9" i="8614"/>
  <c r="DF9" i="8614"/>
  <c r="CD7" i="8614"/>
  <c r="DU6" i="8614"/>
  <c r="CP6" i="8614"/>
  <c r="EC9" i="8614"/>
  <c r="DE9" i="8614"/>
  <c r="CC7" i="8614"/>
  <c r="DT6" i="8614"/>
  <c r="CH6" i="8614"/>
  <c r="DG18" i="8614"/>
  <c r="CH15" i="8614"/>
  <c r="DT12" i="8614"/>
  <c r="CH11" i="8614"/>
  <c r="AW11" i="8614"/>
  <c r="DB9" i="8614"/>
  <c r="DT8" i="8614"/>
  <c r="CB7" i="8614"/>
  <c r="DK6" i="8614"/>
  <c r="CD6" i="8614"/>
  <c r="CD5" i="8614"/>
  <c r="ED18" i="8614"/>
  <c r="DF18" i="8614"/>
  <c r="CV16" i="8614"/>
  <c r="BV16" i="8614"/>
  <c r="CE15" i="8614"/>
  <c r="BP15" i="8614"/>
  <c r="ED14" i="8614"/>
  <c r="DF14" i="8614"/>
  <c r="DL12" i="8614"/>
  <c r="CV12" i="8614"/>
  <c r="CW12" i="8614" s="1"/>
  <c r="BV12" i="8614"/>
  <c r="CE11" i="8614"/>
  <c r="BP11" i="8614"/>
  <c r="AV11" i="8614"/>
  <c r="ED10" i="8614"/>
  <c r="DF10" i="8614"/>
  <c r="DZ9" i="8614"/>
  <c r="EA9" i="8614" s="1"/>
  <c r="CZ9" i="8614"/>
  <c r="DL8" i="8614"/>
  <c r="CV8" i="8614"/>
  <c r="BV8" i="8614"/>
  <c r="DL7" i="8614"/>
  <c r="CZ7" i="8614"/>
  <c r="DZ7" i="8614"/>
  <c r="EA7" i="8614" s="1"/>
  <c r="CC6" i="8614"/>
  <c r="BV7" i="8614"/>
  <c r="CV7" i="8614"/>
  <c r="BY7" i="8614"/>
  <c r="DI6" i="8614"/>
  <c r="DL6" i="8614"/>
  <c r="BP6" i="8614"/>
  <c r="CE6" i="8614"/>
  <c r="BV6" i="8614"/>
  <c r="CV6" i="8614"/>
  <c r="CA15" i="8614"/>
  <c r="DH12" i="8614"/>
  <c r="CA11" i="8614"/>
  <c r="AR11" i="8614"/>
  <c r="DK9" i="8614"/>
  <c r="DH8" i="8614"/>
  <c r="DE6" i="8614"/>
  <c r="BY6" i="8614"/>
  <c r="BW5" i="8614"/>
  <c r="CW5" i="8614"/>
  <c r="DT18" i="8614"/>
  <c r="CC16" i="8614"/>
  <c r="BN16" i="8614"/>
  <c r="AT16" i="8614"/>
  <c r="BZ15" i="8614"/>
  <c r="DT14" i="8614"/>
  <c r="DG12" i="8614"/>
  <c r="CC12" i="8614"/>
  <c r="BN12" i="8614"/>
  <c r="AT12" i="8614"/>
  <c r="BZ11" i="8614"/>
  <c r="BK11" i="8614"/>
  <c r="BL11" i="8614" s="1"/>
  <c r="AQ11" i="8614"/>
  <c r="DT10" i="8614"/>
  <c r="DJ9" i="8614"/>
  <c r="BQ9" i="8614"/>
  <c r="DG8" i="8614"/>
  <c r="CC8" i="8614"/>
  <c r="BN8" i="8614"/>
  <c r="AT8" i="8614"/>
  <c r="CW7" i="8614"/>
  <c r="BQ7" i="8614"/>
  <c r="ED6" i="8614"/>
  <c r="DB6" i="8614"/>
  <c r="BX6" i="8614"/>
  <c r="CY5" i="8614"/>
  <c r="CV18" i="8614"/>
  <c r="BM16" i="8614"/>
  <c r="CV14" i="8614"/>
  <c r="CW14" i="8614" s="1"/>
  <c r="ED12" i="8614"/>
  <c r="BM12" i="8614"/>
  <c r="CV10" i="8614"/>
  <c r="ED8" i="8614"/>
  <c r="BM8" i="8614"/>
  <c r="DU7" i="8614"/>
  <c r="CP7" i="8614"/>
  <c r="BP7" i="8614"/>
  <c r="EC6" i="8614"/>
  <c r="CZ6" i="8614"/>
  <c r="BW6" i="8614"/>
  <c r="BJ5" i="487"/>
  <c r="AQ5" i="487"/>
  <c r="BM5" i="487"/>
  <c r="AS5" i="487"/>
  <c r="BN5" i="487"/>
  <c r="FI5" i="487"/>
  <c r="FH5" i="487"/>
  <c r="AP5" i="487"/>
  <c r="EW5" i="487" s="1"/>
  <c r="BO5" i="487"/>
  <c r="AN5" i="487"/>
  <c r="CE5" i="487" s="1"/>
  <c r="AO5" i="487"/>
  <c r="DT5" i="487" s="1"/>
  <c r="BK5" i="487"/>
  <c r="BL5" i="487" s="1"/>
  <c r="C2" i="88"/>
  <c r="C3" i="88" s="1"/>
  <c r="E2" i="88"/>
  <c r="E3" i="88" s="1"/>
  <c r="D2" i="88"/>
  <c r="D3" i="88" s="1"/>
  <c r="A2" i="88"/>
  <c r="A3" i="88" s="1"/>
  <c r="B2" i="88"/>
  <c r="B3" i="88" s="1"/>
  <c r="B7" i="5"/>
  <c r="B6" i="5"/>
  <c r="B1" i="5"/>
  <c r="EU5" i="487" l="1"/>
  <c r="ES5" i="487"/>
  <c r="EO5" i="487"/>
  <c r="EL5" i="487"/>
  <c r="BQ5" i="487"/>
  <c r="EQ5" i="487"/>
  <c r="DJ5" i="487"/>
  <c r="CP5" i="487"/>
  <c r="EX5" i="487"/>
  <c r="EV5" i="487"/>
  <c r="EN5" i="487"/>
  <c r="ET5" i="487"/>
  <c r="BZ5" i="487"/>
  <c r="DL5" i="487"/>
  <c r="DK5" i="487"/>
  <c r="DG5" i="487"/>
  <c r="CH5" i="487"/>
  <c r="DE5" i="487"/>
  <c r="DZ5" i="487"/>
  <c r="BV5" i="487"/>
  <c r="EK5" i="487"/>
  <c r="CD5" i="487"/>
  <c r="DB5" i="487"/>
  <c r="EH5" i="487"/>
  <c r="DU5" i="487"/>
  <c r="CB5" i="487"/>
  <c r="EE5" i="487"/>
  <c r="CA5" i="487"/>
  <c r="FJ5" i="487"/>
  <c r="FA5" i="487"/>
  <c r="BP5" i="487"/>
  <c r="DH5" i="487"/>
  <c r="ER5" i="487"/>
  <c r="DI5" i="487"/>
  <c r="EP5" i="487"/>
  <c r="DF5" i="487"/>
  <c r="EM5" i="487"/>
  <c r="EJ5" i="487"/>
  <c r="EI5" i="487"/>
  <c r="EG5" i="487"/>
  <c r="CW5" i="487"/>
  <c r="ED5" i="487"/>
  <c r="CC5" i="487"/>
  <c r="EC5" i="487"/>
  <c r="CV5" i="487"/>
  <c r="BY5" i="487"/>
  <c r="EA5" i="487"/>
  <c r="CZ5" i="487"/>
  <c r="CY5" i="487"/>
  <c r="EF5" i="487"/>
  <c r="BX5" i="487"/>
  <c r="BW5" i="487"/>
</calcChain>
</file>

<file path=xl/sharedStrings.xml><?xml version="1.0" encoding="utf-8"?>
<sst xmlns="http://schemas.openxmlformats.org/spreadsheetml/2006/main" count="11234" uniqueCount="1507">
  <si>
    <t>NAME</t>
  </si>
  <si>
    <t>TYPE</t>
  </si>
  <si>
    <t>UNIT</t>
  </si>
  <si>
    <t>ADDR</t>
  </si>
  <si>
    <t>RAW_ZERO</t>
  </si>
  <si>
    <t>RAW_FULL</t>
  </si>
  <si>
    <t>ENG_ZERO</t>
  </si>
  <si>
    <t>ENG_FULL</t>
  </si>
  <si>
    <t>ENG_UNITS</t>
  </si>
  <si>
    <t>FORMAT</t>
  </si>
  <si>
    <t>COMMENT</t>
  </si>
  <si>
    <t>EDITCODE</t>
  </si>
  <si>
    <t>LINKED</t>
  </si>
  <si>
    <t>OID</t>
  </si>
  <si>
    <t>REF1</t>
  </si>
  <si>
    <t>REF2</t>
  </si>
  <si>
    <t>DEADBAND</t>
  </si>
  <si>
    <t>CUSTOM</t>
  </si>
  <si>
    <t>TAGGENLINK</t>
  </si>
  <si>
    <t>CLUSTER</t>
  </si>
  <si>
    <t>EQUIP</t>
  </si>
  <si>
    <t>ITEM</t>
  </si>
  <si>
    <t>HISTORIAN</t>
  </si>
  <si>
    <t>CUSTOM1</t>
  </si>
  <si>
    <t>CUSTOM2</t>
  </si>
  <si>
    <t>CUSTOM3</t>
  </si>
  <si>
    <t>CUSTOM4</t>
  </si>
  <si>
    <t>CUSTOM5</t>
  </si>
  <si>
    <t>CUSTOM6</t>
  </si>
  <si>
    <t>CUSTOM7</t>
  </si>
  <si>
    <t>CUSTOM8</t>
  </si>
  <si>
    <t>TAG</t>
  </si>
  <si>
    <t>DESC</t>
  </si>
  <si>
    <t>VAR_A</t>
  </si>
  <si>
    <t>VAR_B</t>
  </si>
  <si>
    <t>CATEGORY</t>
  </si>
  <si>
    <t>HELP</t>
  </si>
  <si>
    <t>PRIV</t>
  </si>
  <si>
    <t>AREA</t>
  </si>
  <si>
    <t>SEQUENCE</t>
  </si>
  <si>
    <t>DELAY</t>
  </si>
  <si>
    <t>PAGING</t>
  </si>
  <si>
    <t>PAGINGGRP</t>
  </si>
  <si>
    <t>EXPR</t>
  </si>
  <si>
    <t>TRIG</t>
  </si>
  <si>
    <t>SAMPLEPER</t>
  </si>
  <si>
    <t>FILENAME</t>
  </si>
  <si>
    <t>FILES</t>
  </si>
  <si>
    <t>TIME</t>
  </si>
  <si>
    <t>PERIOD</t>
  </si>
  <si>
    <t>SPCFLAG</t>
  </si>
  <si>
    <t>LSL</t>
  </si>
  <si>
    <t>USL</t>
  </si>
  <si>
    <t>SUBGRPSIZE</t>
  </si>
  <si>
    <t>XDOUBLEBAR</t>
  </si>
  <si>
    <t>RANGE</t>
  </si>
  <si>
    <t>SDEVIATION</t>
  </si>
  <si>
    <t>STORMETHOD</t>
  </si>
  <si>
    <t>LOCATION</t>
  </si>
  <si>
    <t>IODEVICE</t>
  </si>
  <si>
    <t>PAGE</t>
  </si>
  <si>
    <t>DEFSTATE</t>
  </si>
  <si>
    <t>SCHEDULED</t>
  </si>
  <si>
    <t>TAGPREFIX</t>
  </si>
  <si>
    <t>PARAM</t>
  </si>
  <si>
    <t>COMPOSITE</t>
  </si>
  <si>
    <t>REFERENCE</t>
  </si>
  <si>
    <t>DEVSCHED</t>
  </si>
  <si>
    <t>SCHEDID</t>
  </si>
  <si>
    <t>ALIAS</t>
  </si>
  <si>
    <t>CONTENT</t>
  </si>
  <si>
    <t>HIDDEN</t>
  </si>
  <si>
    <t>UDT</t>
  </si>
  <si>
    <t>Description</t>
  </si>
  <si>
    <t>PLC</t>
  </si>
  <si>
    <t>Cluster</t>
  </si>
  <si>
    <t>Data Type</t>
  </si>
  <si>
    <t>Alarm Cat</t>
  </si>
  <si>
    <t>Units</t>
  </si>
  <si>
    <t>BOOL</t>
  </si>
  <si>
    <t>DINT</t>
  </si>
  <si>
    <t>Format</t>
  </si>
  <si>
    <t>D</t>
  </si>
  <si>
    <t>Config</t>
  </si>
  <si>
    <t>INT</t>
  </si>
  <si>
    <t>REAL</t>
  </si>
  <si>
    <t>Name</t>
  </si>
  <si>
    <t>Style</t>
  </si>
  <si>
    <t>External Access</t>
  </si>
  <si>
    <t>digalm</t>
  </si>
  <si>
    <t>trend</t>
  </si>
  <si>
    <t>variable</t>
  </si>
  <si>
    <t>Citect Type</t>
  </si>
  <si>
    <t>PanelView Tag Type</t>
  </si>
  <si>
    <t>PanelView Native Type</t>
  </si>
  <si>
    <t>RSLogix DataType</t>
  </si>
  <si>
    <t>RSLogix Attributes</t>
  </si>
  <si>
    <t>PanelView Name</t>
  </si>
  <si>
    <t>Notes</t>
  </si>
  <si>
    <t>DIGITAL</t>
  </si>
  <si>
    <t xml:space="preserve"> </t>
  </si>
  <si>
    <t>(RADIX := Decimal)</t>
  </si>
  <si>
    <t>Digital</t>
  </si>
  <si>
    <t>A single bit.</t>
  </si>
  <si>
    <t>SINT</t>
  </si>
  <si>
    <t>BYTE</t>
  </si>
  <si>
    <t>A</t>
  </si>
  <si>
    <t>B</t>
  </si>
  <si>
    <t>Byte</t>
  </si>
  <si>
    <t>8-bit signed integer value</t>
  </si>
  <si>
    <t>I</t>
  </si>
  <si>
    <t>Int</t>
  </si>
  <si>
    <t>16-bit signed integer value</t>
  </si>
  <si>
    <t>LONG</t>
  </si>
  <si>
    <t>L</t>
  </si>
  <si>
    <t>Long Int</t>
  </si>
  <si>
    <t>32-bit signed integer value</t>
  </si>
  <si>
    <t>UINT</t>
  </si>
  <si>
    <t>Uint/Default</t>
  </si>
  <si>
    <t>16-bit unsigned integer value</t>
  </si>
  <si>
    <t>F</t>
  </si>
  <si>
    <t>(RADIX := Float)</t>
  </si>
  <si>
    <t>FloatingPoint</t>
  </si>
  <si>
    <t>32-bit IEEE floating point value.</t>
  </si>
  <si>
    <t>4BCD</t>
  </si>
  <si>
    <t>BCD</t>
  </si>
  <si>
    <t>4 Digit BCD</t>
  </si>
  <si>
    <t>16bit - 4 Digit binary-coded decimal</t>
  </si>
  <si>
    <t>0 to 9,999</t>
  </si>
  <si>
    <t>STRING</t>
  </si>
  <si>
    <t>S</t>
  </si>
  <si>
    <t>(RADIX := NullType)</t>
  </si>
  <si>
    <t>String</t>
  </si>
  <si>
    <t>An array of characters</t>
  </si>
  <si>
    <t>STRING_12</t>
  </si>
  <si>
    <t>STRING_20</t>
  </si>
  <si>
    <t>STRING_48</t>
  </si>
  <si>
    <t>ULONG - NS</t>
  </si>
  <si>
    <t>ULONG</t>
  </si>
  <si>
    <t>NOT SUPPORTED</t>
  </si>
  <si>
    <t>32-bit unsigned integer value</t>
  </si>
  <si>
    <t>3BCD - NS</t>
  </si>
  <si>
    <t>(RADIX := NOT SUPPORTED)</t>
  </si>
  <si>
    <t>3 Digit BCD</t>
  </si>
  <si>
    <t>3 Digit binary-coded decimal</t>
  </si>
  <si>
    <t>0 to 999</t>
  </si>
  <si>
    <t>8BCD - NS</t>
  </si>
  <si>
    <t>LONGBCD</t>
  </si>
  <si>
    <t>32bit - 8 Digit binary-coded decimal</t>
  </si>
  <si>
    <t>0 to 99,999,999</t>
  </si>
  <si>
    <t>TagPrefix</t>
  </si>
  <si>
    <t>Area</t>
  </si>
  <si>
    <t>Help</t>
  </si>
  <si>
    <t>Equip</t>
  </si>
  <si>
    <t>Full Description</t>
  </si>
  <si>
    <t>Short Description</t>
  </si>
  <si>
    <t>Config_Active_DL</t>
  </si>
  <si>
    <t>Trend Sample</t>
  </si>
  <si>
    <t>00:00:00</t>
  </si>
  <si>
    <t>Config_DisplayBorders</t>
  </si>
  <si>
    <t>Addr Suffix Override</t>
  </si>
  <si>
    <t>Addr Suffix Index</t>
  </si>
  <si>
    <t>Addr Suffix Bit Ref.</t>
  </si>
  <si>
    <t>Full Addr Override</t>
  </si>
  <si>
    <t>Config_EnableOverride</t>
  </si>
  <si>
    <t>Total</t>
  </si>
  <si>
    <t>Generated</t>
  </si>
  <si>
    <t>Config_ProjectPath</t>
  </si>
  <si>
    <t>OR (Modify)</t>
  </si>
  <si>
    <t>ShortDesc</t>
  </si>
  <si>
    <t>AddrArrayIndex</t>
  </si>
  <si>
    <t>Desc</t>
  </si>
  <si>
    <t>³</t>
  </si>
  <si>
    <t>^0xb0C</t>
  </si>
  <si>
    <t>Help Override</t>
  </si>
  <si>
    <t>Config_EnablePanelView</t>
  </si>
  <si>
    <t>AddrPrefixFull</t>
  </si>
  <si>
    <t>TagPrefixFull</t>
  </si>
  <si>
    <t>Global_Trend_NumFiles</t>
  </si>
  <si>
    <t>Global_Trend_Period</t>
  </si>
  <si>
    <t>Global_Trend_Time</t>
  </si>
  <si>
    <t>Global_Trend_Prefix</t>
  </si>
  <si>
    <t>Global_Seperator</t>
  </si>
  <si>
    <t>TrendPrefixOverride</t>
  </si>
  <si>
    <t>PVFolder</t>
  </si>
  <si>
    <t>PVPLC</t>
  </si>
  <si>
    <t>AddrOverride</t>
  </si>
  <si>
    <t>Tag Suffix</t>
  </si>
  <si>
    <t>OR (Add/Remove)</t>
  </si>
  <si>
    <t>PV</t>
  </si>
  <si>
    <t xml:space="preserve"> Alarmed</t>
  </si>
  <si>
    <t>Tag Type</t>
  </si>
  <si>
    <t>Initial Block</t>
  </si>
  <si>
    <t>PVPrefixFull</t>
  </si>
  <si>
    <t>Read Only</t>
  </si>
  <si>
    <t>Data Source</t>
  </si>
  <si>
    <t>Security Code</t>
  </si>
  <si>
    <t>Native Type</t>
  </si>
  <si>
    <t>Tag Name</t>
  </si>
  <si>
    <t>Tag Description</t>
  </si>
  <si>
    <t>Value Type</t>
  </si>
  <si>
    <t>Min Analog</t>
  </si>
  <si>
    <t>Max Analog</t>
  </si>
  <si>
    <t>Initial Analog</t>
  </si>
  <si>
    <t>Scale</t>
  </si>
  <si>
    <t>Offset</t>
  </si>
  <si>
    <t>DeadBand</t>
  </si>
  <si>
    <t>Off Label Digital</t>
  </si>
  <si>
    <t>On Label Digital</t>
  </si>
  <si>
    <t>Initial Digital</t>
  </si>
  <si>
    <t>Length String</t>
  </si>
  <si>
    <t>Initial String</t>
  </si>
  <si>
    <t>Retentive</t>
  </si>
  <si>
    <t>Address</t>
  </si>
  <si>
    <t>System Source Name</t>
  </si>
  <si>
    <t>System Source Index</t>
  </si>
  <si>
    <t>RIO Address</t>
  </si>
  <si>
    <t>Element Size Block</t>
  </si>
  <si>
    <t>Number Elements Block</t>
  </si>
  <si>
    <t>PVEnable</t>
  </si>
  <si>
    <t>;Tag Type</t>
  </si>
  <si>
    <t xml:space="preserve"> Tag Name</t>
  </si>
  <si>
    <t xml:space="preserve"> Tag Description</t>
  </si>
  <si>
    <t xml:space="preserve"> Read Only</t>
  </si>
  <si>
    <t xml:space="preserve"> Data Source</t>
  </si>
  <si>
    <t xml:space="preserve"> Security Code</t>
  </si>
  <si>
    <t xml:space="preserve"> Native Type</t>
  </si>
  <si>
    <t xml:space="preserve"> Value Type</t>
  </si>
  <si>
    <t xml:space="preserve"> Min Analog</t>
  </si>
  <si>
    <t xml:space="preserve"> Max Analog</t>
  </si>
  <si>
    <t xml:space="preserve"> Initial Analog</t>
  </si>
  <si>
    <t xml:space="preserve"> Scale</t>
  </si>
  <si>
    <t xml:space="preserve"> Offset</t>
  </si>
  <si>
    <t xml:space="preserve"> DeadBand</t>
  </si>
  <si>
    <t xml:space="preserve"> Units</t>
  </si>
  <si>
    <t xml:space="preserve"> Off Label Digital</t>
  </si>
  <si>
    <t xml:space="preserve"> On Label Digital</t>
  </si>
  <si>
    <t xml:space="preserve"> Initial Digital</t>
  </si>
  <si>
    <t xml:space="preserve"> Length String</t>
  </si>
  <si>
    <t xml:space="preserve"> Initial String</t>
  </si>
  <si>
    <t xml:space="preserve"> Retentive</t>
  </si>
  <si>
    <t xml:space="preserve"> Address</t>
  </si>
  <si>
    <t xml:space="preserve"> System Source Name</t>
  </si>
  <si>
    <t xml:space="preserve"> System Source Index</t>
  </si>
  <si>
    <t xml:space="preserve"> RIO Address</t>
  </si>
  <si>
    <t xml:space="preserve"> Element Size Block</t>
  </si>
  <si>
    <t xml:space="preserve"> Number Elements Block</t>
  </si>
  <si>
    <t xml:space="preserve"> Initial Block</t>
  </si>
  <si>
    <t>;###002 - THIS LINE CONTAINS VERSION INFORMATION. DO NOT REMOVE!!!</t>
  </si>
  <si>
    <t>;Folders Section (Must define folders before tags)</t>
  </si>
  <si>
    <t>;Tag Section</t>
  </si>
  <si>
    <t>Folder</t>
  </si>
  <si>
    <t>Config_CSV_Path</t>
  </si>
  <si>
    <t>&lt;?xml version="1.0" encoding="UTF-8"?&gt;</t>
  </si>
  <si>
    <t>&lt;alarms version="1.0" product="{E44CB020-C21D-11D3-8A3F-0010A4EF3494}" id="Alarms"&gt;</t>
  </si>
  <si>
    <t xml:space="preserve">    &lt;alarm history-size="128" capacity-high-warning="90" capacity-high-high-warning="99" display-name="Alarm" hold-time="250" max-update-rate="1.00" embedded-server-update-rate="1.00" silence-tag="" remote-silence-exp="" remote-ack-all-exp="" status-reset-tag="" remote-status-reset-exp="" close-display-tag="" remote-close-display-exp="" use-alarm-identifier="false" capacity-high-warning-tag="" capacity-high-high-warning-tag="" capacity-overrun-tag="" remote-clear-history-exp=""&gt;</t>
  </si>
  <si>
    <t xml:space="preserve">        &lt;triggers&gt;</t>
  </si>
  <si>
    <t xml:space="preserve">        &lt;/triggers&gt;</t>
  </si>
  <si>
    <t xml:space="preserve">        &lt;messages&gt;</t>
  </si>
  <si>
    <t xml:space="preserve">        &lt;/messages&gt;</t>
  </si>
  <si>
    <t>&lt;/alarms&gt;</t>
  </si>
  <si>
    <t>Config_XML_Path</t>
  </si>
  <si>
    <t>XML_Trigger</t>
  </si>
  <si>
    <t>XML_Message</t>
  </si>
  <si>
    <t xml:space="preserve">            &lt;trigger id="T~Num~" type="value" ack-all-value="0" use-ack-all="false" ack-tag="" exp="{~Tag~}" message-tag="" message-handshake-exp="" message-notification-tag="" remote-ack-exp="" remote-ack-handshake-tag="" label="Label~Num~" handshake-tag=""/&gt;</t>
  </si>
  <si>
    <t>Remove Duplicates</t>
  </si>
  <si>
    <t xml:space="preserve">   &lt;/alarm&gt;</t>
  </si>
  <si>
    <t>PV Alarm</t>
  </si>
  <si>
    <t>PV Folder Override</t>
  </si>
  <si>
    <t>Page navigate from alarms</t>
  </si>
  <si>
    <t>Global_Path</t>
  </si>
  <si>
    <t>This contains default Named Range Values</t>
  </si>
  <si>
    <t>Ignores AddrPrefix</t>
  </si>
  <si>
    <t>Exclude Tag</t>
  </si>
  <si>
    <t>Determines if included in digalm</t>
  </si>
  <si>
    <t>Determines if included in trend</t>
  </si>
  <si>
    <t>"IGNORE" to exclude tag from PV only</t>
  </si>
  <si>
    <t>Exclude from everything</t>
  </si>
  <si>
    <t>Used for BRM_TROC01_PLC</t>
  </si>
  <si>
    <t>Cluster Override</t>
  </si>
  <si>
    <t>PLC Override</t>
  </si>
  <si>
    <t>Add as PV alarm</t>
  </si>
  <si>
    <t>PLC Addr Suffix</t>
  </si>
  <si>
    <t>PV Addr Suffix</t>
  </si>
  <si>
    <t>Suffix</t>
  </si>
  <si>
    <t>PV tag</t>
  </si>
  <si>
    <t>PV alarm</t>
  </si>
  <si>
    <t>var</t>
  </si>
  <si>
    <t>PV Tag Override</t>
  </si>
  <si>
    <t>Override PV Tag Name</t>
  </si>
  <si>
    <t xml:space="preserve">            &lt;message id="M~Num~" trigger-value="1" identifier="~Num~" trigger="#T~Num~" backcolor="#800000" forecolor="#FFFFFF" audio="false" display="false" print="false" message-to-tag="false" text="~Tag~"/&gt;</t>
  </si>
  <si>
    <t>DL</t>
  </si>
  <si>
    <t>Designed to be pasted ito or from Logix v32+
To import, copy UDT definition into this section and press import button. 
To Export, press Export and copy this section into RSLogix</t>
  </si>
  <si>
    <t>DisableAlarms</t>
  </si>
  <si>
    <t>DisableTrends</t>
  </si>
  <si>
    <t>Equip Override</t>
  </si>
  <si>
    <t>Item Override</t>
  </si>
  <si>
    <t>DescPrefix</t>
  </si>
  <si>
    <t>Time</t>
  </si>
  <si>
    <t>Variable Enabled</t>
  </si>
  <si>
    <t>Trend Enabled</t>
  </si>
  <si>
    <t>Alarm Enabled</t>
  </si>
  <si>
    <t>PV Enable</t>
  </si>
  <si>
    <t>Output Enable</t>
  </si>
  <si>
    <t>Saturday</t>
  </si>
  <si>
    <t>This determines if the Named Range is assigned (for performance)</t>
  </si>
  <si>
    <t>Historian</t>
  </si>
  <si>
    <t>Alm_Trip</t>
  </si>
  <si>
    <t>Alm_Event</t>
  </si>
  <si>
    <t>Alm_Warning</t>
  </si>
  <si>
    <t>#EU</t>
  </si>
  <si>
    <t>Min</t>
  </si>
  <si>
    <t>Max</t>
  </si>
  <si>
    <t>%</t>
  </si>
  <si>
    <t>DigAlmName</t>
  </si>
  <si>
    <t>VariableB</t>
  </si>
  <si>
    <t>EnableItem</t>
  </si>
  <si>
    <t>WarnOK</t>
  </si>
  <si>
    <t>TripOK</t>
  </si>
  <si>
    <t>Trips Healthy</t>
  </si>
  <si>
    <t>Warnings Healthy</t>
  </si>
  <si>
    <t>InterlockOK</t>
  </si>
  <si>
    <t>OOS</t>
  </si>
  <si>
    <t>Interlocks Healthy</t>
  </si>
  <si>
    <t>ProdTrip</t>
  </si>
  <si>
    <t>Enabled</t>
  </si>
  <si>
    <t>Global_Trend_Deadband</t>
  </si>
  <si>
    <t>Raw Zero</t>
  </si>
  <si>
    <t>Raw Full</t>
  </si>
  <si>
    <t>Eng Zero</t>
  </si>
  <si>
    <t>Eng Full</t>
  </si>
  <si>
    <t>Trend Zero</t>
  </si>
  <si>
    <t>Trend Max</t>
  </si>
  <si>
    <t>TrendMin</t>
  </si>
  <si>
    <t>TrendMax</t>
  </si>
  <si>
    <t>QualityTag</t>
  </si>
  <si>
    <t>Quality Check Tag</t>
  </si>
  <si>
    <t>Alarm Desc Override</t>
  </si>
  <si>
    <t>Global_Alarm_Priv</t>
  </si>
  <si>
    <t>Xref L5K</t>
  </si>
  <si>
    <t>XRefL5K</t>
  </si>
  <si>
    <t>GUID</t>
  </si>
  <si>
    <t>WRITEROLES</t>
  </si>
  <si>
    <t>Config_L5K_File</t>
  </si>
  <si>
    <t>Reset_C</t>
  </si>
  <si>
    <t>SCADA Reset Command</t>
  </si>
  <si>
    <t>ResetPB</t>
  </si>
  <si>
    <t>CV004</t>
  </si>
  <si>
    <t>Custom</t>
  </si>
  <si>
    <t>ManualTags</t>
  </si>
  <si>
    <t>AqAnalog</t>
  </si>
  <si>
    <t>NullType</t>
  </si>
  <si>
    <t>AuxOtl</t>
  </si>
  <si>
    <t>Outlet 6</t>
  </si>
  <si>
    <t>Outlet 6 Earth Leakage</t>
  </si>
  <si>
    <t xml:space="preserve">Outlet 7 </t>
  </si>
  <si>
    <t>Outlet 7 Earth Leakage</t>
  </si>
  <si>
    <t>Conveyor Tripped</t>
  </si>
  <si>
    <t>PLC_TripOK</t>
  </si>
  <si>
    <t>Local Reset Push Button</t>
  </si>
  <si>
    <t>240V NER Isolator Closed</t>
  </si>
  <si>
    <t>240V NER Switch Open for Scada Indication</t>
  </si>
  <si>
    <t>110V BUEL Healthy</t>
  </si>
  <si>
    <t>240V BUEL Healthy</t>
  </si>
  <si>
    <t>240V BUEL Tripped</t>
  </si>
  <si>
    <t>240V CB Closed</t>
  </si>
  <si>
    <t>240V CB Open for Scada Indication</t>
  </si>
  <si>
    <t>Face CB Earth Switch Closed for Scada Indication</t>
  </si>
  <si>
    <t>240V MC Healthy</t>
  </si>
  <si>
    <t>240V MC Open for Scada Indication</t>
  </si>
  <si>
    <t>240V MC trip Output</t>
  </si>
  <si>
    <t>Outlet 6 CB Open for Scada Indication</t>
  </si>
  <si>
    <t>Outlet 6 MC Open for Scada Indication</t>
  </si>
  <si>
    <t>Outlet 7 CB Open for Scada Indication</t>
  </si>
  <si>
    <t>Outlet 7 MC Open for Scada Indication</t>
  </si>
  <si>
    <t>Outlet 6 Isolator Open for Scada Indication</t>
  </si>
  <si>
    <t>Outlet 7 Isolator Open for Scada Indication</t>
  </si>
  <si>
    <t>Decimal</t>
  </si>
  <si>
    <t>Float</t>
  </si>
  <si>
    <t>RST_s</t>
  </si>
  <si>
    <t>HTY_s</t>
  </si>
  <si>
    <t>AOI_SCADAStart</t>
  </si>
  <si>
    <t>Process Variable</t>
  </si>
  <si>
    <t>Read/Write</t>
  </si>
  <si>
    <t>HH_SP</t>
  </si>
  <si>
    <t>High High Level Setpoint</t>
  </si>
  <si>
    <t>HighHighSP</t>
  </si>
  <si>
    <t>H_SP</t>
  </si>
  <si>
    <t>High level Setpoint</t>
  </si>
  <si>
    <t>HighSP</t>
  </si>
  <si>
    <t>L_SP</t>
  </si>
  <si>
    <t>Low Level Setpoint</t>
  </si>
  <si>
    <t>LowSP</t>
  </si>
  <si>
    <t>LL_SP</t>
  </si>
  <si>
    <t>Low Low Level Setpoint</t>
  </si>
  <si>
    <t>LowLowSP</t>
  </si>
  <si>
    <t>Out of Service</t>
  </si>
  <si>
    <t>ChFlt_T</t>
  </si>
  <si>
    <t>Channel Fault</t>
  </si>
  <si>
    <t>Offscale</t>
  </si>
  <si>
    <t>Sensor Offscale</t>
  </si>
  <si>
    <t>HH_T</t>
  </si>
  <si>
    <t>High High Level Alarm</t>
  </si>
  <si>
    <t>HighHighAlarm</t>
  </si>
  <si>
    <t>H_W</t>
  </si>
  <si>
    <t>High Level Alarm</t>
  </si>
  <si>
    <t>HighAlarm</t>
  </si>
  <si>
    <t>L_W</t>
  </si>
  <si>
    <t>Low Level Alarm</t>
  </si>
  <si>
    <t>LowAlarm</t>
  </si>
  <si>
    <t>LL_T</t>
  </si>
  <si>
    <t>Low Low Level Alarm</t>
  </si>
  <si>
    <t>LowLowAlarm</t>
  </si>
  <si>
    <t>LowLow Level Alarm</t>
  </si>
  <si>
    <t>HH_Hide</t>
  </si>
  <si>
    <t>High High Hide</t>
  </si>
  <si>
    <t>H_Hide</t>
  </si>
  <si>
    <t>High Hide</t>
  </si>
  <si>
    <t>L_Hide</t>
  </si>
  <si>
    <t>Low Hide</t>
  </si>
  <si>
    <t>LL_Hide</t>
  </si>
  <si>
    <t>Low Low Hide</t>
  </si>
  <si>
    <t>Floating Tags</t>
  </si>
  <si>
    <t xml:space="preserve">240V NER Switch Open </t>
  </si>
  <si>
    <t xml:space="preserve">240V CB Open </t>
  </si>
  <si>
    <t xml:space="preserve">Face CB Earth Switch Closed </t>
  </si>
  <si>
    <t xml:space="preserve">240V MC Open </t>
  </si>
  <si>
    <t xml:space="preserve">Outlet 6 CB Open </t>
  </si>
  <si>
    <t xml:space="preserve">Outlet 6 MC Open </t>
  </si>
  <si>
    <t xml:space="preserve">Outlet 7 CB Open </t>
  </si>
  <si>
    <t xml:space="preserve">Outlet 7 MC Open </t>
  </si>
  <si>
    <t xml:space="preserve">Outlet 6 Isolator Open </t>
  </si>
  <si>
    <t xml:space="preserve">Outlet 7 Isolator Open </t>
  </si>
  <si>
    <t>CB</t>
  </si>
  <si>
    <t>Mc</t>
  </si>
  <si>
    <t>ESW</t>
  </si>
  <si>
    <t>DifIn</t>
  </si>
  <si>
    <t>BU_EL_TST_i</t>
  </si>
  <si>
    <t>BUEL Test Pushbutton Input</t>
  </si>
  <si>
    <t>SEPAM_WTDG_HTY_i</t>
  </si>
  <si>
    <t>SEPAM_TRP_i</t>
  </si>
  <si>
    <t>BU_EL_HTY_i</t>
  </si>
  <si>
    <t>Backup Earth Leakage Protection Relay Healthy</t>
  </si>
  <si>
    <t>TAP_COV_HTY_i</t>
  </si>
  <si>
    <t>NER_ISO_CLSD_i</t>
  </si>
  <si>
    <t>ESTP_HTY_i</t>
  </si>
  <si>
    <t>Emergency Stop Healthy</t>
  </si>
  <si>
    <t>ESTP_HT_i</t>
  </si>
  <si>
    <t>ESTP_LT1_i</t>
  </si>
  <si>
    <t>ESTP_LT2_i</t>
  </si>
  <si>
    <t>ESTP_PEND_i</t>
  </si>
  <si>
    <t>LT_DR_LIM_i</t>
  </si>
  <si>
    <t>LT Door Limits Healthy</t>
  </si>
  <si>
    <t>NER_RES_FLT_i</t>
  </si>
  <si>
    <t>NER_MON_HTY_i</t>
  </si>
  <si>
    <t>REM_MD_i</t>
  </si>
  <si>
    <t>Pendant/HMI Switch in Pendant Mode</t>
  </si>
  <si>
    <t>CB_UV_TRP_RLY_HTY_i</t>
  </si>
  <si>
    <t>CB Trip Relay 1 (UV) Healthy</t>
  </si>
  <si>
    <t>CB_ST_TRP_RLY_HTY_i</t>
  </si>
  <si>
    <t>CB Trip Relay 2 (ST) Healthy</t>
  </si>
  <si>
    <t>TANK_UNDER_PRESS_i</t>
  </si>
  <si>
    <t>TANK_OVER_PRESS_i</t>
  </si>
  <si>
    <t>LD_DR_SR_HTY_i</t>
  </si>
  <si>
    <t>LT Door Interlock Safety Relay Healthy</t>
  </si>
  <si>
    <t>CONT_ISOL_i</t>
  </si>
  <si>
    <t>Control Isolator</t>
  </si>
  <si>
    <t>SEPAM_RST_o</t>
  </si>
  <si>
    <t>Sepam Reset</t>
  </si>
  <si>
    <t>NERM_RST_o</t>
  </si>
  <si>
    <t>NERM Protection Relay Reset</t>
  </si>
  <si>
    <t>BU_EL_TST_o</t>
  </si>
  <si>
    <t>Backup Earth Leakage Protection Relay Test</t>
  </si>
  <si>
    <t>BU_EL_RST_o</t>
  </si>
  <si>
    <t>Backup Earth Leakage Protection Relay Reset</t>
  </si>
  <si>
    <t>BU_EL_t</t>
  </si>
  <si>
    <t>Backup Earth Leakage Protection Relay Tripped</t>
  </si>
  <si>
    <t>TAP_COV_t</t>
  </si>
  <si>
    <t>NER_ISO_t</t>
  </si>
  <si>
    <t>SEPAM_t</t>
  </si>
  <si>
    <t>SEPAM_WTDG_t</t>
  </si>
  <si>
    <t>SEPAM_OC_t</t>
  </si>
  <si>
    <t>Sepam Overcurrent Trip</t>
  </si>
  <si>
    <t>SEPAM_SC_t</t>
  </si>
  <si>
    <t>SEPAM Short Circuit Trip</t>
  </si>
  <si>
    <t>LT_DR_LIM_t</t>
  </si>
  <si>
    <t>LT Door Limits Trip</t>
  </si>
  <si>
    <t>NER_RES_t</t>
  </si>
  <si>
    <t>NER_MON_t</t>
  </si>
  <si>
    <t>TANK_UNDER_PRESS_t</t>
  </si>
  <si>
    <t>TANK_OVER_PRESS_t</t>
  </si>
  <si>
    <t>CONT_ISOL_t</t>
  </si>
  <si>
    <t>Control Isolator Tripped</t>
  </si>
  <si>
    <t>ESTP_t</t>
  </si>
  <si>
    <t>Emergency Stop safety Relay Tripped</t>
  </si>
  <si>
    <t>TOTAL_I_v</t>
  </si>
  <si>
    <t>total CB Current</t>
  </si>
  <si>
    <t>BU_EL_TST_c</t>
  </si>
  <si>
    <t>PRESS_CAL_0_KPA_c</t>
  </si>
  <si>
    <t>PRESS_CAL_50_KPA_c</t>
  </si>
  <si>
    <t>PRESS_CAL_100_KPA_c</t>
  </si>
  <si>
    <t>Emergency Stop High Tension Active</t>
  </si>
  <si>
    <t>Emergency Stop Low Tension Active</t>
  </si>
  <si>
    <t>Emergency Stop Pendant Active</t>
  </si>
  <si>
    <t>kPa</t>
  </si>
  <si>
    <t>TXF_CB_CLO_c_CMD_i</t>
  </si>
  <si>
    <t>TXF_CB_OPN_c_CMD_i</t>
  </si>
  <si>
    <t>TXF_ESW_CLSD_I</t>
  </si>
  <si>
    <t>TXF_Inc_Isol_OPND_I</t>
  </si>
  <si>
    <t>TXF_BU_EL_TST_i</t>
  </si>
  <si>
    <t>TXF_SEPAM_WTDG_HTY_i</t>
  </si>
  <si>
    <t>TXF_SEPAM_TRP_i</t>
  </si>
  <si>
    <t>TXF_BU_EL_HTY_i</t>
  </si>
  <si>
    <t>TXF_TAP_COV_HTY_i</t>
  </si>
  <si>
    <t>TXF_NER_ISO_CLSD_i</t>
  </si>
  <si>
    <t>TXF_ESTP_HTY_i</t>
  </si>
  <si>
    <t>TXF_ESTP_HT_i</t>
  </si>
  <si>
    <t>TXF_ESTP_LT1_i</t>
  </si>
  <si>
    <t>TXF_ESTP_LT2_i</t>
  </si>
  <si>
    <t>TXF_ESTP_PEND_i</t>
  </si>
  <si>
    <t>TXF_LT_DR_LIM_i</t>
  </si>
  <si>
    <t>TXF_NER_RES_FLT_i</t>
  </si>
  <si>
    <t>TXF_NER_MON_HTY_i</t>
  </si>
  <si>
    <t>TXF_REM_MD_i</t>
  </si>
  <si>
    <t>TXF_CB_UV_TRP_RLY_HTY_i</t>
  </si>
  <si>
    <t>TXF_CB_ST_TRP_RLY_HTY_i</t>
  </si>
  <si>
    <t>TXF_LD_DR_SR_HTY_i</t>
  </si>
  <si>
    <t>TXF_CONT_ISOL_i</t>
  </si>
  <si>
    <t>TXF_SEPAM_RST_o</t>
  </si>
  <si>
    <t>TXF_NERM_RST_o</t>
  </si>
  <si>
    <t>TXF_BU_EL_TST_o</t>
  </si>
  <si>
    <t>TXF_BU_EL_RST_o</t>
  </si>
  <si>
    <t>TXF_BU_EL_t</t>
  </si>
  <si>
    <t>TXF_TAP_COV_t</t>
  </si>
  <si>
    <t>TXF_NER_ISO_t</t>
  </si>
  <si>
    <t>TXF_SEPAM_t</t>
  </si>
  <si>
    <t>TXF_SEPAM_WTDG_t</t>
  </si>
  <si>
    <t>TXF_SEPAM_OC_t</t>
  </si>
  <si>
    <t>TXF_SEPAM_SC_t</t>
  </si>
  <si>
    <t>TXF_LT_DR_LIM_t</t>
  </si>
  <si>
    <t>TXF_NER_RES_t</t>
  </si>
  <si>
    <t>TXF_NER_MON_t</t>
  </si>
  <si>
    <t>TXF_CONT_ISOL_t</t>
  </si>
  <si>
    <t>TXF_ESTP_t</t>
  </si>
  <si>
    <t>TXF_TOTAL_I_v</t>
  </si>
  <si>
    <t>Start Substation CMD -  2 second delay</t>
  </si>
  <si>
    <t>PLC Program Lock Reset</t>
  </si>
  <si>
    <t>Trip Locked Reset</t>
  </si>
  <si>
    <t>General Reset Button</t>
  </si>
  <si>
    <t>Trip Locked Reset from button</t>
  </si>
  <si>
    <t>Lock Reset</t>
  </si>
  <si>
    <t>Power Up Latch</t>
  </si>
  <si>
    <t>START_c_CMD_i</t>
  </si>
  <si>
    <t>RST_LOCK_PRG_s</t>
  </si>
  <si>
    <t>RST_LOCK_TRP_s</t>
  </si>
  <si>
    <t>RST_RST_i</t>
  </si>
  <si>
    <t>RST_LOCK_PRG_HTY_i</t>
  </si>
  <si>
    <t>RST_LOCK_TRP_HTY_i</t>
  </si>
  <si>
    <t>RST_LOCK_RST_s</t>
  </si>
  <si>
    <t>RST_PU_LAT_s</t>
  </si>
  <si>
    <t>RST_RST_c_CMD_i</t>
  </si>
  <si>
    <t>TXF_BU_EL_TST_c_CMD_i</t>
  </si>
  <si>
    <t>VOR_ON_i</t>
  </si>
  <si>
    <t>Vortex Cooler On</t>
  </si>
  <si>
    <t>VOR_WATER_DETECTED_i</t>
  </si>
  <si>
    <t>Water Detected in Vortex</t>
  </si>
  <si>
    <t>Compartment_VOR_ON_i</t>
  </si>
  <si>
    <t>Compartment_VOR_Water_Detected_i</t>
  </si>
  <si>
    <t>RST_RST_Face_C_CMD_i</t>
  </si>
  <si>
    <t>RST_Button_Dly_v</t>
  </si>
  <si>
    <t>TXF_Press_CAL_0_kPa_c_CMD_i</t>
  </si>
  <si>
    <t>TXF_Press_CAL_50_kPa_c_CMD_i</t>
  </si>
  <si>
    <t>TXF_Press_CAL_100_kPa_c_CMD_i</t>
  </si>
  <si>
    <t>TXF_Tank_Under_Press_i</t>
  </si>
  <si>
    <t>TXF_Tank_Over_Press_i</t>
  </si>
  <si>
    <t>TXF_Tank_Under_Press_t</t>
  </si>
  <si>
    <t>TXF_Tank_Over_Press_t</t>
  </si>
  <si>
    <t>HT Busway Compartment Temperature</t>
  </si>
  <si>
    <t>PLC Compartment Temperature</t>
  </si>
  <si>
    <t>240V_NER_ISO_CLSD_I</t>
  </si>
  <si>
    <t>240V_NER_ISO_OPN_T</t>
  </si>
  <si>
    <t>BUEL_110V_HTY_I</t>
  </si>
  <si>
    <t>BUEL_240V_HTY_I</t>
  </si>
  <si>
    <t>BUEL_240V_T</t>
  </si>
  <si>
    <t>CB_240V_CLSD_I</t>
  </si>
  <si>
    <t>CB_240V_OPN_W</t>
  </si>
  <si>
    <t>Face_CB_ESW_CLSD_W</t>
  </si>
  <si>
    <t>MC_240V_HTY_I</t>
  </si>
  <si>
    <t>MC_240V_OPN_W</t>
  </si>
  <si>
    <t>MC_240V_TRP_O</t>
  </si>
  <si>
    <t>OTL_6_ISOL_OPN_W</t>
  </si>
  <si>
    <t>OTL_7_ISOL_OPN_W</t>
  </si>
  <si>
    <t>Circuit Breaker Closed</t>
  </si>
  <si>
    <t>CB_Face_CB_CLO_c_CMD_i</t>
  </si>
  <si>
    <t>CB_Face_CB_OPN_c_CMD_i</t>
  </si>
  <si>
    <t>AOI_SCADAStart    only uses CMD_i</t>
  </si>
  <si>
    <t>CLSD_i</t>
  </si>
  <si>
    <t>Close input 1 = Closed 0 = Not Closed</t>
  </si>
  <si>
    <t>OPND_i</t>
  </si>
  <si>
    <t>Open Input 1 = Opened 0 = Not Opened</t>
  </si>
  <si>
    <t>CB Status[1=Healthy 0=Tripped]</t>
  </si>
  <si>
    <t>FdrSupply/   Mc/  AOI_SCADAStart</t>
  </si>
  <si>
    <t>Default Button Delay Push from SCADA</t>
  </si>
  <si>
    <t>TXF_CB_OPN_c_CMD_s</t>
  </si>
  <si>
    <t>RDY_i</t>
  </si>
  <si>
    <t>UFES Ready Input</t>
  </si>
  <si>
    <t>RDY_t</t>
  </si>
  <si>
    <t>UFES Ready Trip</t>
  </si>
  <si>
    <t>BLKD_i</t>
  </si>
  <si>
    <t>UFES Blocked Input</t>
  </si>
  <si>
    <t>BLKD_t</t>
  </si>
  <si>
    <t>UFES Blocked Trip</t>
  </si>
  <si>
    <t>TRP_i</t>
  </si>
  <si>
    <t>UFES Tripped Input</t>
  </si>
  <si>
    <t>TRP_t</t>
  </si>
  <si>
    <t>UFES Tripped</t>
  </si>
  <si>
    <t>Resets</t>
  </si>
  <si>
    <t>Resets   AOI_SCADAStart</t>
  </si>
  <si>
    <t>General Alarm Button</t>
  </si>
  <si>
    <t>Compartment Temp - Vortex Cooler On</t>
  </si>
  <si>
    <t>Compartment Temp - Water Detected in Vortex</t>
  </si>
  <si>
    <t>Face Feeders Current Difference Warning</t>
  </si>
  <si>
    <t>Face Feeders Current Difference Trip</t>
  </si>
  <si>
    <t>^0xB0C</t>
  </si>
  <si>
    <t>Drive_Control</t>
  </si>
  <si>
    <t>Feeder Pump</t>
  </si>
  <si>
    <t>3_3kV NER Isolator Closed</t>
  </si>
  <si>
    <t>FaceFeeders_TripOk</t>
  </si>
  <si>
    <t>Face Feeders Trips Healthy</t>
  </si>
  <si>
    <t>Pump SF6 Gas Trip</t>
  </si>
  <si>
    <t>Pump Circuit Breaker and Earth Switch mechanical fault</t>
  </si>
  <si>
    <t>Pump Common trip</t>
  </si>
  <si>
    <t>Pump Duplicate Drive Trip</t>
  </si>
  <si>
    <t>Pump Undervoltage Fail to Open Trip</t>
  </si>
  <si>
    <t>Pump Shunt Trip Fail to Open Trip</t>
  </si>
  <si>
    <t>Pump Fail To Close Trip</t>
  </si>
  <si>
    <t>Pump Control Isolator Tripped</t>
  </si>
  <si>
    <t>Pump CB SCADA Close</t>
  </si>
  <si>
    <t>Pump CB SCADA Open</t>
  </si>
  <si>
    <t>Pump CB UV Trip Test</t>
  </si>
  <si>
    <t>Pump CB ST Trip Test</t>
  </si>
  <si>
    <t>Pump CB Failed to Open</t>
  </si>
  <si>
    <t>Pump CB Failed To Close</t>
  </si>
  <si>
    <t>Pump CB Un-commanded open</t>
  </si>
  <si>
    <t>Pump ESW SCADA Close</t>
  </si>
  <si>
    <t>Pump ESW SCADA Open</t>
  </si>
  <si>
    <t>Pump ESW UV Trip Test</t>
  </si>
  <si>
    <t>Pump ESW ST Trip Test</t>
  </si>
  <si>
    <t>Pump ESW Failed to Open</t>
  </si>
  <si>
    <t>Pump ESW Failed To Close</t>
  </si>
  <si>
    <t>Pump ESW Un-commanded open</t>
  </si>
  <si>
    <t>Face SF6 Gas Trip</t>
  </si>
  <si>
    <t>Face Circuit Breaker and Earth Switch mechanical fault</t>
  </si>
  <si>
    <t>Face Common trip</t>
  </si>
  <si>
    <t>Face Duplicate Drive Trip</t>
  </si>
  <si>
    <t>Face Undervoltage Fail to Open Trip</t>
  </si>
  <si>
    <t>Face Shunt Trip Fail to Open Trip</t>
  </si>
  <si>
    <t>Face Fail To Close Trip</t>
  </si>
  <si>
    <t>Face Control Isolator Tripped</t>
  </si>
  <si>
    <t>Face CB SCADA Close</t>
  </si>
  <si>
    <t>Face CB SCADA Open</t>
  </si>
  <si>
    <t>Face CB UV Trip Test</t>
  </si>
  <si>
    <t>Face CB ST Trip Test</t>
  </si>
  <si>
    <t>Face CB Failed to Open</t>
  </si>
  <si>
    <t>Face CB Failed To Close</t>
  </si>
  <si>
    <t>Face CB Un-commanded open</t>
  </si>
  <si>
    <t>Face ESW SCADA Close</t>
  </si>
  <si>
    <t>Face ESW SCADA Open</t>
  </si>
  <si>
    <t>Face ESW UV Trip Test</t>
  </si>
  <si>
    <t>Face ESW ST Trip Test</t>
  </si>
  <si>
    <t>Face ESW Failed to Open</t>
  </si>
  <si>
    <t>Face ESW Failed To Close</t>
  </si>
  <si>
    <t>Face ESW Un-commanded open</t>
  </si>
  <si>
    <t>Face Feeder 1 Drive or Feeder in Invalid Outlet</t>
  </si>
  <si>
    <t>Face Feeder 2 Drive or Feeder in Invalid Outlet</t>
  </si>
  <si>
    <t>Face Feeder 3 Drive or Feeder in Invalid Outlet</t>
  </si>
  <si>
    <t>Pump Drive or Feeder in Invalid Outlet</t>
  </si>
  <si>
    <t>Pump Outlet Inhibited to Start</t>
  </si>
  <si>
    <t>Txf Tank Temperature</t>
  </si>
  <si>
    <t>Txf Winding Temperature</t>
  </si>
  <si>
    <t>Txf Tank Pressure</t>
  </si>
  <si>
    <t xml:space="preserve">240V Backup Earth Leakage </t>
  </si>
  <si>
    <t xml:space="preserve">HT110 Backup Earth Leakage </t>
  </si>
  <si>
    <t>UFES_RDY_i</t>
  </si>
  <si>
    <t>UFES_RDY_t</t>
  </si>
  <si>
    <t>UFES_BLKD_i</t>
  </si>
  <si>
    <t>UFES_BLKD_t</t>
  </si>
  <si>
    <t>UFES_TRP_i</t>
  </si>
  <si>
    <t>UFES_TRP_t</t>
  </si>
  <si>
    <t>TXF_CB_CLSD_i</t>
  </si>
  <si>
    <t>TXF_CB_OPND_i</t>
  </si>
  <si>
    <t>TXF_CB_HTY_s</t>
  </si>
  <si>
    <t>#.#EU</t>
  </si>
  <si>
    <t>DCB 1 Comms Counters Reset</t>
  </si>
  <si>
    <t>DCB 2 Comms Counters Reset</t>
  </si>
  <si>
    <t>Pump 1 Comms Counters Reset</t>
  </si>
  <si>
    <t>LW_Sub2_Disk</t>
  </si>
  <si>
    <t>kV</t>
  </si>
  <si>
    <t>Hz</t>
  </si>
  <si>
    <t>#.##EU</t>
  </si>
  <si>
    <t>kW</t>
  </si>
  <si>
    <t>TXF_CB_Tst_ST_c_CMD_i</t>
  </si>
  <si>
    <t>TXF_CB_Tst_UV_c_CMD_i</t>
  </si>
  <si>
    <t>CB_Face_CB_Tst_UV_c_CMD_i</t>
  </si>
  <si>
    <t>Sub</t>
  </si>
  <si>
    <t>FaceFeeders_InterlockOk</t>
  </si>
  <si>
    <t>Face Feeders Interlocks Healthy</t>
  </si>
  <si>
    <t>kVar</t>
  </si>
  <si>
    <t>kVa</t>
  </si>
  <si>
    <t>#.##</t>
  </si>
  <si>
    <t>MLX_Sepam</t>
  </si>
  <si>
    <t>Transformer Sepam</t>
  </si>
  <si>
    <t>TXF_CB_OPS_OPS_v</t>
  </si>
  <si>
    <t>OTL_6_CB_OPN_W</t>
  </si>
  <si>
    <t>OTL_6_MC_OPN_W</t>
  </si>
  <si>
    <t>OTL_7_CB_OPN_W</t>
  </si>
  <si>
    <t>OTL_7_MC_OPN_W</t>
  </si>
  <si>
    <t>LT Busway Compartment RTD</t>
  </si>
  <si>
    <t/>
  </si>
  <si>
    <t>Alm_Prod</t>
  </si>
  <si>
    <t>Transformer_TripOK</t>
  </si>
  <si>
    <t>Transformer Trip Healthy</t>
  </si>
  <si>
    <t>Transformer_InterlockOK</t>
  </si>
  <si>
    <t>Transformer Interlocks Healthy</t>
  </si>
  <si>
    <t>Transformer_LTDoorLimits_SR_t</t>
  </si>
  <si>
    <t xml:space="preserve">Transformer </t>
  </si>
  <si>
    <t>Transformer LT Door Limits Safety Relay Trip</t>
  </si>
  <si>
    <t>Transformer_WarnOK</t>
  </si>
  <si>
    <t>Transformer Warning Healthy</t>
  </si>
  <si>
    <t>Transformer</t>
  </si>
  <si>
    <t>Transformer CB SCADA Close</t>
  </si>
  <si>
    <t>Transformer_CB  Mc    AOI_SCADAStart</t>
  </si>
  <si>
    <t>Transformer CB SCADA Open</t>
  </si>
  <si>
    <t>Transformer CB Output CMD On Delay</t>
  </si>
  <si>
    <t>Transformer CB UV Trip Test</t>
  </si>
  <si>
    <t>Transformer CB ST Trip Test</t>
  </si>
  <si>
    <t>Transformer CB Close Input [1=Closed 0=Not Closed]</t>
  </si>
  <si>
    <t>Transformer_CB        Mc</t>
  </si>
  <si>
    <t>Transformer CB Open Input [1=Opened 0=Not Opened]</t>
  </si>
  <si>
    <t>Transformer CB CB Status [1=Healthy 0=Tripped]</t>
  </si>
  <si>
    <t>Transformer Operations Count</t>
  </si>
  <si>
    <t>Transformer ESW Closed</t>
  </si>
  <si>
    <t>Transformer Incoming Isolator Open</t>
  </si>
  <si>
    <t>Transformer UFES Ready Input</t>
  </si>
  <si>
    <t>Transformer  / UFES</t>
  </si>
  <si>
    <t>Transformer UFES Ready Trip</t>
  </si>
  <si>
    <t>Transformer UFES Blocked Input</t>
  </si>
  <si>
    <t>Transformer UFES Blocked Trip</t>
  </si>
  <si>
    <t>Transformer UFES Tripped Input</t>
  </si>
  <si>
    <t>Transformer UFES Tripped</t>
  </si>
  <si>
    <t>Transformer BUEL Test Pushbutton Input</t>
  </si>
  <si>
    <t>11kV Transformer Supply Sepam Watchdog Healthy</t>
  </si>
  <si>
    <t>11kV Transformer Supply Sepam Tripped</t>
  </si>
  <si>
    <t>Transformer Backup Earth Leakage Protection Relay Healthy</t>
  </si>
  <si>
    <t>Transformer Tap Changer Cover Limit Healthy</t>
  </si>
  <si>
    <t>Transformer 3_3kV NER Isolator Closed</t>
  </si>
  <si>
    <t>Transformer Emergency Stop Healthy</t>
  </si>
  <si>
    <t>Transformer Emergency Stop High Tension Active</t>
  </si>
  <si>
    <t>Transformer Emergency Stop Low Tension 1 Active</t>
  </si>
  <si>
    <t>Transformer Emergency Stop Low Tension 2 Active</t>
  </si>
  <si>
    <t>Transformer Emergency Stop Pendant Active</t>
  </si>
  <si>
    <t>Transformer LT Door Limits Healthy</t>
  </si>
  <si>
    <t>Transformer Pendant/HMI Switch in Pendant Mode</t>
  </si>
  <si>
    <t>Transformer CB Trip Relay 1 (UV) Healthy</t>
  </si>
  <si>
    <t>Transformer CB Trip Relay 2 (ST) Healthy</t>
  </si>
  <si>
    <t>Transformer Underpresssure (&lt;2kPA) Trip Input</t>
  </si>
  <si>
    <t>Transformer Overpresssure (&gt;51kPA) Trip Input</t>
  </si>
  <si>
    <t>Transformer LT Door Interlock Safety Relay Healthy</t>
  </si>
  <si>
    <t>Transformer Control Isolator</t>
  </si>
  <si>
    <t>Transformer Sepam Reset</t>
  </si>
  <si>
    <t>Transformer NERM Protection Relay Reset</t>
  </si>
  <si>
    <t>Transformer Backup Earth Leakage Protection Relay Test</t>
  </si>
  <si>
    <t>Transformer Backup Earth Leakage Protection Relay Reset</t>
  </si>
  <si>
    <t>Transformer Backup Earth Leakage Protection Relay Tripped</t>
  </si>
  <si>
    <t>Transformer Tap Changer Cover Limit Tripped</t>
  </si>
  <si>
    <t>Transformer NER Isolator Tripped</t>
  </si>
  <si>
    <t>11kV Transformer Supply Sepam Watchdog Tripped</t>
  </si>
  <si>
    <t>Transformer Sepam Overcurrent Trip</t>
  </si>
  <si>
    <t>Transformer SEPAM Short Circuit Trip</t>
  </si>
  <si>
    <t>Transformer LT Door Limits Trip</t>
  </si>
  <si>
    <t>Transformer Underpresssure (&lt;2kPA) Tripped</t>
  </si>
  <si>
    <t>Transformer Overpresssure (&gt;51kPA) Tripped</t>
  </si>
  <si>
    <t>Transformer Control Isolator Tripped</t>
  </si>
  <si>
    <t>Transformer Emergency Stop Safety Relay Tripped</t>
  </si>
  <si>
    <t>Transformer total CB Current</t>
  </si>
  <si>
    <t>Transformer  AOI_SCADAStart</t>
  </si>
  <si>
    <t>Transformer Calibrate the Zero KPA for the Transformer Pressure Sensor</t>
  </si>
  <si>
    <t>Calibrate the Zero KPA for the Transformer Pressure Sensor</t>
  </si>
  <si>
    <t>Transformer Calibrate the 50 KPA for the Transformer Pressure Sensor</t>
  </si>
  <si>
    <t>Calibrate the 50 KPA for the Transformer Pressure Sensor</t>
  </si>
  <si>
    <t>Transformer Calibrate the 100 KPA for the Transformer Pressure Sensor</t>
  </si>
  <si>
    <t>Calibrate the 100 KPA for the Transformer Pressure Sensor</t>
  </si>
  <si>
    <t>Transformer Neutral Earthing Resistor Fault</t>
  </si>
  <si>
    <t>Neutral Earthing Resistor Fault</t>
  </si>
  <si>
    <t>Transformer Neutral Earthing Monitor Healthy</t>
  </si>
  <si>
    <t>Neutral Earthing Monitor Healthy</t>
  </si>
  <si>
    <t>Transformer Neutral Earthing Monitor Tripped</t>
  </si>
  <si>
    <t>Neutral Earthing Monitor Tripped</t>
  </si>
  <si>
    <t>Transformer 11kV Supply Sepam Watchdog Healthy</t>
  </si>
  <si>
    <t>Transformer 11kV Supply Sepam Tripped</t>
  </si>
  <si>
    <t>Transformer 11kV Supply Sepam Watchdog Tripped</t>
  </si>
  <si>
    <t>FaceFeeders_WarnOk</t>
  </si>
  <si>
    <t>Face Feeders Warnings Healthy</t>
  </si>
  <si>
    <t>PumpCB_InterlockOK</t>
  </si>
  <si>
    <t>PumpCB_TripOK</t>
  </si>
  <si>
    <t>PumpCB_WarnOK</t>
  </si>
  <si>
    <t>Pump CB Interlocks Healthy</t>
  </si>
  <si>
    <t>Pump CB Trip Healthy</t>
  </si>
  <si>
    <t>Pump CB Warning Healthy</t>
  </si>
  <si>
    <t>Supply240_InterlockOK</t>
  </si>
  <si>
    <t>Supply240_TripOK</t>
  </si>
  <si>
    <t>Supply240_WarnOK</t>
  </si>
  <si>
    <t>240VAC Supply Interlocks Healthy</t>
  </si>
  <si>
    <t>240VAC Supply Trip Healthy</t>
  </si>
  <si>
    <t>240VAC Supply Warning Healthy</t>
  </si>
  <si>
    <t>PLC_InterlockOK</t>
  </si>
  <si>
    <t>PLC_WarnOK</t>
  </si>
  <si>
    <t>PLC Supply Interlocks Healthy</t>
  </si>
  <si>
    <t>PLC Supply Trip Healthy</t>
  </si>
  <si>
    <t>PLC Supply Warning Healthy</t>
  </si>
  <si>
    <t>PumpFeeder_InterlockOk</t>
  </si>
  <si>
    <t>PumpFeeder_TripOk</t>
  </si>
  <si>
    <t>PumpFeeder_WarnOk</t>
  </si>
  <si>
    <t>Pump Feeder Interlocks Healthy</t>
  </si>
  <si>
    <t>Pump Feeder Trips Healthy</t>
  </si>
  <si>
    <t>Pump Feeder Warnings Healthy</t>
  </si>
  <si>
    <t>Pump Feeder Open</t>
  </si>
  <si>
    <t xml:space="preserve">Pump Feeder Close </t>
  </si>
  <si>
    <t>Reset Command</t>
  </si>
  <si>
    <t>Reset Face Command</t>
  </si>
  <si>
    <t>Face Feeder Close</t>
  </si>
  <si>
    <t>Face Feeder Open</t>
  </si>
  <si>
    <t>LT Face Control Compartment RTD</t>
  </si>
  <si>
    <t>TRUE</t>
  </si>
  <si>
    <t>Transformer 3.3kV NER Isolator Closed</t>
  </si>
  <si>
    <t>Total CB Current</t>
  </si>
  <si>
    <t>Backup Earth Leakage Command</t>
  </si>
  <si>
    <t>Start Substation CMD</t>
  </si>
  <si>
    <t>C:\Users\AGW\Desktop\AQLW_PD02_site_2023_09_14.L5X</t>
  </si>
  <si>
    <t>TRN_PERIODIC</t>
  </si>
  <si>
    <t>Scaled (2-byte samples)</t>
  </si>
  <si>
    <t>Floating Point (8-byte samples)</t>
  </si>
  <si>
    <t>Priv_Alarm</t>
  </si>
  <si>
    <t>Cisco</t>
  </si>
  <si>
    <t>Txf Backup Earth Leakage</t>
  </si>
  <si>
    <t>[DATA]:Trends\LW_Sub1\</t>
  </si>
  <si>
    <t>LW_Sub1</t>
  </si>
  <si>
    <t>LW_Sub1_CLX</t>
  </si>
  <si>
    <t>NOT LW_Sub1_OOS</t>
  </si>
  <si>
    <t>Area_LW_Sub1</t>
  </si>
  <si>
    <t>LW_Sub1_Power</t>
  </si>
  <si>
    <t>LW_Sub1_TXF_Tank_Temp</t>
  </si>
  <si>
    <t>LW_Sub1_TXF_Wind_Temp</t>
  </si>
  <si>
    <t>LW_Sub1_TXF_Tank_Pressure</t>
  </si>
  <si>
    <t>LW_Sub1_TXF_BU_EL</t>
  </si>
  <si>
    <t>LW_Sub1_BUEL_240V</t>
  </si>
  <si>
    <t>LW_Sub1_HT110_BUEL</t>
  </si>
  <si>
    <t>LW_Sub1_Comp_HT_Busway_Temp</t>
  </si>
  <si>
    <t>LW_Sub1_Comp_PLC_Temp</t>
  </si>
  <si>
    <t>LW_Sub1_Comp_LT_Face_Control_Temp</t>
  </si>
  <si>
    <t>LW_Sub1_Comp_LT_Busway_Temp</t>
  </si>
  <si>
    <t>LW_Sub1_OTL_6</t>
  </si>
  <si>
    <t>LW_Sub1_OTL_6_Earth_Leakage</t>
  </si>
  <si>
    <t>LW_Sub1_OTL_7</t>
  </si>
  <si>
    <t>LW_Sub1_OTL_7_Earth_Leakage</t>
  </si>
  <si>
    <t>LW_Sub1_Feeder_Pump</t>
  </si>
  <si>
    <t>LW_Sub1_TXF_Sepam</t>
  </si>
  <si>
    <t>LW_Sub1_Cisco</t>
  </si>
  <si>
    <t>LW_Sub1_PLC</t>
  </si>
  <si>
    <t>LW802 Sub1</t>
  </si>
  <si>
    <t>LW_SS01_TXF.TANK_TEMP</t>
  </si>
  <si>
    <t>LW_SS01_TXF.WIND_TEMP</t>
  </si>
  <si>
    <t>LW_SS01_TXF.PRESS</t>
  </si>
  <si>
    <t>LW_SS01_TXF.BU_EL</t>
  </si>
  <si>
    <t>LW_SS01_BUEL_240V</t>
  </si>
  <si>
    <t>LW_SS01_HT110_BUEL</t>
  </si>
  <si>
    <t>LW_SS01_Comp.HT_BUSWAY</t>
  </si>
  <si>
    <t>LW_SS01_Comp.PLC</t>
  </si>
  <si>
    <t>LW_SS01_Comp.LT_FACE_CONT</t>
  </si>
  <si>
    <t>LW_SS01_Comp.LT_BUSWAY</t>
  </si>
  <si>
    <t>LW_SS01_AUX.OTL_6</t>
  </si>
  <si>
    <t>LW_SS01_AUX.OTL_6.EL</t>
  </si>
  <si>
    <t>LW_SS01_AUX.OTL_7</t>
  </si>
  <si>
    <t>LW_SS01_AUX.OTL_7.EL</t>
  </si>
  <si>
    <t>LW_SS01_FDR.DCB_Pmp</t>
  </si>
  <si>
    <t>LW_SS01_TXF.SEPAM</t>
  </si>
  <si>
    <t>LW_SS01_240V_NER_ISO_CLSD_I</t>
  </si>
  <si>
    <t>LW_SS01_240V_NER_ISO_OPN_T</t>
  </si>
  <si>
    <t>LW_SS01_BUEL_110V_HTY_I</t>
  </si>
  <si>
    <t>LW_SS01_BUEL_240V_HTY_I</t>
  </si>
  <si>
    <t>LW_SS01_BUEL_240V_T</t>
  </si>
  <si>
    <t>LW_SS01_CB_240V_CLSD_I</t>
  </si>
  <si>
    <t>LW_SS01_CB_240V_OPN_W</t>
  </si>
  <si>
    <t>LW_SS01_Face_CB_ESW_CLSD_W</t>
  </si>
  <si>
    <t>LW_SS01_MC_240V_HTY_I</t>
  </si>
  <si>
    <t>LW_SS01_MC_240V_OPN_W</t>
  </si>
  <si>
    <t>LW_SS01_MC_240V_TRP_O</t>
  </si>
  <si>
    <t>LW_SS01_OTL6_CB_OPN_W</t>
  </si>
  <si>
    <t>LW_SS01_OTL6_MC_OPN_W</t>
  </si>
  <si>
    <t>LW_SS01_OTL7_CB_OPN_W</t>
  </si>
  <si>
    <t>LW_SS01_OTL7_MC_OPN_W</t>
  </si>
  <si>
    <t>LW_SS01_OTL_6_ISOL_OPN_W</t>
  </si>
  <si>
    <t>LW_SS01_OTL_7_ISOL_OPN_W</t>
  </si>
  <si>
    <t>LW_SS01_TXF.CB.CLO_c.CMD_i</t>
  </si>
  <si>
    <t>LW_SS01_TXF.CB.OPN_c.CMD_i</t>
  </si>
  <si>
    <t>LW_SS01_TXF.CB.OPN_c.CMD_s</t>
  </si>
  <si>
    <t>LW_SS01_TXF.CB.Tst_UV_c.CMD_i</t>
  </si>
  <si>
    <t>LW_SS01_TXF.CB.Tst_ST_c.CMD_i</t>
  </si>
  <si>
    <t>LW_SS01_TXF.CB.CLSD_i</t>
  </si>
  <si>
    <t>LW_SS01_TXF.CB.OPND_i</t>
  </si>
  <si>
    <t>LW_SS01_TXF.CB.HTY_s</t>
  </si>
  <si>
    <t>LW_SS01_TXF.CB.OPS.OPS_v</t>
  </si>
  <si>
    <t>LW_SS01_TXF.ESW.CLSD_i</t>
  </si>
  <si>
    <t>LW_SS01_TXF.Inc_Isol.OPND_I</t>
  </si>
  <si>
    <t>LW_SS01_TXF.UFES.RDY_i</t>
  </si>
  <si>
    <t>LW_SS01_TXF.UFES.RDY_t</t>
  </si>
  <si>
    <t>LW_SS01_TXF.UFES.BLKD_i</t>
  </si>
  <si>
    <t>LW_SS01_TXF.UFES.BLKD_t</t>
  </si>
  <si>
    <t>LW_SS01_TXF.UFES.TRP_i</t>
  </si>
  <si>
    <t>LW_SS01_TXF.UFES.TRP_t</t>
  </si>
  <si>
    <t>LW_SS01_TXF.BU_EL_TST_i</t>
  </si>
  <si>
    <t>LW_SS01_TXF.SEPAM_WTDG_HTY_i</t>
  </si>
  <si>
    <t>LW_SS01_TXF.SEPAM_TRP_i</t>
  </si>
  <si>
    <t>LW_SS01_TXF.BU_EL_HTY_i</t>
  </si>
  <si>
    <t>LW_SS01_TXF.TAP_COV_HTY_i</t>
  </si>
  <si>
    <t>LW_SS01_TXF.NER_ISO_CLSD_i</t>
  </si>
  <si>
    <t>LW_SS01_TXF.ESTP_HTY_i</t>
  </si>
  <si>
    <t>LW_SS01_TXF.ESTP_HT_i</t>
  </si>
  <si>
    <t>LW_SS01_TXF.ESTP_LT1_i</t>
  </si>
  <si>
    <t>LW_SS01_TXF.ESTP_LT2_i</t>
  </si>
  <si>
    <t>LW_SS01_TXF.ESTP_PEND_i</t>
  </si>
  <si>
    <t>LW_SS01_TXF.LT_DR_LIM_i</t>
  </si>
  <si>
    <t>LW_SS01_TXF.NER_RES_FLT_i</t>
  </si>
  <si>
    <t>LW_SS01_TXF.NER_MON_HTY_i</t>
  </si>
  <si>
    <t>LW_SS01_TXF.REM_MD_i</t>
  </si>
  <si>
    <t>LW_SS01_TXF.CB_UV_TRP_RLY_HTY_i</t>
  </si>
  <si>
    <t>LW_SS01_TXF.CB_ST_TRP_RLY_HTY_i</t>
  </si>
  <si>
    <t>LW_SS01_TXF.TANK_UNDER_PRESS_i</t>
  </si>
  <si>
    <t>LW_SS01_TXF.TANK_OVER_PRESS_i</t>
  </si>
  <si>
    <t>LW_SS01_TXF.LD_DR_SR_HTY_i</t>
  </si>
  <si>
    <t>LW_SS01_TXF.CONT_ISOL_i</t>
  </si>
  <si>
    <t>LW_SS01_TXF.SEPAM_RST_o</t>
  </si>
  <si>
    <t>LW_SS01_TXF.NERM_RST_o</t>
  </si>
  <si>
    <t>LW_SS01_TXF.BU_EL_TST_o</t>
  </si>
  <si>
    <t>LW_SS01_TXF.BU_EL_RST_o</t>
  </si>
  <si>
    <t>LW_SS01_TXF.BU_EL_t</t>
  </si>
  <si>
    <t>LW_SS01_TXF.TAP_COV_t</t>
  </si>
  <si>
    <t>LW_SS01_TXF.NER_ISO_t</t>
  </si>
  <si>
    <t>LW_SS01_TXF.SEPAM_t</t>
  </si>
  <si>
    <t>LW_SS01_TXF.SEPAM_WTDG_t</t>
  </si>
  <si>
    <t>LW_SS01_TXF.SEPAM_OC_t</t>
  </si>
  <si>
    <t>LW_SS01_TXF.SEPAM_SC_t</t>
  </si>
  <si>
    <t>LW_SS01_TXF.LT_DR_LIM_t</t>
  </si>
  <si>
    <t>LW_SS01_TXF.NER_RES_t</t>
  </si>
  <si>
    <t>LW_SS01_TXF.NER_MON_t</t>
  </si>
  <si>
    <t>LW_SS01_TXF.TANK_UNDER_PRESS_t</t>
  </si>
  <si>
    <t>LW_SS01_TXF.TANK_OVER_PRESS_t</t>
  </si>
  <si>
    <t>LW_SS01_TXF.CONT_ISOL_t</t>
  </si>
  <si>
    <t>LW_SS01_TXF.ESTP_t</t>
  </si>
  <si>
    <t>LW_SS01_TXF.TOTAL_I_v</t>
  </si>
  <si>
    <t>LW_SS01_TXF.BU_EL_TST_c.CMD_i</t>
  </si>
  <si>
    <t>LW_SS01_TXF.PRESS_CAL_0_KPA_c.CMD_i</t>
  </si>
  <si>
    <t>LW_SS01_TXF.PRESS_CAL_50_KPA_c.CMD_i</t>
  </si>
  <si>
    <t>LW_SS01_TXF.PRESS_CAL_100_KPA_c.CMD_i</t>
  </si>
  <si>
    <t>LW_SS01_START_c.CMD_i</t>
  </si>
  <si>
    <t>LW_SS01_RST.RST_s</t>
  </si>
  <si>
    <t>LW_SS01_RST.LOCK_PRG_s</t>
  </si>
  <si>
    <t>LW_SS01_RST.LOCK_TRP_s</t>
  </si>
  <si>
    <t>LW_SS01_RST.RST_i</t>
  </si>
  <si>
    <t>LW_SS01_RST.LOCK_PRG_HTY_i</t>
  </si>
  <si>
    <t>LW_SS01_RST.LOCK_TRP_HTY_i</t>
  </si>
  <si>
    <t>LW_SS01_RST.LOCK_RST_s</t>
  </si>
  <si>
    <t>LW_SS01_RST.PU_LAT_s</t>
  </si>
  <si>
    <t>LW_SS01_RST.RST_c.CMD_i</t>
  </si>
  <si>
    <t>LW_SS01_RST.RST_FACE_C.CMD_i</t>
  </si>
  <si>
    <t>LW_SS01_RST.BUTTON_DLY_v</t>
  </si>
  <si>
    <t>LW_SS01_Comp.VOR_ON_i</t>
  </si>
  <si>
    <t>LW_SS01_Comp.VOR_Water_Detected_i</t>
  </si>
  <si>
    <t>LW_SS01_CB_Face.CB.CLO_c.CMD_i</t>
  </si>
  <si>
    <t>LW_SS01_CB_Face.CB.OPN_c.CMD_i</t>
  </si>
  <si>
    <t>LW_SS01_CB_Face.CB.Tst_UV_c.CMD_i</t>
  </si>
  <si>
    <t>LW_Sub1_QualityTag</t>
  </si>
  <si>
    <t>LW_Sub1_ProdTrip</t>
  </si>
  <si>
    <t>LW_Sub1_TripOK</t>
  </si>
  <si>
    <t>LW_Sub1_WarnOK</t>
  </si>
  <si>
    <t>LW_Sub1_InterlockOK</t>
  </si>
  <si>
    <t>[DATA]:Trends\LW_Sub1\LW_Sub1_ProdTrip\LW_Sub1_ProdTrip</t>
  </si>
  <si>
    <t>LW802 Sub1 - Conveyor Tripped</t>
  </si>
  <si>
    <t>[DATA]:Trends\LW_Sub1\LW_Sub1_TripOK\LW_Sub1_TripOK</t>
  </si>
  <si>
    <t>LW802 Sub1 - Trips Healthy</t>
  </si>
  <si>
    <t>[DATA]:Trends\LW_Sub1\LW_Sub1_WarnOK\LW_Sub1_WarnOK</t>
  </si>
  <si>
    <t>LW802 Sub1 - Warnings Healthy</t>
  </si>
  <si>
    <t>[DATA]:Trends\LW_Sub1\LW_Sub1_InterlockOK\LW_Sub1_InterlockOK</t>
  </si>
  <si>
    <t>LW802 Sub1 - Interlocks Healthy</t>
  </si>
  <si>
    <t>LW_Sub1_Reset_C</t>
  </si>
  <si>
    <t>LW_Sub1_ResetPB</t>
  </si>
  <si>
    <t>LW_Sub1_Transformer_InterlockOK</t>
  </si>
  <si>
    <t>LW_Sub1_Transformer_TripOK</t>
  </si>
  <si>
    <t>LW_Sub1_Transformer_WarnOK</t>
  </si>
  <si>
    <t>LW_Sub1_PumpCB_InterlockOK</t>
  </si>
  <si>
    <t>LW_Sub1_PumpCB_TripOK</t>
  </si>
  <si>
    <t>LW_Sub1_PumpFeeder_InterlockOk</t>
  </si>
  <si>
    <t>LW_Sub1_PumpFeeder_TripOk</t>
  </si>
  <si>
    <t>LW_Sub1_FaceFeeders_InterlockOk</t>
  </si>
  <si>
    <t>LW_Sub1_FaceFeeders_TripOk</t>
  </si>
  <si>
    <t>LW_Sub1_Supply240_InterlockOK</t>
  </si>
  <si>
    <t>LW_Sub1_Supply240_TripOK</t>
  </si>
  <si>
    <t>LW_Sub1_PLC_TripOK</t>
  </si>
  <si>
    <t>LW_Sub1_Transformer_LTDoorLimits_SR_t</t>
  </si>
  <si>
    <t>[DATA]:Trends\LW_Sub1\LW_Sub1_Transformer_InterlockOK\LW_Sub1_Transformer_InterlockOK</t>
  </si>
  <si>
    <t>LW802 Sub1 - Transformer Interlocks Healthy</t>
  </si>
  <si>
    <t>[DATA]:Trends\LW_Sub1\LW_Sub1_Transformer_TripOK\LW_Sub1_Transformer_TripOK</t>
  </si>
  <si>
    <t>LW802 Sub1 - Transformer Trip Healthy</t>
  </si>
  <si>
    <t>[DATA]:Trends\LW_Sub1\LW_Sub1_Transformer_WarnOK\LW_Sub1_Transformer_WarnOK</t>
  </si>
  <si>
    <t>LW802 Sub1 - Transformer Warning Healthy</t>
  </si>
  <si>
    <t>[DATA]:Trends\LW_Sub1\LW_Sub1_PumpCB_InterlockOK\LW_Sub1_PumpCB_InterlockOK</t>
  </si>
  <si>
    <t>LW802 Sub1 - Pump CB Interlocks Healthy</t>
  </si>
  <si>
    <t>[DATA]:Trends\LW_Sub1\LW_Sub1_PumpCB_TripOK\LW_Sub1_PumpCB_TripOK</t>
  </si>
  <si>
    <t>LW802 Sub1 - Pump CB Trip Healthy</t>
  </si>
  <si>
    <t>[DATA]:Trends\LW_Sub1\LW_Sub1_PumpFeeder_InterlockOk\LW_Sub1_PumpFeeder_InterlockOk</t>
  </si>
  <si>
    <t>LW802 Sub1 - Pump Feeder Interlocks Healthy</t>
  </si>
  <si>
    <t>[DATA]:Trends\LW_Sub1\LW_Sub1_PumpFeeder_TripOk\LW_Sub1_PumpFeeder_TripOk</t>
  </si>
  <si>
    <t>LW802 Sub1 - Pump Feeder Trips Healthy</t>
  </si>
  <si>
    <t>[DATA]:Trends\LW_Sub1\LW_Sub1_FaceFeeders_InterlockOk\LW_Sub1_FaceFeeders_InterlockOk</t>
  </si>
  <si>
    <t>LW802 Sub1 - Face Feeders Interlocks Healthy</t>
  </si>
  <si>
    <t>[DATA]:Trends\LW_Sub1\LW_Sub1_FaceFeeders_TripOk\LW_Sub1_FaceFeeders_TripOk</t>
  </si>
  <si>
    <t>LW802 Sub1 - Face Feeders Trips Healthy</t>
  </si>
  <si>
    <t>[DATA]:Trends\LW_Sub1\LW_Sub1_Supply240_InterlockOK\LW_Sub1_Supply240_InterlockOK</t>
  </si>
  <si>
    <t>LW802 Sub1 - 240VAC Supply Interlocks Healthy</t>
  </si>
  <si>
    <t>[DATA]:Trends\LW_Sub1\LW_Sub1_Supply240_TripOK\LW_Sub1_Supply240_TripOK</t>
  </si>
  <si>
    <t>LW802 Sub1 - 240VAC Supply Trip Healthy</t>
  </si>
  <si>
    <t>[DATA]:Trends\LW_Sub1\LW_Sub1_PLC_TripOK\LW_Sub1_PLC_TripOK</t>
  </si>
  <si>
    <t>LW802 Sub1 - PLC Supply Trip Healthy</t>
  </si>
  <si>
    <t>LW_Sub1_240V_NER_ISO_CLSD_I</t>
  </si>
  <si>
    <t>LW_Sub1_240V_NER_ISO_OPN_T</t>
  </si>
  <si>
    <t>LW_Sub1_BUEL_110V_HTY_I</t>
  </si>
  <si>
    <t>LW_Sub1_BUEL_240V_HTY_I</t>
  </si>
  <si>
    <t>LW_Sub1_BUEL_240V_T</t>
  </si>
  <si>
    <t>LW_Sub1_CB_240V_CLSD_I</t>
  </si>
  <si>
    <t>LW_Sub1_CB_240V_OPN_W</t>
  </si>
  <si>
    <t>LW_Sub1_Face_CB_ESW_CLSD_W</t>
  </si>
  <si>
    <t>LW_Sub1_MC_240V_HTY_I</t>
  </si>
  <si>
    <t>LW_Sub1_MC_240V_OPN_W</t>
  </si>
  <si>
    <t>LW_Sub1_MC_240V_TRP_O</t>
  </si>
  <si>
    <t>LW_Sub1_OTL_6_CB_OPN_W</t>
  </si>
  <si>
    <t>LW_Sub1_OTL_6_MC_OPN_W</t>
  </si>
  <si>
    <t>LW_Sub1_OTL_7_CB_OPN_W</t>
  </si>
  <si>
    <t>LW_Sub1_OTL_7_MC_OPN_W</t>
  </si>
  <si>
    <t>LW_Sub1_OTL_6_ISOL_OPN_W</t>
  </si>
  <si>
    <t>LW_Sub1_OTL_7_ISOL_OPN_W</t>
  </si>
  <si>
    <t>LW_Sub1_TXF_CB_CLO_c_CMD_i</t>
  </si>
  <si>
    <t>LW_Sub1_TXF_CB_OPN_c_CMD_i</t>
  </si>
  <si>
    <t>LW_Sub1_TXF_CB_OPN_c_CMD_s</t>
  </si>
  <si>
    <t>LW_Sub1_TXF_CB_Tst_UV_c_CMD_i</t>
  </si>
  <si>
    <t>LW_Sub1_TXF_CB_Tst_ST_c_CMD_i</t>
  </si>
  <si>
    <t>LW_Sub1_TXF_CB_CLSD_i</t>
  </si>
  <si>
    <t>LW_Sub1_TXF_CB_OPND_i</t>
  </si>
  <si>
    <t>LW_Sub1_TXF_CB_HTY_s</t>
  </si>
  <si>
    <t>LW_Sub1_TXF_CB_OPS_OPS_v</t>
  </si>
  <si>
    <t>LW_Sub1_TXF_ESW_CLSD_I</t>
  </si>
  <si>
    <t>LW_Sub1_TXF_Inc_Isol_OPND_I</t>
  </si>
  <si>
    <t>LW_Sub1_UFES_RDY_i</t>
  </si>
  <si>
    <t>LW_Sub1_UFES_RDY_t</t>
  </si>
  <si>
    <t>LW_Sub1_UFES_BLKD_i</t>
  </si>
  <si>
    <t>LW_Sub1_UFES_BLKD_t</t>
  </si>
  <si>
    <t>LW_Sub1_UFES_TRP_i</t>
  </si>
  <si>
    <t>LW_Sub1_UFES_TRP_t</t>
  </si>
  <si>
    <t>LW_Sub1_TXF_BU_EL_TST_i</t>
  </si>
  <si>
    <t>LW_Sub1_TXF_SEPAM_WTDG_HTY_i</t>
  </si>
  <si>
    <t>LW_Sub1_TXF_SEPAM_TRP_i</t>
  </si>
  <si>
    <t>LW_Sub1_TXF_BU_EL_HTY_i</t>
  </si>
  <si>
    <t>LW_Sub1_TXF_TAP_COV_HTY_i</t>
  </si>
  <si>
    <t>LW_Sub1_TXF_NER_ISO_CLSD_i</t>
  </si>
  <si>
    <t>LW_Sub1_TXF_ESTP_HTY_i</t>
  </si>
  <si>
    <t>LW_Sub1_TXF_ESTP_HT_i</t>
  </si>
  <si>
    <t>LW_Sub1_TXF_ESTP_LT1_i</t>
  </si>
  <si>
    <t>LW_Sub1_TXF_ESTP_LT2_i</t>
  </si>
  <si>
    <t>LW_Sub1_TXF_ESTP_PEND_i</t>
  </si>
  <si>
    <t>LW_Sub1_TXF_LT_DR_LIM_i</t>
  </si>
  <si>
    <t>LW_Sub1_TXF_NER_RES_FLT_i</t>
  </si>
  <si>
    <t>LW_Sub1_TXF_NER_MON_HTY_i</t>
  </si>
  <si>
    <t>LW_Sub1_TXF_REM_MD_i</t>
  </si>
  <si>
    <t>LW_Sub1_TXF_CB_UV_TRP_RLY_HTY_i</t>
  </si>
  <si>
    <t>LW_Sub1_TXF_CB_ST_TRP_RLY_HTY_i</t>
  </si>
  <si>
    <t>LW_Sub1_TXF_Tank_Under_Press_i</t>
  </si>
  <si>
    <t>LW_Sub1_TXF_Tank_Over_Press_i</t>
  </si>
  <si>
    <t>LW_Sub1_TXF_LD_DR_SR_HTY_i</t>
  </si>
  <si>
    <t>LW_Sub1_TXF_CONT_ISOL_i</t>
  </si>
  <si>
    <t>LW_Sub1_TXF_SEPAM_RST_o</t>
  </si>
  <si>
    <t>LW_Sub1_TXF_NERM_RST_o</t>
  </si>
  <si>
    <t>LW_Sub1_TXF_BU_EL_TST_o</t>
  </si>
  <si>
    <t>LW_Sub1_TXF_BU_EL_RST_o</t>
  </si>
  <si>
    <t>LW_Sub1_TXF_BU_EL_t</t>
  </si>
  <si>
    <t>LW_Sub1_TXF_TAP_COV_t</t>
  </si>
  <si>
    <t>LW_Sub1_TXF_NER_ISO_t</t>
  </si>
  <si>
    <t>LW_Sub1_TXF_SEPAM_t</t>
  </si>
  <si>
    <t>LW_Sub1_TXF_SEPAM_WTDG_t</t>
  </si>
  <si>
    <t>LW_Sub1_TXF_SEPAM_OC_t</t>
  </si>
  <si>
    <t>LW_Sub1_TXF_SEPAM_SC_t</t>
  </si>
  <si>
    <t>LW_Sub1_TXF_LT_DR_LIM_t</t>
  </si>
  <si>
    <t>LW_Sub1_TXF_NER_RES_t</t>
  </si>
  <si>
    <t>LW_Sub1_TXF_NER_MON_t</t>
  </si>
  <si>
    <t>LW_Sub1_TXF_Tank_Under_Press_t</t>
  </si>
  <si>
    <t>LW_Sub1_TXF_Tank_Over_Press_t</t>
  </si>
  <si>
    <t>LW_Sub1_TXF_CONT_ISOL_t</t>
  </si>
  <si>
    <t>LW_Sub1_TXF_ESTP_t</t>
  </si>
  <si>
    <t>LW_Sub1_TXF_TOTAL_I_v</t>
  </si>
  <si>
    <t>LW_Sub1_TXF_BU_EL_TST_c_CMD_i</t>
  </si>
  <si>
    <t>LW_Sub1_TXF_Press_CAL_0_kPa_c_CMD_i</t>
  </si>
  <si>
    <t>LW_Sub1_TXF_Press_CAL_50_kPa_c_CMD_i</t>
  </si>
  <si>
    <t>LW_Sub1_TXF_Press_CAL_100_kPa_c_CMD_i</t>
  </si>
  <si>
    <t>LW_Sub1_START_c_CMD_i</t>
  </si>
  <si>
    <t>LW_Sub1_RST_RST_c_CMD_i</t>
  </si>
  <si>
    <t>LW_Sub1_RST_RST_Face_C_CMD_i</t>
  </si>
  <si>
    <t>LW_Sub1_CB_Face_CB_CLO_c_CMD_i</t>
  </si>
  <si>
    <t>LW_Sub1_CB_Face_CB_OPN_c_CMD_i</t>
  </si>
  <si>
    <t>LW_Sub1_CB_Face_CB_Tst_UV_c_CMD_i</t>
  </si>
  <si>
    <t>LW_Sub1_CB_Face_CB_Tst_ST_c_CMD_i</t>
  </si>
  <si>
    <t>LW_Sub1_CB_Face_CB_CLSD_i</t>
  </si>
  <si>
    <t>LW_Sub1_CB_Face_CB_FTO_t</t>
  </si>
  <si>
    <t>LW_Sub1_CB_Face_CB_FTC_t</t>
  </si>
  <si>
    <t>LW_Sub1_CB_Face_CB_UCO_t</t>
  </si>
  <si>
    <t>LW_Sub1_CB_Face_ESW_CLO_c_CMD_i</t>
  </si>
  <si>
    <t>LW_Sub1_CB_Face_ESW_OPN_c_CMD_i</t>
  </si>
  <si>
    <t>LW_Sub1_CB_Face_ESW_Tst_UV_c_CMD_i</t>
  </si>
  <si>
    <t>LW_Sub1_CB_Face_ESW_Tst_ST_c_CMD_i</t>
  </si>
  <si>
    <t>LW_Sub1_CB_Face_ESW_FTO_t</t>
  </si>
  <si>
    <t>LW_Sub1_CB_Face_ESW_FTC_t</t>
  </si>
  <si>
    <t>LW_Sub1_CB_Face_ESW_UCO_t</t>
  </si>
  <si>
    <t>LW_Sub1_CB_Face_CB_ESW_MECH_t</t>
  </si>
  <si>
    <t>LW_Sub1_CB_Face_COM_t</t>
  </si>
  <si>
    <t>LW_Sub1_CB_Face_DUP_t</t>
  </si>
  <si>
    <t>LW_Sub1_CB_Face_GAS_SF6_t</t>
  </si>
  <si>
    <t>LW_Sub1_CB_Face_FTO_UV_t</t>
  </si>
  <si>
    <t>LW_Sub1_CB_Face_FTO_ST_t</t>
  </si>
  <si>
    <t>LW_Sub1_CB_Face_FTC_t</t>
  </si>
  <si>
    <t>LW_Sub1_CB_Face_CONT_ISOL_t</t>
  </si>
  <si>
    <t>LW_Sub1_CB_Pmp_CB_CLO_c_CMD_i</t>
  </si>
  <si>
    <t>LW_Sub1_CB_Pmp_CB_OPN_c_CMD_i</t>
  </si>
  <si>
    <t>LW_Sub1_CB_Pmp_CB_Tst_UV_c_CMD_i</t>
  </si>
  <si>
    <t>LW_Sub1_CB_Pmp_CB_Tst_ST_c_CMD_i</t>
  </si>
  <si>
    <t>LW_Sub1_CB_Pmp_CB_CLSD_i</t>
  </si>
  <si>
    <t>LW_Sub1_CB_Pmp_CB_FTO_t</t>
  </si>
  <si>
    <t>LW_Sub1_CB_Pmp_CB_FTC_t</t>
  </si>
  <si>
    <t>LW_Sub1_CB_Pmp_CB_UCO_t</t>
  </si>
  <si>
    <t>LW_Sub1_CB_Pmp_ESW_CLO_c_CMD_i</t>
  </si>
  <si>
    <t>LW_Sub1_CB_Pmp_ESW_OPN_c_CMD_i</t>
  </si>
  <si>
    <t>LW_Sub1_CB_Pmp_ESW_Tst_UV_c_CMD_i</t>
  </si>
  <si>
    <t>LW_Sub1_CB_Pmp_ESW_Tst_ST_c_CMD_i</t>
  </si>
  <si>
    <t>LW_Sub1_CB_Pmp_ESW_FTO_t</t>
  </si>
  <si>
    <t>LW_Sub1_CB_Pmp_ESW_FTC_t</t>
  </si>
  <si>
    <t>LW_Sub1_CB_Pmp_ESW_UCO_t</t>
  </si>
  <si>
    <t>LW_Sub1_CB_Pmp_CB_ESW_MECH_t</t>
  </si>
  <si>
    <t>LW_Sub1_CB_Pmp_COM_t</t>
  </si>
  <si>
    <t>LW_Sub1_CB_Pmp_DUP_t</t>
  </si>
  <si>
    <t>LW_Sub1_CB_Pmp_GAS_SF6_t</t>
  </si>
  <si>
    <t>LW_Sub1_CB_Pmp_FTO_UV_t</t>
  </si>
  <si>
    <t>LW_Sub1_CB_Pmp_FTO_ST_t</t>
  </si>
  <si>
    <t>LW_Sub1_CB_Pmp_FTC_t</t>
  </si>
  <si>
    <t>LW_Sub1_CB_Pmp_CONT_ISOL_t</t>
  </si>
  <si>
    <t>LW_Sub1_FDR_DCB_FACE_I_DIFF_w</t>
  </si>
  <si>
    <t>LW_Sub1_FDR_DCB_FACE_I_DIFF_t</t>
  </si>
  <si>
    <t>LW_Sub1_FDR_Face_CLO_c_CMD_i</t>
  </si>
  <si>
    <t>LW_Sub1_FDR_Face_OPN_c_CMD_i</t>
  </si>
  <si>
    <t>LW_Sub1_FDR_Pmp_CLO_c_CMD_i</t>
  </si>
  <si>
    <t>LW_Sub1_FDR_Pmp_OPN_c_CMD_i</t>
  </si>
  <si>
    <t>LW_Sub1_FDR_DCB_Pmp_ALMS_INV_OTL_t</t>
  </si>
  <si>
    <t>LW_Sub1_FDR_DCB_Pmp_CTRLS_CAS_INHIBIT_s</t>
  </si>
  <si>
    <t>LW_Sub1_FDR_DCB_Face1_ALMS_INV_OTL_t</t>
  </si>
  <si>
    <t>LW_Sub1_FDR_DCB_Face2_ALMS_INV_OTL_t</t>
  </si>
  <si>
    <t>LW_Sub1_FDR_DCB_Face3_ALMS_INV_OTL_t</t>
  </si>
  <si>
    <t>LW_Sub1_Comms_Face_DCB_01_RST_c</t>
  </si>
  <si>
    <t>LW_Sub1_Comms_Face_DCB_02_RST_c</t>
  </si>
  <si>
    <t>LW_Sub1_Comms_Pump_DCB_01_RST_c</t>
  </si>
  <si>
    <t>LW_Sub1_FDR_DCB_Pmp_CTRLS_STA_s</t>
  </si>
  <si>
    <t>[DATA]:Trends\LW_Sub1\LW_Sub1_CB_Face_CB_CLSD_i\LW_Sub1_CB_Face_CB_CLSD_i</t>
  </si>
  <si>
    <t>LW802 Sub1 - Face CB Close Input [1=Closed 0=Not Closed]</t>
  </si>
  <si>
    <t>[DATA]:Trends\LW_Sub1\LW_Sub1_CB_Pmp_CB_CLSD_i\LW_Sub1_CB_Pmp_CB_CLSD_i</t>
  </si>
  <si>
    <t>LW802 Sub1 - Pump CB Close Input [1=Closed 0=Not Closed]</t>
  </si>
  <si>
    <t>[DATA]:Trends\LW_Sub1\LW_Sub1_FDR_DCB_Pmp_CTRLS_STA_s\LW_Sub1_FDR_DCB_Pmp_CTRLS_STA_s</t>
  </si>
  <si>
    <t>LW802 Sub1 - Pump Feeder Run</t>
  </si>
  <si>
    <t>LW_Sub1_TXF_Tank_Temp_PV</t>
  </si>
  <si>
    <t>LW_Sub1_TXF_Tank_Temp_HH_SP</t>
  </si>
  <si>
    <t>LW_Sub1_TXF_Tank_Temp_H_SP</t>
  </si>
  <si>
    <t>LW_Sub1_TXF_Tank_Temp_L_SP</t>
  </si>
  <si>
    <t>LW_Sub1_TXF_Tank_Temp_LL_SP</t>
  </si>
  <si>
    <t>[DATA]:Trends\LW_Sub1\LW_Sub1_TXF_Tank_Temp_PV\LW_Sub1_TXF_Tank_Temp_PV</t>
  </si>
  <si>
    <t>LW802 Sub1 - Txf Tank Temperature - Process Variable</t>
  </si>
  <si>
    <t>[DATA]:Trends\LW_Sub1\LW_Sub1_TXF_Tank_Temp_HH_SP\LW_Sub1_TXF_Tank_Temp_HH_SP</t>
  </si>
  <si>
    <t>LW802 Sub1 - Txf Tank Temperature - High High Level Setpoint</t>
  </si>
  <si>
    <t>[DATA]:Trends\LW_Sub1\LW_Sub1_TXF_Tank_Temp_H_SP\LW_Sub1_TXF_Tank_Temp_H_SP</t>
  </si>
  <si>
    <t>LW802 Sub1 - Txf Tank Temperature - High level Setpoint</t>
  </si>
  <si>
    <t>[DATA]:Trends\LW_Sub1\LW_Sub1_TXF_Tank_Temp_L_SP\LW_Sub1_TXF_Tank_Temp_L_SP</t>
  </si>
  <si>
    <t>LW802 Sub1 - Txf Tank Temperature - Low Level Setpoint</t>
  </si>
  <si>
    <t>[DATA]:Trends\LW_Sub1\LW_Sub1_TXF_Tank_Temp_LL_SP\LW_Sub1_TXF_Tank_Temp_LL_SP</t>
  </si>
  <si>
    <t>LW802 Sub1 - Txf Tank Temperature - Low Low Level Setpoint</t>
  </si>
  <si>
    <t>LW_Sub1_TXF_Wind_Temp_PV</t>
  </si>
  <si>
    <t>LW_Sub1_TXF_Wind_Temp_HH_SP</t>
  </si>
  <si>
    <t>LW_Sub1_TXF_Wind_Temp_H_SP</t>
  </si>
  <si>
    <t>LW_Sub1_TXF_Wind_Temp_L_SP</t>
  </si>
  <si>
    <t>LW_Sub1_TXF_Wind_Temp_LL_SP</t>
  </si>
  <si>
    <t>[DATA]:Trends\LW_Sub1\LW_Sub1_TXF_Wind_Temp_PV\LW_Sub1_TXF_Wind_Temp_PV</t>
  </si>
  <si>
    <t>LW802 Sub1 - Txf Winding Temperature - Process Variable</t>
  </si>
  <si>
    <t>[DATA]:Trends\LW_Sub1\LW_Sub1_TXF_Wind_Temp_HH_SP\LW_Sub1_TXF_Wind_Temp_HH_SP</t>
  </si>
  <si>
    <t>LW802 Sub1 - Txf Winding Temperature - High High Level Setpoint</t>
  </si>
  <si>
    <t>[DATA]:Trends\LW_Sub1\LW_Sub1_TXF_Wind_Temp_H_SP\LW_Sub1_TXF_Wind_Temp_H_SP</t>
  </si>
  <si>
    <t>LW802 Sub1 - Txf Winding Temperature - High level Setpoint</t>
  </si>
  <si>
    <t>[DATA]:Trends\LW_Sub1\LW_Sub1_TXF_Wind_Temp_L_SP\LW_Sub1_TXF_Wind_Temp_L_SP</t>
  </si>
  <si>
    <t>LW802 Sub1 - Txf Winding Temperature - Low Level Setpoint</t>
  </si>
  <si>
    <t>[DATA]:Trends\LW_Sub1\LW_Sub1_TXF_Wind_Temp_LL_SP\LW_Sub1_TXF_Wind_Temp_LL_SP</t>
  </si>
  <si>
    <t>LW802 Sub1 - Txf Winding Temperature - Low Low Level Setpoint</t>
  </si>
  <si>
    <t>LW_Sub1_TXF_Tank_Pressure_PV</t>
  </si>
  <si>
    <t>LW_Sub1_TXF_Tank_Pressure_HH_SP</t>
  </si>
  <si>
    <t>LW_Sub1_TXF_Tank_Pressure_H_SP</t>
  </si>
  <si>
    <t>LW_Sub1_TXF_Tank_Pressure_L_SP</t>
  </si>
  <si>
    <t>LW_Sub1_TXF_Tank_Pressure_LL_SP</t>
  </si>
  <si>
    <t>[DATA]:Trends\LW_Sub1\LW_Sub1_TXF_Tank_Pressure_PV\LW_Sub1_TXF_Tank_Pressure_PV</t>
  </si>
  <si>
    <t>LW802 Sub1 - Txf Tank Pressure - Process Variable</t>
  </si>
  <si>
    <t>[DATA]:Trends\LW_Sub1\LW_Sub1_TXF_Tank_Pressure_HH_SP\LW_Sub1_TXF_Tank_Pressure_HH_SP</t>
  </si>
  <si>
    <t>LW802 Sub1 - Txf Tank Pressure - High High Level Setpoint</t>
  </si>
  <si>
    <t>[DATA]:Trends\LW_Sub1\LW_Sub1_TXF_Tank_Pressure_H_SP\LW_Sub1_TXF_Tank_Pressure_H_SP</t>
  </si>
  <si>
    <t>LW802 Sub1 - Txf Tank Pressure - High level Setpoint</t>
  </si>
  <si>
    <t>[DATA]:Trends\LW_Sub1\LW_Sub1_TXF_Tank_Pressure_L_SP\LW_Sub1_TXF_Tank_Pressure_L_SP</t>
  </si>
  <si>
    <t>LW802 Sub1 - Txf Tank Pressure - Low Level Setpoint</t>
  </si>
  <si>
    <t>[DATA]:Trends\LW_Sub1\LW_Sub1_TXF_Tank_Pressure_LL_SP\LW_Sub1_TXF_Tank_Pressure_LL_SP</t>
  </si>
  <si>
    <t>LW802 Sub1 - Txf Tank Pressure - Low Low Level Setpoint</t>
  </si>
  <si>
    <t>LW_Sub1_TXF_BU_EL_PV</t>
  </si>
  <si>
    <t>LW_Sub1_TXF_BU_EL_HH_SP</t>
  </si>
  <si>
    <t>LW_Sub1_TXF_BU_EL_H_SP</t>
  </si>
  <si>
    <t>LW_Sub1_TXF_BU_EL_L_SP</t>
  </si>
  <si>
    <t>LW_Sub1_TXF_BU_EL_LL_SP</t>
  </si>
  <si>
    <t>[DATA]:Trends\LW_Sub1\LW_Sub1_TXF_BU_EL_PV\LW_Sub1_TXF_BU_EL_PV</t>
  </si>
  <si>
    <t>LW802 Sub1 - Txf Backup Earth Leakage - Process Variable</t>
  </si>
  <si>
    <t>[DATA]:Trends\LW_Sub1\LW_Sub1_TXF_BU_EL_HH_SP\LW_Sub1_TXF_BU_EL_HH_SP</t>
  </si>
  <si>
    <t>LW802 Sub1 - Txf Backup Earth Leakage - High High Level Setpoint</t>
  </si>
  <si>
    <t>[DATA]:Trends\LW_Sub1\LW_Sub1_TXF_BU_EL_H_SP\LW_Sub1_TXF_BU_EL_H_SP</t>
  </si>
  <si>
    <t>LW802 Sub1 - Txf Backup Earth Leakage - High level Setpoint</t>
  </si>
  <si>
    <t>[DATA]:Trends\LW_Sub1\LW_Sub1_TXF_BU_EL_L_SP\LW_Sub1_TXF_BU_EL_L_SP</t>
  </si>
  <si>
    <t>LW802 Sub1 - Txf Backup Earth Leakage - Low Level Setpoint</t>
  </si>
  <si>
    <t>[DATA]:Trends\LW_Sub1\LW_Sub1_TXF_BU_EL_LL_SP\LW_Sub1_TXF_BU_EL_LL_SP</t>
  </si>
  <si>
    <t>LW802 Sub1 - Txf Backup Earth Leakage - Low Low Level Setpoint</t>
  </si>
  <si>
    <t>LW_Sub1_BUEL_240V_PV</t>
  </si>
  <si>
    <t>LW_Sub1_BUEL_240V_HH_SP</t>
  </si>
  <si>
    <t>LW_Sub1_BUEL_240V_H_SP</t>
  </si>
  <si>
    <t>LW_Sub1_BUEL_240V_L_SP</t>
  </si>
  <si>
    <t>LW_Sub1_BUEL_240V_LL_SP</t>
  </si>
  <si>
    <t>[DATA]:Trends\LW_Sub1\LW_Sub1_BUEL_240V_PV\LW_Sub1_BUEL_240V_PV</t>
  </si>
  <si>
    <t>LW802 Sub1 - 240V Backup Earth Leakage  - Process Variable</t>
  </si>
  <si>
    <t>[DATA]:Trends\LW_Sub1\LW_Sub1_BUEL_240V_HH_SP\LW_Sub1_BUEL_240V_HH_SP</t>
  </si>
  <si>
    <t>LW802 Sub1 - 240V Backup Earth Leakage  - High High Level Setpoint</t>
  </si>
  <si>
    <t>[DATA]:Trends\LW_Sub1\LW_Sub1_BUEL_240V_H_SP\LW_Sub1_BUEL_240V_H_SP</t>
  </si>
  <si>
    <t>LW802 Sub1 - 240V Backup Earth Leakage  - High level Setpoint</t>
  </si>
  <si>
    <t>[DATA]:Trends\LW_Sub1\LW_Sub1_BUEL_240V_L_SP\LW_Sub1_BUEL_240V_L_SP</t>
  </si>
  <si>
    <t>LW802 Sub1 - 240V Backup Earth Leakage  - Low Level Setpoint</t>
  </si>
  <si>
    <t>[DATA]:Trends\LW_Sub1\LW_Sub1_BUEL_240V_LL_SP\LW_Sub1_BUEL_240V_LL_SP</t>
  </si>
  <si>
    <t>LW802 Sub1 - 240V Backup Earth Leakage  - Low Low Level Setpoint</t>
  </si>
  <si>
    <t>LW_Sub1_HT110_BUEL_PV</t>
  </si>
  <si>
    <t>LW_Sub1_HT110_BUEL_HH_SP</t>
  </si>
  <si>
    <t>LW_Sub1_HT110_BUEL_H_SP</t>
  </si>
  <si>
    <t>LW_Sub1_HT110_BUEL_L_SP</t>
  </si>
  <si>
    <t>LW_Sub1_HT110_BUEL_LL_SP</t>
  </si>
  <si>
    <t>[DATA]:Trends\LW_Sub1\LW_Sub1_HT110_BUEL_PV\LW_Sub1_HT110_BUEL_PV</t>
  </si>
  <si>
    <t>LW802 Sub1 - HT110 Backup Earth Leakage  - Process Variable</t>
  </si>
  <si>
    <t>[DATA]:Trends\LW_Sub1\LW_Sub1_HT110_BUEL_HH_SP\LW_Sub1_HT110_BUEL_HH_SP</t>
  </si>
  <si>
    <t>LW802 Sub1 - HT110 Backup Earth Leakage  - High High Level Setpoint</t>
  </si>
  <si>
    <t>[DATA]:Trends\LW_Sub1\LW_Sub1_HT110_BUEL_H_SP\LW_Sub1_HT110_BUEL_H_SP</t>
  </si>
  <si>
    <t>LW802 Sub1 - HT110 Backup Earth Leakage  - High level Setpoint</t>
  </si>
  <si>
    <t>[DATA]:Trends\LW_Sub1\LW_Sub1_HT110_BUEL_L_SP\LW_Sub1_HT110_BUEL_L_SP</t>
  </si>
  <si>
    <t>LW802 Sub1 - HT110 Backup Earth Leakage  - Low Level Setpoint</t>
  </si>
  <si>
    <t>[DATA]:Trends\LW_Sub1\LW_Sub1_HT110_BUEL_LL_SP\LW_Sub1_HT110_BUEL_LL_SP</t>
  </si>
  <si>
    <t>LW802 Sub1 - HT110 Backup Earth Leakage  - Low Low Level Setpoint</t>
  </si>
  <si>
    <t>LW_Sub1_Comp_HT_Busway_Temp_PV</t>
  </si>
  <si>
    <t>LW_Sub1_Comp_HT_Busway_Temp_HH_SP</t>
  </si>
  <si>
    <t>LW_Sub1_Comp_HT_Busway_Temp_H_SP</t>
  </si>
  <si>
    <t>LW_Sub1_Comp_HT_Busway_Temp_L_SP</t>
  </si>
  <si>
    <t>LW_Sub1_Comp_HT_Busway_Temp_LL_SP</t>
  </si>
  <si>
    <t>[DATA]:Trends\LW_Sub1\LW_Sub1_Comp_HT_Busway_Temp_PV\LW_Sub1_Comp_HT_Busway_Temp_PV</t>
  </si>
  <si>
    <t>LW802 Sub1 - HT Busway Compartment Temperature - Process Variable</t>
  </si>
  <si>
    <t>[DATA]:Trends\LW_Sub1\LW_Sub1_Comp_HT_Busway_Temp_HH_SP\LW_Sub1_Comp_HT_Busway_Temp_HH_SP</t>
  </si>
  <si>
    <t>LW802 Sub1 - HT Busway Compartment Temperature - High High Level Setpoint</t>
  </si>
  <si>
    <t>[DATA]:Trends\LW_Sub1\LW_Sub1_Comp_HT_Busway_Temp_H_SP\LW_Sub1_Comp_HT_Busway_Temp_H_SP</t>
  </si>
  <si>
    <t>LW802 Sub1 - HT Busway Compartment Temperature - High level Setpoint</t>
  </si>
  <si>
    <t>[DATA]:Trends\LW_Sub1\LW_Sub1_Comp_HT_Busway_Temp_L_SP\LW_Sub1_Comp_HT_Busway_Temp_L_SP</t>
  </si>
  <si>
    <t>LW802 Sub1 - HT Busway Compartment Temperature - Low Level Setpoint</t>
  </si>
  <si>
    <t>[DATA]:Trends\LW_Sub1\LW_Sub1_Comp_HT_Busway_Temp_LL_SP\LW_Sub1_Comp_HT_Busway_Temp_LL_SP</t>
  </si>
  <si>
    <t>LW802 Sub1 - HT Busway Compartment Temperature - Low Low Level Setpoint</t>
  </si>
  <si>
    <t>LW_Sub1_Comp_PLC_Temp_PV</t>
  </si>
  <si>
    <t>LW_Sub1_Comp_PLC_Temp_HH_SP</t>
  </si>
  <si>
    <t>LW_Sub1_Comp_PLC_Temp_H_SP</t>
  </si>
  <si>
    <t>LW_Sub1_Comp_PLC_Temp_L_SP</t>
  </si>
  <si>
    <t>LW_Sub1_Comp_PLC_Temp_LL_SP</t>
  </si>
  <si>
    <t>[DATA]:Trends\LW_Sub1\LW_Sub1_Comp_PLC_Temp_PV\LW_Sub1_Comp_PLC_Temp_PV</t>
  </si>
  <si>
    <t>LW802 Sub1 - PLC Compartment Temperature - Process Variable</t>
  </si>
  <si>
    <t>[DATA]:Trends\LW_Sub1\LW_Sub1_Comp_PLC_Temp_HH_SP\LW_Sub1_Comp_PLC_Temp_HH_SP</t>
  </si>
  <si>
    <t>LW802 Sub1 - PLC Compartment Temperature - High High Level Setpoint</t>
  </si>
  <si>
    <t>[DATA]:Trends\LW_Sub1\LW_Sub1_Comp_PLC_Temp_H_SP\LW_Sub1_Comp_PLC_Temp_H_SP</t>
  </si>
  <si>
    <t>LW802 Sub1 - PLC Compartment Temperature - High level Setpoint</t>
  </si>
  <si>
    <t>[DATA]:Trends\LW_Sub1\LW_Sub1_Comp_PLC_Temp_L_SP\LW_Sub1_Comp_PLC_Temp_L_SP</t>
  </si>
  <si>
    <t>LW802 Sub1 - PLC Compartment Temperature - Low Level Setpoint</t>
  </si>
  <si>
    <t>[DATA]:Trends\LW_Sub1\LW_Sub1_Comp_PLC_Temp_LL_SP\LW_Sub1_Comp_PLC_Temp_LL_SP</t>
  </si>
  <si>
    <t>LW802 Sub1 - PLC Compartment Temperature - Low Low Level Setpoint</t>
  </si>
  <si>
    <t>LW_Sub1_Comp_LT_Face_Control_Temp_PV</t>
  </si>
  <si>
    <t>LW_Sub1_Comp_LT_Face_Control_Temp_HH_SP</t>
  </si>
  <si>
    <t>LW_Sub1_Comp_LT_Face_Control_Temp_H_SP</t>
  </si>
  <si>
    <t>LW_Sub1_Comp_LT_Face_Control_Temp_L_SP</t>
  </si>
  <si>
    <t>LW_Sub1_Comp_LT_Face_Control_Temp_LL_SP</t>
  </si>
  <si>
    <t>[DATA]:Trends\LW_Sub1\LW_Sub1_Comp_LT_Face_Control_Temp_PV\LW_Sub1_Comp_LT_Face_Control_Temp_PV</t>
  </si>
  <si>
    <t>LW802 Sub1 - LT Face Control Compartment RTD - Process Variable</t>
  </si>
  <si>
    <t>[DATA]:Trends\LW_Sub1\LW_Sub1_Comp_LT_Face_Control_Temp_HH_SP\LW_Sub1_Comp_LT_Face_Control_Temp_HH_SP</t>
  </si>
  <si>
    <t>LW802 Sub1 - LT Face Control Compartment RTD - High High Level Setpoint</t>
  </si>
  <si>
    <t>[DATA]:Trends\LW_Sub1\LW_Sub1_Comp_LT_Face_Control_Temp_H_SP\LW_Sub1_Comp_LT_Face_Control_Temp_H_SP</t>
  </si>
  <si>
    <t>LW802 Sub1 - LT Face Control Compartment RTD - High level Setpoint</t>
  </si>
  <si>
    <t>[DATA]:Trends\LW_Sub1\LW_Sub1_Comp_LT_Face_Control_Temp_L_SP\LW_Sub1_Comp_LT_Face_Control_Temp_L_SP</t>
  </si>
  <si>
    <t>LW802 Sub1 - LT Face Control Compartment RTD - Low Level Setpoint</t>
  </si>
  <si>
    <t>[DATA]:Trends\LW_Sub1\LW_Sub1_Comp_LT_Face_Control_Temp_LL_SP\LW_Sub1_Comp_LT_Face_Control_Temp_LL_SP</t>
  </si>
  <si>
    <t>LW802 Sub1 - LT Face Control Compartment RTD - Low Low Level Setpoint</t>
  </si>
  <si>
    <t>LW_Sub1_Comp_LT_Busway_Temp_PV</t>
  </si>
  <si>
    <t>LW_Sub1_Comp_LT_Busway_Temp_HH_SP</t>
  </si>
  <si>
    <t>LW_Sub1_Comp_LT_Busway_Temp_H_SP</t>
  </si>
  <si>
    <t>LW_Sub1_Comp_LT_Busway_Temp_L_SP</t>
  </si>
  <si>
    <t>LW_Sub1_Comp_LT_Busway_Temp_LL_SP</t>
  </si>
  <si>
    <t>[DATA]:Trends\LW_Sub1\LW_Sub1_Comp_LT_Busway_Temp_PV\LW_Sub1_Comp_LT_Busway_Temp_PV</t>
  </si>
  <si>
    <t>LW802 Sub1 - LT Busway Compartment RTD - Process Variable</t>
  </si>
  <si>
    <t>[DATA]:Trends\LW_Sub1\LW_Sub1_Comp_LT_Busway_Temp_HH_SP\LW_Sub1_Comp_LT_Busway_Temp_HH_SP</t>
  </si>
  <si>
    <t>LW802 Sub1 - LT Busway Compartment RTD - High High Level Setpoint</t>
  </si>
  <si>
    <t>[DATA]:Trends\LW_Sub1\LW_Sub1_Comp_LT_Busway_Temp_H_SP\LW_Sub1_Comp_LT_Busway_Temp_H_SP</t>
  </si>
  <si>
    <t>LW802 Sub1 - LT Busway Compartment RTD - High level Setpoint</t>
  </si>
  <si>
    <t>[DATA]:Trends\LW_Sub1\LW_Sub1_Comp_LT_Busway_Temp_L_SP\LW_Sub1_Comp_LT_Busway_Temp_L_SP</t>
  </si>
  <si>
    <t>LW802 Sub1 - LT Busway Compartment RTD - Low Level Setpoint</t>
  </si>
  <si>
    <t>[DATA]:Trends\LW_Sub1\LW_Sub1_Comp_LT_Busway_Temp_LL_SP\LW_Sub1_Comp_LT_Busway_Temp_LL_SP</t>
  </si>
  <si>
    <t>LW802 Sub1 - LT Busway Compartment RTD - Low Low Level Setpoint</t>
  </si>
  <si>
    <t>LW_Sub1_OTL_6_Earth_Leakage_PV</t>
  </si>
  <si>
    <t>LW_Sub1_OTL_6_Earth_Leakage_HH_SP</t>
  </si>
  <si>
    <t>LW_Sub1_OTL_6_Earth_Leakage_H_SP</t>
  </si>
  <si>
    <t>LW_Sub1_OTL_6_Earth_Leakage_L_SP</t>
  </si>
  <si>
    <t>LW_Sub1_OTL_6_Earth_Leakage_LL_SP</t>
  </si>
  <si>
    <t>[DATA]:Trends\LW_Sub1\LW_Sub1_OTL_6_Earth_Leakage_PV\LW_Sub1_OTL_6_Earth_Leakage_PV</t>
  </si>
  <si>
    <t>LW802 Sub1 - Outlet 6 Earth Leakage - Process Variable</t>
  </si>
  <si>
    <t>[DATA]:Trends\LW_Sub1\LW_Sub1_OTL_6_Earth_Leakage_HH_SP\LW_Sub1_OTL_6_Earth_Leakage_HH_SP</t>
  </si>
  <si>
    <t>LW802 Sub1 - Outlet 6 Earth Leakage - High High Level Setpoint</t>
  </si>
  <si>
    <t>[DATA]:Trends\LW_Sub1\LW_Sub1_OTL_6_Earth_Leakage_H_SP\LW_Sub1_OTL_6_Earth_Leakage_H_SP</t>
  </si>
  <si>
    <t>LW802 Sub1 - Outlet 6 Earth Leakage - High level Setpoint</t>
  </si>
  <si>
    <t>[DATA]:Trends\LW_Sub1\LW_Sub1_OTL_6_Earth_Leakage_L_SP\LW_Sub1_OTL_6_Earth_Leakage_L_SP</t>
  </si>
  <si>
    <t>LW802 Sub1 - Outlet 6 Earth Leakage - Low Level Setpoint</t>
  </si>
  <si>
    <t>[DATA]:Trends\LW_Sub1\LW_Sub1_OTL_6_Earth_Leakage_LL_SP\LW_Sub1_OTL_6_Earth_Leakage_LL_SP</t>
  </si>
  <si>
    <t>LW802 Sub1 - Outlet 6 Earth Leakage - Low Low Level Setpoint</t>
  </si>
  <si>
    <t>LW_Sub1_OTL_7_Earth_Leakage_PV</t>
  </si>
  <si>
    <t>LW_Sub1_OTL_7_Earth_Leakage_HH_SP</t>
  </si>
  <si>
    <t>LW_Sub1_OTL_7_Earth_Leakage_H_SP</t>
  </si>
  <si>
    <t>LW_Sub1_OTL_7_Earth_Leakage_L_SP</t>
  </si>
  <si>
    <t>LW_Sub1_OTL_7_Earth_Leakage_LL_SP</t>
  </si>
  <si>
    <t>[DATA]:Trends\LW_Sub1\LW_Sub1_OTL_7_Earth_Leakage_PV\LW_Sub1_OTL_7_Earth_Leakage_PV</t>
  </si>
  <si>
    <t>LW802 Sub1 - Outlet 7 Earth Leakage - Process Variable</t>
  </si>
  <si>
    <t>[DATA]:Trends\LW_Sub1\LW_Sub1_OTL_7_Earth_Leakage_HH_SP\LW_Sub1_OTL_7_Earth_Leakage_HH_SP</t>
  </si>
  <si>
    <t>LW802 Sub1 - Outlet 7 Earth Leakage - High High Level Setpoint</t>
  </si>
  <si>
    <t>[DATA]:Trends\LW_Sub1\LW_Sub1_OTL_7_Earth_Leakage_H_SP\LW_Sub1_OTL_7_Earth_Leakage_H_SP</t>
  </si>
  <si>
    <t>LW802 Sub1 - Outlet 7 Earth Leakage - High level Setpoint</t>
  </si>
  <si>
    <t>[DATA]:Trends\LW_Sub1\LW_Sub1_OTL_7_Earth_Leakage_L_SP\LW_Sub1_OTL_7_Earth_Leakage_L_SP</t>
  </si>
  <si>
    <t>LW802 Sub1 - Outlet 7 Earth Leakage - Low Level Setpoint</t>
  </si>
  <si>
    <t>[DATA]:Trends\LW_Sub1\LW_Sub1_OTL_7_Earth_Leakage_LL_SP\LW_Sub1_OTL_7_Earth_Leakage_LL_SP</t>
  </si>
  <si>
    <t>LW802 Sub1 - Outlet 7 Earth Leakage - Low Low Level Setpoint</t>
  </si>
  <si>
    <t>LW_Sub1_TXF_Sepam_CurrentI1</t>
  </si>
  <si>
    <t>LW_Sub1_TXF_Sepam_CurrentI2</t>
  </si>
  <si>
    <t>LW_Sub1_TXF_Sepam_CurrentI3</t>
  </si>
  <si>
    <t>LW_Sub1_TXF_Sepam_VoltageV21</t>
  </si>
  <si>
    <t>LW_Sub1_TXF_Sepam_VoltageV32</t>
  </si>
  <si>
    <t>LW_Sub1_TXF_Sepam_VoltageV13</t>
  </si>
  <si>
    <t>LW_Sub1_TXF_Sepam_VoltageV1</t>
  </si>
  <si>
    <t>LW_Sub1_TXF_Sepam_VoltageV2</t>
  </si>
  <si>
    <t>LW_Sub1_TXF_Sepam_VoltageV3</t>
  </si>
  <si>
    <t>LW_Sub1_TXF_Sepam_Frequency</t>
  </si>
  <si>
    <t>LW_Sub1_TXF_Sepam_ActivePower</t>
  </si>
  <si>
    <t>LW_Sub1_TXF_Sepam_ReactivePower</t>
  </si>
  <si>
    <t>LW_Sub1_TXF_Sepam_ApparentPower</t>
  </si>
  <si>
    <t>LW_Sub1_TXF_Sepam_PowerFactor</t>
  </si>
  <si>
    <t>[DATA]:Trends\LW_Sub1\LW_Sub1_TXF_Sepam_CurrentI1\LW_Sub1_TXF_Sepam_CurrentI1</t>
  </si>
  <si>
    <t>LW802 Sub1 - Transformer Sepam - I1 Phase Current (A)</t>
  </si>
  <si>
    <t>[DATA]:Trends\LW_Sub1\LW_Sub1_TXF_Sepam_CurrentI2\LW_Sub1_TXF_Sepam_CurrentI2</t>
  </si>
  <si>
    <t>LW802 Sub1 - Transformer Sepam - I2 Phase Current (A)</t>
  </si>
  <si>
    <t>[DATA]:Trends\LW_Sub1\LW_Sub1_TXF_Sepam_CurrentI3\LW_Sub1_TXF_Sepam_CurrentI3</t>
  </si>
  <si>
    <t>LW802 Sub1 - Transformer Sepam - I3 Phase Current (A)</t>
  </si>
  <si>
    <t>[DATA]:Trends\LW_Sub1\LW_Sub1_TXF_Sepam_VoltageV21\LW_Sub1_TXF_Sepam_VoltageV21</t>
  </si>
  <si>
    <t>LW802 Sub1 - Transformer Sepam - Phase to Phase Voltage 2-1 (kV)</t>
  </si>
  <si>
    <t>[DATA]:Trends\LW_Sub1\LW_Sub1_TXF_Sepam_VoltageV32\LW_Sub1_TXF_Sepam_VoltageV32</t>
  </si>
  <si>
    <t>LW802 Sub1 - Transformer Sepam - Phase to Phase Voltage 3-2 (kV)</t>
  </si>
  <si>
    <t>[DATA]:Trends\LW_Sub1\LW_Sub1_TXF_Sepam_VoltageV13\LW_Sub1_TXF_Sepam_VoltageV13</t>
  </si>
  <si>
    <t>LW802 Sub1 - Transformer Sepam - Phase to Phase Voltage 1-3 (kV)</t>
  </si>
  <si>
    <t>[DATA]:Trends\LW_Sub1\LW_Sub1_TXF_Sepam_VoltageV1\LW_Sub1_TXF_Sepam_VoltageV1</t>
  </si>
  <si>
    <t>LW802 Sub1 - Transformer Sepam - Phase Voltage V1 (kV)</t>
  </si>
  <si>
    <t>[DATA]:Trends\LW_Sub1\LW_Sub1_TXF_Sepam_VoltageV2\LW_Sub1_TXF_Sepam_VoltageV2</t>
  </si>
  <si>
    <t>LW802 Sub1 - Transformer Sepam - Phase Voltage V2 (kV)</t>
  </si>
  <si>
    <t>[DATA]:Trends\LW_Sub1\LW_Sub1_TXF_Sepam_VoltageV3\LW_Sub1_TXF_Sepam_VoltageV3</t>
  </si>
  <si>
    <t>LW802 Sub1 - Transformer Sepam - Phase Voltage V3 (kV)</t>
  </si>
  <si>
    <t>[DATA]:Trends\LW_Sub1\LW_Sub1_TXF_Sepam_Frequency\LW_Sub1_TXF_Sepam_Frequency</t>
  </si>
  <si>
    <t>LW802 Sub1 - Transformer Sepam - Frequency (Hz)</t>
  </si>
  <si>
    <t>[DATA]:Trends\LW_Sub1\LW_Sub1_TXF_Sepam_ActivePower\LW_Sub1_TXF_Sepam_ActivePower</t>
  </si>
  <si>
    <t>LW802 Sub1 - Transformer Sepam - Active Power P</t>
  </si>
  <si>
    <t>[DATA]:Trends\LW_Sub1\LW_Sub1_TXF_Sepam_ReactivePower\LW_Sub1_TXF_Sepam_ReactivePower</t>
  </si>
  <si>
    <t>LW802 Sub1 - Transformer Sepam - Reactive Power Q</t>
  </si>
  <si>
    <t>[DATA]:Trends\LW_Sub1\LW_Sub1_TXF_Sepam_ApparentPower\LW_Sub1_TXF_Sepam_ApparentPower</t>
  </si>
  <si>
    <t xml:space="preserve">LW802 Sub1 - Transformer Sepam - Apparent Power S </t>
  </si>
  <si>
    <t>[DATA]:Trends\LW_Sub1\LW_Sub1_TXF_Sepam_PowerFactor\LW_Sub1_TXF_Sepam_PowerFactor</t>
  </si>
  <si>
    <t>LW802 Sub1 - Transformer Sepam - Power Factor</t>
  </si>
  <si>
    <t>Gas</t>
  </si>
  <si>
    <t>Area_Gas</t>
  </si>
  <si>
    <t>LW2.Sub1</t>
  </si>
  <si>
    <t>Gas.LW2</t>
  </si>
  <si>
    <t>LW2_Cl</t>
  </si>
  <si>
    <t>2b6e4b9a-1f34-4a28-93ae-c07046541eec</t>
  </si>
  <si>
    <t>67c044d9-e68e-49a8-d4b4-0917bda8ebc8</t>
  </si>
  <si>
    <t>e8d0a58b-2083-46ab-39ae-3f995e1ca970</t>
  </si>
  <si>
    <t>c81704b0-e01d-4008-12bd-87259081dc6a</t>
  </si>
  <si>
    <t>3eb4b640-44cb-43ca-2db2-50dec31d5601</t>
  </si>
  <si>
    <t>0a9e2cab-0528-4c5f-2788-5f507b2bcf25</t>
  </si>
  <si>
    <t>c03d2e32-48c5-43cd-dd8f-ac644aba086a</t>
  </si>
  <si>
    <t>6ab3466b-aff8-45fd-f2a4-ed4daf0f11ac</t>
  </si>
  <si>
    <t>5a6f7bb7-41d5-45a9-7ba7-dddd31d2adc3</t>
  </si>
  <si>
    <t>ca6b0bd2-b217-4bb9-f5a9-4a6e576a2bd7</t>
  </si>
  <si>
    <t>71963009-03b5-4aae-64b7-6e114be06163</t>
  </si>
  <si>
    <t>9b03bd8e-4346-4166-da83-dedae84fe500</t>
  </si>
  <si>
    <t>40de6f52-e911-43b2-b991-fe378d1af32e</t>
  </si>
  <si>
    <t>2445b74f-cbce-4c92-b0a8-1c1eaee547d4</t>
  </si>
  <si>
    <t>0605c146-b2fd-4d46-27a0-06f57f261b6b</t>
  </si>
  <si>
    <t>c45ce3d8-8055-491b-b8a5-7a2e418dd9ac</t>
  </si>
  <si>
    <t>09b184c7-4abe-46c0-8ba5-681145172989</t>
  </si>
  <si>
    <t>6af69ae7-503c-4091-c9ac-5ff3688d9b5f</t>
  </si>
  <si>
    <t>662f157e-9662-494d-47ad-b56c5efdfa17</t>
  </si>
  <si>
    <t>0d0f0aaf-3e87-4c58-4290-263fde143c8e</t>
  </si>
  <si>
    <t>f453f94a-f470-4448-67b4-7ecf1a0d1ff2</t>
  </si>
  <si>
    <t>66ab9e13-b607-4912-6583-56ae8c8cb687</t>
  </si>
  <si>
    <t>d92e888b-8685-465d-94a8-4f8be35db360</t>
  </si>
  <si>
    <t>44d31efa-b9ae-4d0a-5694-6b4a8bbb85f3</t>
  </si>
  <si>
    <t>faf30e74-e4d7-456a-1298-a56383b595f2</t>
  </si>
  <si>
    <t>dc11acf8-f1d2-42f2-638f-00496889df87</t>
  </si>
  <si>
    <t>294e101e-ec37-463d-40b7-54ffe4511f89</t>
  </si>
  <si>
    <t>b6332bd3-650c-4125-31ac-bb8c9adca5c6</t>
  </si>
  <si>
    <t>2083d3a4-5d21-4186-bfbd-39e2bdfbbdf3</t>
  </si>
  <si>
    <t>27b026c4-05a5-4d77-8a91-02426902e3fb</t>
  </si>
  <si>
    <t>42b2b59c-a7e1-480c-72b9-30bef229ab04</t>
  </si>
  <si>
    <t>e9dfde40-6d77-4fae-9190-dedbdcc8bfd3</t>
  </si>
  <si>
    <t>67382be9-0102-4760-a19c-a4764fc71df4</t>
  </si>
  <si>
    <t>6b518c7a-12df-4ef4-08b0-dd3dd31e0411</t>
  </si>
  <si>
    <t>d3d5f80d-122e-465b-ff8e-c4b123969f51</t>
  </si>
  <si>
    <t>f6dfea54-db24-458b-34b0-f7213baf67fa</t>
  </si>
  <si>
    <t>d7944cfa-509b-429a-cca1-b4b37df6ba2f</t>
  </si>
  <si>
    <t>d4629cb0-aadf-4c63-3db4-d8d61799aa0b</t>
  </si>
  <si>
    <t>3d460f1d-a191-4457-a092-0c9d17e12fff</t>
  </si>
  <si>
    <t>6bef89bd-4b6e-44de-038b-c1070d2ff4ec</t>
  </si>
  <si>
    <t>76cd98b7-c189-4fae-a9bf-a7afb691c4fe</t>
  </si>
  <si>
    <t>d32bb823-bbd9-47a1-4fb0-1731907bc85d</t>
  </si>
  <si>
    <t>fa3a3d71-6191-4059-059e-f554acb8a3a6</t>
  </si>
  <si>
    <t>5d5b9ff2-c107-4120-999c-9e83d6603a8a</t>
  </si>
  <si>
    <t>d431accc-d9c0-4675-afbd-3d0dd077a6af</t>
  </si>
  <si>
    <t>ca180598-8ea1-44dd-7cb6-1185e01f7da6</t>
  </si>
  <si>
    <t>58abbc96-9abe-4638-a2aa-4e93786a29ba</t>
  </si>
  <si>
    <t>a641470c-821a-4b5c-e586-3b11edf6feaf</t>
  </si>
  <si>
    <t>3bdce4bc-a7e9-4512-378c-34fe854f2341</t>
  </si>
  <si>
    <t>8e3c96df-f159-4d1c-87b7-4adbf4164eac</t>
  </si>
  <si>
    <t>59cd63cc-1c40-448c-6798-8c67e14711a1</t>
  </si>
  <si>
    <t>c2b276ed-71f6-4563-5b90-0b8a93e162cb</t>
  </si>
  <si>
    <t>a425c709-eb8e-4020-01a0-9dfe4b2df5ad</t>
  </si>
  <si>
    <t>f49fcf05-6ab2-4d75-67ba-6599f9a857c2</t>
  </si>
  <si>
    <t>5c61294d-8c70-40e6-0e8e-cd80e39831ae</t>
  </si>
  <si>
    <t>f8f26658-d343-4f3f-5ea6-dcb9c057e38f</t>
  </si>
  <si>
    <t>42ef5198-a091-47ea-73b2-52cf5ff465c8</t>
  </si>
  <si>
    <t>a415e614-ca95-4588-049b-cd9cf1700520</t>
  </si>
  <si>
    <t>821856be-a587-4c6b-1b9c-fdfdded3e5aa</t>
  </si>
  <si>
    <t>c03555f5-a596-4c82-bc85-9f1fb56fa670</t>
  </si>
  <si>
    <t>88eeccbd-90a6-4457-4eab-5df783c7dab7</t>
  </si>
  <si>
    <t>0d1c9881-8546-4616-9493-57cf2f038f2a</t>
  </si>
  <si>
    <t>cb981f6b-cd93-4a3e-2585-3225c2259e8b</t>
  </si>
  <si>
    <t>d6b7ff2a-b9cf-4cfb-f586-0d7d96231de1</t>
  </si>
  <si>
    <t>1e42981d-8dda-448e-6e93-c1ce63c9ec5c</t>
  </si>
  <si>
    <t>da1eed61-3e04-45e8-bbbe-c94b1a9c7427</t>
  </si>
  <si>
    <t>aeeb149c-1bc2-434d-4eb1-49768ad25fb9</t>
  </si>
  <si>
    <t>10b55489-adf4-441d-c48c-39b3c9d3f4a6</t>
  </si>
  <si>
    <t>b16cf4ea-4c4d-4182-d0aa-cccdf670d404</t>
  </si>
  <si>
    <t>f2d88824-f8e9-4ce2-f1af-07ee4759a76f</t>
  </si>
  <si>
    <t>89a50017-012c-4dc9-9f9e-b704524d5f3b</t>
  </si>
  <si>
    <t>b217b1ec-8c98-476b-5d9a-9ff9e70110b5</t>
  </si>
  <si>
    <t>625e9b30-4a59-48ef-1784-ce61698a1332</t>
  </si>
  <si>
    <t>bf7fea5f-2c3f-4cee-3aa3-d7b7eabe327d</t>
  </si>
  <si>
    <t>356c7139-c48e-4169-c5a8-338e045b6efe</t>
  </si>
  <si>
    <t>ebe38bd7-737b-4001-219b-6761c2af0fce</t>
  </si>
  <si>
    <t>25a4771f-e9c9-4cd3-2687-871747229fcd</t>
  </si>
  <si>
    <t>2e6fa4e4-7e86-4b8c-64be-e6c3715bc88d</t>
  </si>
  <si>
    <t>bf0a7e1f-9271-42db-c286-970e34f67e58</t>
  </si>
  <si>
    <t>a66c9829-9e6a-4d18-2bb2-8c592b1c3d50</t>
  </si>
  <si>
    <t>5bf87a4a-ed1a-4adf-aaa6-28b07b1c8abc</t>
  </si>
  <si>
    <t>8dca0099-8414-465b-d4aa-c8fe59449a53</t>
  </si>
  <si>
    <t>38f89bd6-ffc7-4bdf-84b9-9cd55dbc5ed0</t>
  </si>
  <si>
    <t>a61887eb-9093-42d8-21be-2925dad0ca91</t>
  </si>
  <si>
    <t>348b0917-93d7-467b-19a4-ea427d818ea7</t>
  </si>
  <si>
    <t>58e01bdd-0640-48c3-5c81-4cbd4711aefe</t>
  </si>
  <si>
    <t>902fd0a0-fdbf-45b2-cfa7-e6992acc7a18</t>
  </si>
  <si>
    <t>61de8dc0-76b8-4335-1190-bddd4933f677</t>
  </si>
  <si>
    <t>63b75299-967b-4e46-3e96-9843ac9b2650</t>
  </si>
  <si>
    <t>7695a7fa-9493-4a43-3283-437aa20ff9dd</t>
  </si>
  <si>
    <t>8749f5de-c132-4cf4-7192-6ebedb036a86</t>
  </si>
  <si>
    <t>b338e6ea-213b-40af-3ba5-f607da12bee3</t>
  </si>
  <si>
    <t>b5b91951-a1ad-4652-6497-88956d04dd5f</t>
  </si>
  <si>
    <t>319348f4-17a3-49ef-7bb2-b09593294fc5</t>
  </si>
  <si>
    <t>22e3090e-0ee3-41e7-0f8a-5854977c4bda</t>
  </si>
  <si>
    <t>b40fb00c-8406-4166-4f93-b90a9150e8d0</t>
  </si>
  <si>
    <t>8bcb1149-4c69-4407-199f-cc2d98e74452</t>
  </si>
  <si>
    <t>3b89b3e2-2b40-44b2-5dbc-be240f3a9ba0</t>
  </si>
  <si>
    <t>77e6aa56-7083-453b-49ac-2a87e6d86ebc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</si>
</sst>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3366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FFF"/>
        <bgColor indexed="64"/>
      </patternFill>
    </fill>
  </fills>
  <borders count="3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9" fontId="12" fillId="0" borderId="0" applyFont="0" applyFill="0" applyBorder="0" applyAlignment="0" applyProtection="0"/>
    <xf numFmtId="0" fontId="14" fillId="16" borderId="0" applyNumberFormat="0" applyBorder="0" applyAlignment="0" applyProtection="0"/>
    <xf numFmtId="0" fontId="15" fillId="17" borderId="0" applyNumberFormat="0" applyBorder="0" applyAlignment="0" applyProtection="0"/>
  </cellStyleXfs>
  <cellXfs count="129">
    <xf numFmtId="0" fontId="0" fillId="0" borderId="0" xfId="0"/>
    <xf numFmtId="0" fontId="1" fillId="2" borderId="1" xfId="0" applyFont="1" applyFill="1" applyBorder="1"/>
    <xf numFmtId="0" fontId="2" fillId="0" borderId="0" xfId="1" applyFont="1" applyAlignment="1">
      <alignment horizontal="left"/>
    </xf>
    <xf numFmtId="1" fontId="3" fillId="0" borderId="0" xfId="1" applyNumberFormat="1"/>
    <xf numFmtId="0" fontId="3" fillId="0" borderId="0" xfId="1" applyAlignment="1">
      <alignment horizontal="left"/>
    </xf>
    <xf numFmtId="0" fontId="4" fillId="0" borderId="0" xfId="0" applyFont="1"/>
    <xf numFmtId="49" fontId="0" fillId="0" borderId="0" xfId="0" applyNumberFormat="1"/>
    <xf numFmtId="0" fontId="1" fillId="2" borderId="13" xfId="0" applyFont="1" applyFill="1" applyBorder="1"/>
    <xf numFmtId="0" fontId="1" fillId="2" borderId="12" xfId="0" applyFont="1" applyFill="1" applyBorder="1"/>
    <xf numFmtId="0" fontId="1" fillId="2" borderId="14" xfId="0" applyFont="1" applyFill="1" applyBorder="1"/>
    <xf numFmtId="0" fontId="5" fillId="0" borderId="0" xfId="0" applyFont="1"/>
    <xf numFmtId="0" fontId="6" fillId="0" borderId="0" xfId="0" applyFont="1"/>
    <xf numFmtId="0" fontId="0" fillId="6" borderId="4" xfId="0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0" fillId="3" borderId="4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5" borderId="4" xfId="0" applyFill="1" applyBorder="1" applyAlignment="1">
      <alignment horizontal="left" vertical="center" wrapText="1"/>
    </xf>
    <xf numFmtId="49" fontId="0" fillId="0" borderId="15" xfId="0" applyNumberFormat="1" applyBorder="1"/>
    <xf numFmtId="0" fontId="3" fillId="3" borderId="2" xfId="0" applyFont="1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3" fillId="6" borderId="8" xfId="0" applyFont="1" applyFill="1" applyBorder="1" applyAlignment="1">
      <alignment horizontal="left" vertical="center" wrapText="1"/>
    </xf>
    <xf numFmtId="0" fontId="3" fillId="6" borderId="2" xfId="0" applyFont="1" applyFill="1" applyBorder="1" applyAlignment="1">
      <alignment horizontal="left" vertical="center" wrapText="1"/>
    </xf>
    <xf numFmtId="0" fontId="3" fillId="6" borderId="9" xfId="0" applyFont="1" applyFill="1" applyBorder="1" applyAlignment="1">
      <alignment horizontal="left" vertical="center" wrapText="1"/>
    </xf>
    <xf numFmtId="0" fontId="3" fillId="3" borderId="8" xfId="0" applyFont="1" applyFill="1" applyBorder="1" applyAlignment="1">
      <alignment horizontal="left" vertical="center" wrapText="1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3" fillId="4" borderId="2" xfId="0" applyFont="1" applyFill="1" applyBorder="1" applyAlignment="1">
      <alignment horizontal="left" vertical="center" wrapText="1"/>
    </xf>
    <xf numFmtId="0" fontId="3" fillId="10" borderId="9" xfId="0" applyFont="1" applyFill="1" applyBorder="1" applyAlignment="1">
      <alignment horizontal="left" vertical="center" wrapText="1"/>
    </xf>
    <xf numFmtId="0" fontId="3" fillId="5" borderId="3" xfId="0" applyFont="1" applyFill="1" applyBorder="1" applyAlignment="1">
      <alignment horizontal="left" vertical="center" wrapText="1"/>
    </xf>
    <xf numFmtId="0" fontId="3" fillId="5" borderId="8" xfId="0" applyFont="1" applyFill="1" applyBorder="1" applyAlignment="1">
      <alignment horizontal="left" vertical="center" wrapText="1"/>
    </xf>
    <xf numFmtId="0" fontId="3" fillId="5" borderId="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7" borderId="11" xfId="0" applyFill="1" applyBorder="1"/>
    <xf numFmtId="0" fontId="0" fillId="7" borderId="10" xfId="0" applyFill="1" applyBorder="1"/>
    <xf numFmtId="0" fontId="0" fillId="7" borderId="0" xfId="0" applyFill="1"/>
    <xf numFmtId="0" fontId="0" fillId="3" borderId="0" xfId="0" applyFill="1" applyAlignment="1">
      <alignment horizontal="left"/>
    </xf>
    <xf numFmtId="0" fontId="0" fillId="3" borderId="0" xfId="0" quotePrefix="1" applyFill="1" applyAlignment="1">
      <alignment horizontal="left"/>
    </xf>
    <xf numFmtId="0" fontId="0" fillId="0" borderId="0" xfId="0" applyAlignment="1">
      <alignment horizontal="center"/>
    </xf>
    <xf numFmtId="0" fontId="0" fillId="8" borderId="4" xfId="0" applyFill="1" applyBorder="1" applyAlignment="1">
      <alignment horizontal="center" vertical="center" wrapText="1"/>
    </xf>
    <xf numFmtId="0" fontId="0" fillId="13" borderId="4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13" borderId="4" xfId="0" applyFill="1" applyBorder="1" applyAlignment="1">
      <alignment horizontal="center" vertical="center" wrapText="1"/>
    </xf>
    <xf numFmtId="0" fontId="0" fillId="5" borderId="0" xfId="0" applyFill="1"/>
    <xf numFmtId="49" fontId="0" fillId="0" borderId="0" xfId="0" applyNumberFormat="1" applyAlignment="1">
      <alignment horizontal="left"/>
    </xf>
    <xf numFmtId="49" fontId="1" fillId="2" borderId="17" xfId="0" applyNumberFormat="1" applyFont="1" applyFill="1" applyBorder="1"/>
    <xf numFmtId="49" fontId="1" fillId="2" borderId="16" xfId="0" applyNumberFormat="1" applyFont="1" applyFill="1" applyBorder="1"/>
    <xf numFmtId="49" fontId="1" fillId="2" borderId="18" xfId="0" applyNumberFormat="1" applyFont="1" applyFill="1" applyBorder="1"/>
    <xf numFmtId="0" fontId="8" fillId="0" borderId="0" xfId="0" applyFont="1"/>
    <xf numFmtId="0" fontId="3" fillId="11" borderId="2" xfId="0" applyFont="1" applyFill="1" applyBorder="1" applyAlignment="1">
      <alignment horizontal="left" vertical="center" wrapText="1"/>
    </xf>
    <xf numFmtId="1" fontId="3" fillId="14" borderId="0" xfId="1" applyNumberFormat="1" applyFill="1"/>
    <xf numFmtId="0" fontId="3" fillId="14" borderId="0" xfId="1" applyFill="1" applyAlignment="1">
      <alignment horizontal="left"/>
    </xf>
    <xf numFmtId="0" fontId="0" fillId="0" borderId="0" xfId="0" quotePrefix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7" borderId="5" xfId="0" applyFill="1" applyBorder="1"/>
    <xf numFmtId="0" fontId="0" fillId="7" borderId="6" xfId="0" applyFill="1" applyBorder="1"/>
    <xf numFmtId="0" fontId="3" fillId="9" borderId="19" xfId="0" applyFont="1" applyFill="1" applyBorder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3" fillId="5" borderId="9" xfId="0" applyFont="1" applyFill="1" applyBorder="1" applyAlignment="1">
      <alignment horizontal="left" vertical="center" wrapText="1"/>
    </xf>
    <xf numFmtId="0" fontId="0" fillId="7" borderId="21" xfId="0" applyFill="1" applyBorder="1"/>
    <xf numFmtId="0" fontId="3" fillId="5" borderId="19" xfId="0" applyFont="1" applyFill="1" applyBorder="1" applyAlignment="1">
      <alignment horizontal="left" vertical="center" wrapText="1"/>
    </xf>
    <xf numFmtId="0" fontId="0" fillId="11" borderId="0" xfId="0" applyFill="1"/>
    <xf numFmtId="0" fontId="10" fillId="5" borderId="0" xfId="0" applyFont="1" applyFill="1"/>
    <xf numFmtId="0" fontId="11" fillId="0" borderId="0" xfId="0" applyFont="1" applyAlignment="1">
      <alignment horizontal="left" vertical="center"/>
    </xf>
    <xf numFmtId="0" fontId="3" fillId="11" borderId="9" xfId="0" applyFont="1" applyFill="1" applyBorder="1" applyAlignment="1">
      <alignment horizontal="left" vertical="center" wrapText="1"/>
    </xf>
    <xf numFmtId="0" fontId="1" fillId="2" borderId="16" xfId="0" applyFont="1" applyFill="1" applyBorder="1"/>
    <xf numFmtId="0" fontId="3" fillId="5" borderId="22" xfId="0" applyFont="1" applyFill="1" applyBorder="1" applyAlignment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0" fillId="5" borderId="0" xfId="0" applyFill="1" applyAlignment="1">
      <alignment horizontal="left"/>
    </xf>
    <xf numFmtId="0" fontId="0" fillId="0" borderId="25" xfId="0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0" fontId="0" fillId="0" borderId="25" xfId="0" applyBorder="1"/>
    <xf numFmtId="0" fontId="0" fillId="3" borderId="0" xfId="2" applyNumberFormat="1" applyFont="1" applyFill="1" applyAlignment="1">
      <alignment horizontal="left"/>
    </xf>
    <xf numFmtId="0" fontId="0" fillId="12" borderId="0" xfId="0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1" fillId="2" borderId="0" xfId="0" applyNumberFormat="1" applyFont="1" applyFill="1"/>
    <xf numFmtId="0" fontId="0" fillId="4" borderId="11" xfId="0" applyFill="1" applyBorder="1"/>
    <xf numFmtId="0" fontId="0" fillId="0" borderId="15" xfId="0" applyBorder="1"/>
    <xf numFmtId="0" fontId="10" fillId="0" borderId="25" xfId="0" applyFont="1" applyBorder="1"/>
    <xf numFmtId="0" fontId="10" fillId="0" borderId="0" xfId="0" applyFont="1"/>
    <xf numFmtId="0" fontId="10" fillId="0" borderId="0" xfId="1" applyFont="1"/>
    <xf numFmtId="0" fontId="14" fillId="16" borderId="0" xfId="3"/>
    <xf numFmtId="0" fontId="0" fillId="0" borderId="15" xfId="0" applyBorder="1" applyAlignment="1">
      <alignment horizontal="left"/>
    </xf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9" borderId="0" xfId="0" applyFill="1"/>
    <xf numFmtId="0" fontId="16" fillId="0" borderId="0" xfId="0" applyFont="1"/>
    <xf numFmtId="0" fontId="17" fillId="0" borderId="0" xfId="0" applyFont="1"/>
    <xf numFmtId="0" fontId="0" fillId="18" borderId="0" xfId="0" applyFill="1"/>
    <xf numFmtId="0" fontId="3" fillId="0" borderId="0" xfId="1"/>
    <xf numFmtId="0" fontId="15" fillId="17" borderId="0" xfId="4" applyAlignment="1">
      <alignment horizontal="center"/>
    </xf>
    <xf numFmtId="0" fontId="18" fillId="0" borderId="0" xfId="0" applyFont="1"/>
    <xf numFmtId="0" fontId="19" fillId="0" borderId="0" xfId="0" applyFont="1"/>
    <xf numFmtId="0" fontId="0" fillId="0" borderId="24" xfId="0" applyBorder="1"/>
    <xf numFmtId="0" fontId="0" fillId="0" borderId="24" xfId="0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0" fillId="0" borderId="24" xfId="0" applyBorder="1" applyAlignment="1">
      <alignment horizontal="center"/>
    </xf>
    <xf numFmtId="49" fontId="15" fillId="17" borderId="0" xfId="4" applyNumberFormat="1"/>
    <xf numFmtId="0" fontId="0" fillId="0" borderId="29" xfId="0" applyBorder="1"/>
    <xf numFmtId="0" fontId="0" fillId="0" borderId="31" xfId="0" applyBorder="1"/>
    <xf numFmtId="0" fontId="0" fillId="0" borderId="27" xfId="0" applyBorder="1"/>
    <xf numFmtId="49" fontId="13" fillId="0" borderId="0" xfId="0" applyNumberFormat="1" applyFont="1"/>
    <xf numFmtId="49" fontId="15" fillId="0" borderId="0" xfId="4" applyNumberFormat="1" applyFill="1" applyBorder="1"/>
    <xf numFmtId="0" fontId="0" fillId="9" borderId="0" xfId="0" applyFill="1" applyAlignment="1">
      <alignment horizontal="left"/>
    </xf>
    <xf numFmtId="0" fontId="0" fillId="9" borderId="0" xfId="0" applyFill="1" applyAlignment="1">
      <alignment horizontal="center"/>
    </xf>
    <xf numFmtId="0" fontId="0" fillId="19" borderId="0" xfId="0" applyFill="1"/>
    <xf numFmtId="0" fontId="14" fillId="9" borderId="0" xfId="3" applyFill="1"/>
    <xf numFmtId="0" fontId="0" fillId="20" borderId="25" xfId="0" applyFill="1" applyBorder="1"/>
    <xf numFmtId="0" fontId="0" fillId="20" borderId="0" xfId="0" applyFill="1"/>
    <xf numFmtId="21" fontId="0" fillId="0" borderId="0" xfId="0" applyNumberFormat="1"/>
    <xf numFmtId="21" fontId="0" fillId="0" borderId="15" xfId="0" applyNumberFormat="1" applyBorder="1"/>
    <xf numFmtId="0" fontId="4" fillId="11" borderId="15" xfId="0" applyFont="1" applyFill="1" applyBorder="1" applyAlignment="1">
      <alignment horizontal="center" vertical="center"/>
    </xf>
    <xf numFmtId="49" fontId="4" fillId="5" borderId="0" xfId="0" applyNumberFormat="1" applyFont="1" applyFill="1" applyAlignment="1">
      <alignment horizontal="center" vertical="center"/>
    </xf>
    <xf numFmtId="0" fontId="9" fillId="0" borderId="24" xfId="0" applyFont="1" applyBorder="1" applyAlignment="1">
      <alignment horizontal="right" wrapText="1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9" fillId="0" borderId="24" xfId="0" applyFont="1" applyBorder="1" applyAlignment="1">
      <alignment horizontal="center" vertical="center" wrapText="1"/>
    </xf>
  </cellXfs>
  <cellStyles count="5">
    <cellStyle name="Good" xfId="3" builtinId="26"/>
    <cellStyle name="Neutral" xfId="4" builtinId="28"/>
    <cellStyle name="Normal" xfId="0" builtinId="0"/>
    <cellStyle name="Normal 2" xfId="1" xr:uid="{00000000-0005-0000-0000-000001000000}"/>
    <cellStyle name="Percent" xfId="2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FFF"/>
      <color rgb="FFED9DDE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3375660</xdr:colOff>
          <xdr:row>32</xdr:row>
          <xdr:rowOff>30480</xdr:rowOff>
        </xdr:from>
        <xdr:to>
          <xdr:col>1</xdr:col>
          <xdr:colOff>5013960</xdr:colOff>
          <xdr:row>34</xdr:row>
          <xdr:rowOff>38100</xdr:rowOff>
        </xdr:to>
        <xdr:sp macro="" textlink="">
          <xdr:nvSpPr>
            <xdr:cNvPr id="10910721" name="Button 1" hidden="1">
              <a:extLst>
                <a:ext uri="{63B3BB69-23CF-44E3-9099-C40C66FF867C}">
                  <a14:compatExt spid="_x0000_s10910721"/>
                </a:ext>
                <a:ext uri="{FF2B5EF4-FFF2-40B4-BE49-F238E27FC236}">
                  <a16:creationId xmlns:a16="http://schemas.microsoft.com/office/drawing/2014/main" id="{00000000-0008-0000-0000-0000017CA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Controller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4000500</xdr:colOff>
          <xdr:row>0</xdr:row>
          <xdr:rowOff>83820</xdr:rowOff>
        </xdr:from>
        <xdr:to>
          <xdr:col>9</xdr:col>
          <xdr:colOff>1493520</xdr:colOff>
          <xdr:row>3</xdr:row>
          <xdr:rowOff>22860</xdr:rowOff>
        </xdr:to>
        <xdr:sp macro="" textlink="">
          <xdr:nvSpPr>
            <xdr:cNvPr id="507906" name="Button 2" hidden="1">
              <a:extLst>
                <a:ext uri="{63B3BB69-23CF-44E3-9099-C40C66FF867C}">
                  <a14:compatExt spid="_x0000_s507906"/>
                </a:ext>
                <a:ext uri="{FF2B5EF4-FFF2-40B4-BE49-F238E27FC236}">
                  <a16:creationId xmlns:a16="http://schemas.microsoft.com/office/drawing/2014/main" id="{00000000-0008-0000-0100-000002C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1714500</xdr:colOff>
          <xdr:row>0</xdr:row>
          <xdr:rowOff>83820</xdr:rowOff>
        </xdr:from>
        <xdr:to>
          <xdr:col>9</xdr:col>
          <xdr:colOff>2430780</xdr:colOff>
          <xdr:row>3</xdr:row>
          <xdr:rowOff>7620</xdr:rowOff>
        </xdr:to>
        <xdr:sp macro="" textlink="">
          <xdr:nvSpPr>
            <xdr:cNvPr id="507907" name="Button 3" hidden="1">
              <a:extLst>
                <a:ext uri="{63B3BB69-23CF-44E3-9099-C40C66FF867C}">
                  <a14:compatExt spid="_x0000_s507907"/>
                </a:ext>
                <a:ext uri="{FF2B5EF4-FFF2-40B4-BE49-F238E27FC236}">
                  <a16:creationId xmlns:a16="http://schemas.microsoft.com/office/drawing/2014/main" id="{00000000-0008-0000-0100-000003C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Write to DBFs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0</xdr:row>
          <xdr:rowOff>76200</xdr:rowOff>
        </xdr:from>
        <xdr:to>
          <xdr:col>7</xdr:col>
          <xdr:colOff>830580</xdr:colOff>
          <xdr:row>2</xdr:row>
          <xdr:rowOff>182880</xdr:rowOff>
        </xdr:to>
        <xdr:sp macro="" textlink="">
          <xdr:nvSpPr>
            <xdr:cNvPr id="507908" name="Button 4" hidden="1">
              <a:extLst>
                <a:ext uri="{63B3BB69-23CF-44E3-9099-C40C66FF867C}">
                  <a14:compatExt spid="_x0000_s507908"/>
                </a:ext>
                <a:ext uri="{FF2B5EF4-FFF2-40B4-BE49-F238E27FC236}">
                  <a16:creationId xmlns:a16="http://schemas.microsoft.com/office/drawing/2014/main" id="{00000000-0008-0000-0100-000004C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Outputs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2895600</xdr:colOff>
          <xdr:row>0</xdr:row>
          <xdr:rowOff>114300</xdr:rowOff>
        </xdr:from>
        <xdr:to>
          <xdr:col>9</xdr:col>
          <xdr:colOff>3733800</xdr:colOff>
          <xdr:row>2</xdr:row>
          <xdr:rowOff>121920</xdr:rowOff>
        </xdr:to>
        <xdr:sp macro="" textlink="">
          <xdr:nvSpPr>
            <xdr:cNvPr id="507909" name="Button 5" hidden="1">
              <a:extLst>
                <a:ext uri="{63B3BB69-23CF-44E3-9099-C40C66FF867C}">
                  <a14:compatExt spid="_x0000_s507909"/>
                </a:ext>
                <a:ext uri="{FF2B5EF4-FFF2-40B4-BE49-F238E27FC236}">
                  <a16:creationId xmlns:a16="http://schemas.microsoft.com/office/drawing/2014/main" id="{00000000-0008-0000-0100-000005C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UpdateAll UDTs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137160</xdr:colOff>
          <xdr:row>0</xdr:row>
          <xdr:rowOff>76200</xdr:rowOff>
        </xdr:from>
        <xdr:to>
          <xdr:col>8</xdr:col>
          <xdr:colOff>807720</xdr:colOff>
          <xdr:row>2</xdr:row>
          <xdr:rowOff>182880</xdr:rowOff>
        </xdr:to>
        <xdr:sp macro="" textlink="">
          <xdr:nvSpPr>
            <xdr:cNvPr id="507910" name="Button 6" hidden="1">
              <a:extLst>
                <a:ext uri="{63B3BB69-23CF-44E3-9099-C40C66FF867C}">
                  <a14:compatExt spid="_x0000_s507910"/>
                </a:ext>
                <a:ext uri="{FF2B5EF4-FFF2-40B4-BE49-F238E27FC236}">
                  <a16:creationId xmlns:a16="http://schemas.microsoft.com/office/drawing/2014/main" id="{00000000-0008-0000-0100-000006C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Super Clear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1866900</xdr:colOff>
          <xdr:row>1</xdr:row>
          <xdr:rowOff>7620</xdr:rowOff>
        </xdr:from>
        <xdr:to>
          <xdr:col>21</xdr:col>
          <xdr:colOff>3078480</xdr:colOff>
          <xdr:row>2</xdr:row>
          <xdr:rowOff>114300</xdr:rowOff>
        </xdr:to>
        <xdr:sp macro="" textlink="">
          <xdr:nvSpPr>
            <xdr:cNvPr id="507911" name="Button 7" hidden="1">
              <a:extLst>
                <a:ext uri="{63B3BB69-23CF-44E3-9099-C40C66FF867C}">
                  <a14:compatExt spid="_x0000_s507911"/>
                </a:ext>
                <a:ext uri="{FF2B5EF4-FFF2-40B4-BE49-F238E27FC236}">
                  <a16:creationId xmlns:a16="http://schemas.microsoft.com/office/drawing/2014/main" id="{00000000-0008-0000-0100-000007C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L5K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1531620</xdr:colOff>
          <xdr:row>0</xdr:row>
          <xdr:rowOff>114300</xdr:rowOff>
        </xdr:from>
        <xdr:to>
          <xdr:col>8</xdr:col>
          <xdr:colOff>3162300</xdr:colOff>
          <xdr:row>3</xdr:row>
          <xdr:rowOff>45720</xdr:rowOff>
        </xdr:to>
        <xdr:sp macro="" textlink="">
          <xdr:nvSpPr>
            <xdr:cNvPr id="507912" name="Button 8" hidden="1">
              <a:extLst>
                <a:ext uri="{63B3BB69-23CF-44E3-9099-C40C66FF867C}">
                  <a14:compatExt spid="_x0000_s507912"/>
                </a:ext>
                <a:ext uri="{FF2B5EF4-FFF2-40B4-BE49-F238E27FC236}">
                  <a16:creationId xmlns:a16="http://schemas.microsoft.com/office/drawing/2014/main" id="{00000000-0008-0000-0100-000008C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3366FF"/>
                  </a:solidFill>
                  <a:latin typeface="Calibri"/>
                  <a:ea typeface="Calibri"/>
                  <a:cs typeface="Calibri"/>
                </a:rPr>
                <a:t>Generate Tags + Write DBFs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1851660</xdr:colOff>
          <xdr:row>0</xdr:row>
          <xdr:rowOff>22860</xdr:rowOff>
        </xdr:from>
        <xdr:to>
          <xdr:col>3</xdr:col>
          <xdr:colOff>2369820</xdr:colOff>
          <xdr:row>1</xdr:row>
          <xdr:rowOff>7620</xdr:rowOff>
        </xdr:to>
        <xdr:sp macro="" textlink="">
          <xdr:nvSpPr>
            <xdr:cNvPr id="9408513" name="Button 1" hidden="1">
              <a:extLst>
                <a:ext uri="{63B3BB69-23CF-44E3-9099-C40C66FF867C}">
                  <a14:compatExt spid="_x0000_s9408513"/>
                </a:ext>
                <a:ext uri="{FF2B5EF4-FFF2-40B4-BE49-F238E27FC236}">
                  <a16:creationId xmlns:a16="http://schemas.microsoft.com/office/drawing/2014/main" id="{00000000-0008-0000-0200-000001908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L5K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0</xdr:row>
          <xdr:rowOff>68580</xdr:rowOff>
        </xdr:from>
        <xdr:to>
          <xdr:col>2</xdr:col>
          <xdr:colOff>1165860</xdr:colOff>
          <xdr:row>0</xdr:row>
          <xdr:rowOff>342900</xdr:rowOff>
        </xdr:to>
        <xdr:sp macro="" textlink="">
          <xdr:nvSpPr>
            <xdr:cNvPr id="948225" name="Config_Vis" hidden="1">
              <a:extLst>
                <a:ext uri="{63B3BB69-23CF-44E3-9099-C40C66FF867C}">
                  <a14:compatExt spid="_x0000_s948225"/>
                </a:ext>
                <a:ext uri="{FF2B5EF4-FFF2-40B4-BE49-F238E27FC236}">
                  <a16:creationId xmlns:a16="http://schemas.microsoft.com/office/drawing/2014/main" id="{00000000-0008-0000-1300-0000017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1150620</xdr:colOff>
          <xdr:row>0</xdr:row>
          <xdr:rowOff>60960</xdr:rowOff>
        </xdr:from>
        <xdr:to>
          <xdr:col>2</xdr:col>
          <xdr:colOff>1554480</xdr:colOff>
          <xdr:row>0</xdr:row>
          <xdr:rowOff>335280</xdr:rowOff>
        </xdr:to>
        <xdr:sp macro="" textlink="">
          <xdr:nvSpPr>
            <xdr:cNvPr id="948226" name="Variable_Vis" hidden="1">
              <a:extLst>
                <a:ext uri="{63B3BB69-23CF-44E3-9099-C40C66FF867C}">
                  <a14:compatExt spid="_x0000_s948226"/>
                </a:ext>
                <a:ext uri="{FF2B5EF4-FFF2-40B4-BE49-F238E27FC236}">
                  <a16:creationId xmlns:a16="http://schemas.microsoft.com/office/drawing/2014/main" id="{00000000-0008-0000-1300-0000027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1562100</xdr:colOff>
          <xdr:row>0</xdr:row>
          <xdr:rowOff>60960</xdr:rowOff>
        </xdr:from>
        <xdr:to>
          <xdr:col>2</xdr:col>
          <xdr:colOff>2156460</xdr:colOff>
          <xdr:row>0</xdr:row>
          <xdr:rowOff>335280</xdr:rowOff>
        </xdr:to>
        <xdr:sp macro="" textlink="">
          <xdr:nvSpPr>
            <xdr:cNvPr id="948227" name="Digalm_Vis" hidden="1">
              <a:extLst>
                <a:ext uri="{63B3BB69-23CF-44E3-9099-C40C66FF867C}">
                  <a14:compatExt spid="_x0000_s948227"/>
                </a:ext>
                <a:ext uri="{FF2B5EF4-FFF2-40B4-BE49-F238E27FC236}">
                  <a16:creationId xmlns:a16="http://schemas.microsoft.com/office/drawing/2014/main" id="{00000000-0008-0000-1300-0000037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2156460</xdr:colOff>
          <xdr:row>0</xdr:row>
          <xdr:rowOff>60960</xdr:rowOff>
        </xdr:from>
        <xdr:to>
          <xdr:col>2</xdr:col>
          <xdr:colOff>2705100</xdr:colOff>
          <xdr:row>0</xdr:row>
          <xdr:rowOff>335280</xdr:rowOff>
        </xdr:to>
        <xdr:sp macro="" textlink="">
          <xdr:nvSpPr>
            <xdr:cNvPr id="948228" name="Trend_Vis" hidden="1">
              <a:extLst>
                <a:ext uri="{63B3BB69-23CF-44E3-9099-C40C66FF867C}">
                  <a14:compatExt spid="_x0000_s948228"/>
                </a:ext>
                <a:ext uri="{FF2B5EF4-FFF2-40B4-BE49-F238E27FC236}">
                  <a16:creationId xmlns:a16="http://schemas.microsoft.com/office/drawing/2014/main" id="{00000000-0008-0000-1300-0000047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68580</xdr:rowOff>
        </xdr:from>
        <xdr:to>
          <xdr:col>2</xdr:col>
          <xdr:colOff>601980</xdr:colOff>
          <xdr:row>0</xdr:row>
          <xdr:rowOff>342900</xdr:rowOff>
        </xdr:to>
        <xdr:sp macro="" textlink="">
          <xdr:nvSpPr>
            <xdr:cNvPr id="948229" name="Import_Vis" hidden="1">
              <a:extLst>
                <a:ext uri="{63B3BB69-23CF-44E3-9099-C40C66FF867C}">
                  <a14:compatExt spid="_x0000_s948229"/>
                </a:ext>
                <a:ext uri="{FF2B5EF4-FFF2-40B4-BE49-F238E27FC236}">
                  <a16:creationId xmlns:a16="http://schemas.microsoft.com/office/drawing/2014/main" id="{00000000-0008-0000-1300-0000057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</xdr:row>
          <xdr:rowOff>60960</xdr:rowOff>
        </xdr:from>
        <xdr:to>
          <xdr:col>2</xdr:col>
          <xdr:colOff>1508760</xdr:colOff>
          <xdr:row>1</xdr:row>
          <xdr:rowOff>236220</xdr:rowOff>
        </xdr:to>
        <xdr:sp macro="" textlink="">
          <xdr:nvSpPr>
            <xdr:cNvPr id="948230" name="Button 6" descr="Apply top row" hidden="1">
              <a:extLst>
                <a:ext uri="{63B3BB69-23CF-44E3-9099-C40C66FF867C}">
                  <a14:compatExt spid="_x0000_s948230"/>
                </a:ext>
                <a:ext uri="{FF2B5EF4-FFF2-40B4-BE49-F238E27FC236}">
                  <a16:creationId xmlns:a16="http://schemas.microsoft.com/office/drawing/2014/main" id="{00000000-0008-0000-1300-0000067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Apply top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1783080</xdr:colOff>
          <xdr:row>1</xdr:row>
          <xdr:rowOff>60960</xdr:rowOff>
        </xdr:from>
        <xdr:to>
          <xdr:col>2</xdr:col>
          <xdr:colOff>3108960</xdr:colOff>
          <xdr:row>1</xdr:row>
          <xdr:rowOff>251460</xdr:rowOff>
        </xdr:to>
        <xdr:sp macro="" textlink="">
          <xdr:nvSpPr>
            <xdr:cNvPr id="948232" name="Button 8" hidden="1">
              <a:extLst>
                <a:ext uri="{63B3BB69-23CF-44E3-9099-C40C66FF867C}">
                  <a14:compatExt spid="_x0000_s948232"/>
                </a:ext>
                <a:ext uri="{FF2B5EF4-FFF2-40B4-BE49-F238E27FC236}">
                  <a16:creationId xmlns:a16="http://schemas.microsoft.com/office/drawing/2014/main" id="{00000000-0008-0000-1300-0000087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2697480</xdr:colOff>
          <xdr:row>0</xdr:row>
          <xdr:rowOff>60960</xdr:rowOff>
        </xdr:from>
        <xdr:to>
          <xdr:col>2</xdr:col>
          <xdr:colOff>3093720</xdr:colOff>
          <xdr:row>0</xdr:row>
          <xdr:rowOff>335280</xdr:rowOff>
        </xdr:to>
        <xdr:sp macro="" textlink="">
          <xdr:nvSpPr>
            <xdr:cNvPr id="948235" name="PV_Vis" hidden="1">
              <a:extLst>
                <a:ext uri="{63B3BB69-23CF-44E3-9099-C40C66FF867C}">
                  <a14:compatExt spid="_x0000_s948235"/>
                </a:ext>
                <a:ext uri="{FF2B5EF4-FFF2-40B4-BE49-F238E27FC236}">
                  <a16:creationId xmlns:a16="http://schemas.microsoft.com/office/drawing/2014/main" id="{00000000-0008-0000-1300-00000B7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1</xdr:row>
          <xdr:rowOff>60960</xdr:rowOff>
        </xdr:from>
        <xdr:to>
          <xdr:col>4</xdr:col>
          <xdr:colOff>350520</xdr:colOff>
          <xdr:row>1</xdr:row>
          <xdr:rowOff>502920</xdr:rowOff>
        </xdr:to>
        <xdr:sp macro="" textlink="">
          <xdr:nvSpPr>
            <xdr:cNvPr id="948239" name="Button 15" hidden="1">
              <a:extLst>
                <a:ext uri="{63B3BB69-23CF-44E3-9099-C40C66FF867C}">
                  <a14:compatExt spid="_x0000_s948239"/>
                </a:ext>
                <a:ext uri="{FF2B5EF4-FFF2-40B4-BE49-F238E27FC236}">
                  <a16:creationId xmlns:a16="http://schemas.microsoft.com/office/drawing/2014/main" id="{00000000-0008-0000-1300-00000F7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from UDT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403860</xdr:colOff>
          <xdr:row>1</xdr:row>
          <xdr:rowOff>68580</xdr:rowOff>
        </xdr:from>
        <xdr:to>
          <xdr:col>6</xdr:col>
          <xdr:colOff>259080</xdr:colOff>
          <xdr:row>1</xdr:row>
          <xdr:rowOff>518160</xdr:rowOff>
        </xdr:to>
        <xdr:sp macro="" textlink="">
          <xdr:nvSpPr>
            <xdr:cNvPr id="948241" name="Button 17" hidden="1">
              <a:extLst>
                <a:ext uri="{63B3BB69-23CF-44E3-9099-C40C66FF867C}">
                  <a14:compatExt spid="_x0000_s948241"/>
                </a:ext>
                <a:ext uri="{FF2B5EF4-FFF2-40B4-BE49-F238E27FC236}">
                  <a16:creationId xmlns:a16="http://schemas.microsoft.com/office/drawing/2014/main" id="{00000000-0008-0000-1300-0000117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UDT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1</xdr:row>
          <xdr:rowOff>190500</xdr:rowOff>
        </xdr:from>
        <xdr:to>
          <xdr:col>23</xdr:col>
          <xdr:colOff>487680</xdr:colOff>
          <xdr:row>1</xdr:row>
          <xdr:rowOff>373380</xdr:rowOff>
        </xdr:to>
        <xdr:sp macro="" textlink="">
          <xdr:nvSpPr>
            <xdr:cNvPr id="948242" name="Button 18" hidden="1">
              <a:extLst>
                <a:ext uri="{63B3BB69-23CF-44E3-9099-C40C66FF867C}">
                  <a14:compatExt spid="_x0000_s948242"/>
                </a:ext>
                <a:ext uri="{FF2B5EF4-FFF2-40B4-BE49-F238E27FC236}">
                  <a16:creationId xmlns:a16="http://schemas.microsoft.com/office/drawing/2014/main" id="{00000000-0008-0000-1300-0000127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L5K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0</xdr:row>
          <xdr:rowOff>68580</xdr:rowOff>
        </xdr:from>
        <xdr:to>
          <xdr:col>2</xdr:col>
          <xdr:colOff>1097280</xdr:colOff>
          <xdr:row>0</xdr:row>
          <xdr:rowOff>312420</xdr:rowOff>
        </xdr:to>
        <xdr:sp macro="" textlink="">
          <xdr:nvSpPr>
            <xdr:cNvPr id="13769729" name="Config_Vis" hidden="1">
              <a:extLst>
                <a:ext uri="{63B3BB69-23CF-44E3-9099-C40C66FF867C}">
                  <a14:compatExt spid="_x0000_s13769729"/>
                </a:ext>
                <a:ext uri="{FF2B5EF4-FFF2-40B4-BE49-F238E27FC236}">
                  <a16:creationId xmlns:a16="http://schemas.microsoft.com/office/drawing/2014/main" id="{00000000-0008-0000-1400-0000011C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1150620</xdr:colOff>
          <xdr:row>0</xdr:row>
          <xdr:rowOff>60960</xdr:rowOff>
        </xdr:from>
        <xdr:to>
          <xdr:col>2</xdr:col>
          <xdr:colOff>1508760</xdr:colOff>
          <xdr:row>0</xdr:row>
          <xdr:rowOff>304800</xdr:rowOff>
        </xdr:to>
        <xdr:sp macro="" textlink="">
          <xdr:nvSpPr>
            <xdr:cNvPr id="13769730" name="Variable_Vis" hidden="1">
              <a:extLst>
                <a:ext uri="{63B3BB69-23CF-44E3-9099-C40C66FF867C}">
                  <a14:compatExt spid="_x0000_s13769730"/>
                </a:ext>
                <a:ext uri="{FF2B5EF4-FFF2-40B4-BE49-F238E27FC236}">
                  <a16:creationId xmlns:a16="http://schemas.microsoft.com/office/drawing/2014/main" id="{00000000-0008-0000-1400-0000021C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1562100</xdr:colOff>
          <xdr:row>0</xdr:row>
          <xdr:rowOff>60960</xdr:rowOff>
        </xdr:from>
        <xdr:to>
          <xdr:col>2</xdr:col>
          <xdr:colOff>2087880</xdr:colOff>
          <xdr:row>0</xdr:row>
          <xdr:rowOff>304800</xdr:rowOff>
        </xdr:to>
        <xdr:sp macro="" textlink="">
          <xdr:nvSpPr>
            <xdr:cNvPr id="13769731" name="Digalm_Vis" hidden="1">
              <a:extLst>
                <a:ext uri="{63B3BB69-23CF-44E3-9099-C40C66FF867C}">
                  <a14:compatExt spid="_x0000_s13769731"/>
                </a:ext>
                <a:ext uri="{FF2B5EF4-FFF2-40B4-BE49-F238E27FC236}">
                  <a16:creationId xmlns:a16="http://schemas.microsoft.com/office/drawing/2014/main" id="{00000000-0008-0000-1400-0000031C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2156460</xdr:colOff>
          <xdr:row>0</xdr:row>
          <xdr:rowOff>60960</xdr:rowOff>
        </xdr:from>
        <xdr:to>
          <xdr:col>2</xdr:col>
          <xdr:colOff>2628900</xdr:colOff>
          <xdr:row>0</xdr:row>
          <xdr:rowOff>304800</xdr:rowOff>
        </xdr:to>
        <xdr:sp macro="" textlink="">
          <xdr:nvSpPr>
            <xdr:cNvPr id="13769732" name="Trend_Vis" hidden="1">
              <a:extLst>
                <a:ext uri="{63B3BB69-23CF-44E3-9099-C40C66FF867C}">
                  <a14:compatExt spid="_x0000_s13769732"/>
                </a:ext>
                <a:ext uri="{FF2B5EF4-FFF2-40B4-BE49-F238E27FC236}">
                  <a16:creationId xmlns:a16="http://schemas.microsoft.com/office/drawing/2014/main" id="{00000000-0008-0000-1400-0000041C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68580</xdr:rowOff>
        </xdr:from>
        <xdr:to>
          <xdr:col>2</xdr:col>
          <xdr:colOff>533400</xdr:colOff>
          <xdr:row>0</xdr:row>
          <xdr:rowOff>312420</xdr:rowOff>
        </xdr:to>
        <xdr:sp macro="" textlink="">
          <xdr:nvSpPr>
            <xdr:cNvPr id="13769733" name="Import_Vis" hidden="1">
              <a:extLst>
                <a:ext uri="{63B3BB69-23CF-44E3-9099-C40C66FF867C}">
                  <a14:compatExt spid="_x0000_s13769733"/>
                </a:ext>
                <a:ext uri="{FF2B5EF4-FFF2-40B4-BE49-F238E27FC236}">
                  <a16:creationId xmlns:a16="http://schemas.microsoft.com/office/drawing/2014/main" id="{00000000-0008-0000-1400-0000051C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</xdr:row>
          <xdr:rowOff>60960</xdr:rowOff>
        </xdr:from>
        <xdr:to>
          <xdr:col>2</xdr:col>
          <xdr:colOff>1508760</xdr:colOff>
          <xdr:row>1</xdr:row>
          <xdr:rowOff>236220</xdr:rowOff>
        </xdr:to>
        <xdr:sp macro="" textlink="">
          <xdr:nvSpPr>
            <xdr:cNvPr id="13769734" name="Button 6" descr="Apply top row" hidden="1">
              <a:extLst>
                <a:ext uri="{63B3BB69-23CF-44E3-9099-C40C66FF867C}">
                  <a14:compatExt spid="_x0000_s13769734"/>
                </a:ext>
                <a:ext uri="{FF2B5EF4-FFF2-40B4-BE49-F238E27FC236}">
                  <a16:creationId xmlns:a16="http://schemas.microsoft.com/office/drawing/2014/main" id="{00000000-0008-0000-1400-0000061C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Apply top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1783080</xdr:colOff>
          <xdr:row>1</xdr:row>
          <xdr:rowOff>60960</xdr:rowOff>
        </xdr:from>
        <xdr:to>
          <xdr:col>2</xdr:col>
          <xdr:colOff>3108960</xdr:colOff>
          <xdr:row>1</xdr:row>
          <xdr:rowOff>251460</xdr:rowOff>
        </xdr:to>
        <xdr:sp macro="" textlink="">
          <xdr:nvSpPr>
            <xdr:cNvPr id="13769735" name="Button 7" hidden="1">
              <a:extLst>
                <a:ext uri="{63B3BB69-23CF-44E3-9099-C40C66FF867C}">
                  <a14:compatExt spid="_x0000_s13769735"/>
                </a:ext>
                <a:ext uri="{FF2B5EF4-FFF2-40B4-BE49-F238E27FC236}">
                  <a16:creationId xmlns:a16="http://schemas.microsoft.com/office/drawing/2014/main" id="{00000000-0008-0000-1400-0000071C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2697480</xdr:colOff>
          <xdr:row>0</xdr:row>
          <xdr:rowOff>60960</xdr:rowOff>
        </xdr:from>
        <xdr:to>
          <xdr:col>2</xdr:col>
          <xdr:colOff>3048000</xdr:colOff>
          <xdr:row>0</xdr:row>
          <xdr:rowOff>304800</xdr:rowOff>
        </xdr:to>
        <xdr:sp macro="" textlink="">
          <xdr:nvSpPr>
            <xdr:cNvPr id="13769736" name="PV_Vis" hidden="1">
              <a:extLst>
                <a:ext uri="{63B3BB69-23CF-44E3-9099-C40C66FF867C}">
                  <a14:compatExt spid="_x0000_s13769736"/>
                </a:ext>
                <a:ext uri="{FF2B5EF4-FFF2-40B4-BE49-F238E27FC236}">
                  <a16:creationId xmlns:a16="http://schemas.microsoft.com/office/drawing/2014/main" id="{00000000-0008-0000-1400-0000081C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1</xdr:row>
          <xdr:rowOff>60960</xdr:rowOff>
        </xdr:from>
        <xdr:to>
          <xdr:col>4</xdr:col>
          <xdr:colOff>350520</xdr:colOff>
          <xdr:row>1</xdr:row>
          <xdr:rowOff>502920</xdr:rowOff>
        </xdr:to>
        <xdr:sp macro="" textlink="">
          <xdr:nvSpPr>
            <xdr:cNvPr id="13769737" name="Button 9" hidden="1">
              <a:extLst>
                <a:ext uri="{63B3BB69-23CF-44E3-9099-C40C66FF867C}">
                  <a14:compatExt spid="_x0000_s13769737"/>
                </a:ext>
                <a:ext uri="{FF2B5EF4-FFF2-40B4-BE49-F238E27FC236}">
                  <a16:creationId xmlns:a16="http://schemas.microsoft.com/office/drawing/2014/main" id="{00000000-0008-0000-1400-0000091C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from UDT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403860</xdr:colOff>
          <xdr:row>1</xdr:row>
          <xdr:rowOff>68580</xdr:rowOff>
        </xdr:from>
        <xdr:to>
          <xdr:col>6</xdr:col>
          <xdr:colOff>259080</xdr:colOff>
          <xdr:row>1</xdr:row>
          <xdr:rowOff>518160</xdr:rowOff>
        </xdr:to>
        <xdr:sp macro="" textlink="">
          <xdr:nvSpPr>
            <xdr:cNvPr id="13769738" name="Button 10" hidden="1">
              <a:extLst>
                <a:ext uri="{63B3BB69-23CF-44E3-9099-C40C66FF867C}">
                  <a14:compatExt spid="_x0000_s13769738"/>
                </a:ext>
                <a:ext uri="{FF2B5EF4-FFF2-40B4-BE49-F238E27FC236}">
                  <a16:creationId xmlns:a16="http://schemas.microsoft.com/office/drawing/2014/main" id="{00000000-0008-0000-1400-00000A1C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UDT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1</xdr:row>
          <xdr:rowOff>190500</xdr:rowOff>
        </xdr:from>
        <xdr:to>
          <xdr:col>23</xdr:col>
          <xdr:colOff>487680</xdr:colOff>
          <xdr:row>1</xdr:row>
          <xdr:rowOff>373380</xdr:rowOff>
        </xdr:to>
        <xdr:sp macro="" textlink="">
          <xdr:nvSpPr>
            <xdr:cNvPr id="13769739" name="Button 11" hidden="1">
              <a:extLst>
                <a:ext uri="{63B3BB69-23CF-44E3-9099-C40C66FF867C}">
                  <a14:compatExt spid="_x0000_s13769739"/>
                </a:ext>
                <a:ext uri="{FF2B5EF4-FFF2-40B4-BE49-F238E27FC236}">
                  <a16:creationId xmlns:a16="http://schemas.microsoft.com/office/drawing/2014/main" id="{00000000-0008-0000-1400-00000B1C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L5K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0</xdr:row>
          <xdr:rowOff>68580</xdr:rowOff>
        </xdr:from>
        <xdr:to>
          <xdr:col>2</xdr:col>
          <xdr:colOff>1097280</xdr:colOff>
          <xdr:row>0</xdr:row>
          <xdr:rowOff>312420</xdr:rowOff>
        </xdr:to>
        <xdr:sp macro="" textlink="">
          <xdr:nvSpPr>
            <xdr:cNvPr id="13770753" name="Config_Vis" hidden="1">
              <a:extLst>
                <a:ext uri="{63B3BB69-23CF-44E3-9099-C40C66FF867C}">
                  <a14:compatExt spid="_x0000_s13770753"/>
                </a:ext>
                <a:ext uri="{FF2B5EF4-FFF2-40B4-BE49-F238E27FC236}">
                  <a16:creationId xmlns:a16="http://schemas.microsoft.com/office/drawing/2014/main" id="{00000000-0008-0000-1500-00000120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1150620</xdr:colOff>
          <xdr:row>0</xdr:row>
          <xdr:rowOff>60960</xdr:rowOff>
        </xdr:from>
        <xdr:to>
          <xdr:col>2</xdr:col>
          <xdr:colOff>1508760</xdr:colOff>
          <xdr:row>0</xdr:row>
          <xdr:rowOff>304800</xdr:rowOff>
        </xdr:to>
        <xdr:sp macro="" textlink="">
          <xdr:nvSpPr>
            <xdr:cNvPr id="13770754" name="Variable_Vis" hidden="1">
              <a:extLst>
                <a:ext uri="{63B3BB69-23CF-44E3-9099-C40C66FF867C}">
                  <a14:compatExt spid="_x0000_s13770754"/>
                </a:ext>
                <a:ext uri="{FF2B5EF4-FFF2-40B4-BE49-F238E27FC236}">
                  <a16:creationId xmlns:a16="http://schemas.microsoft.com/office/drawing/2014/main" id="{00000000-0008-0000-1500-00000220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1562100</xdr:colOff>
          <xdr:row>0</xdr:row>
          <xdr:rowOff>60960</xdr:rowOff>
        </xdr:from>
        <xdr:to>
          <xdr:col>2</xdr:col>
          <xdr:colOff>2087880</xdr:colOff>
          <xdr:row>0</xdr:row>
          <xdr:rowOff>304800</xdr:rowOff>
        </xdr:to>
        <xdr:sp macro="" textlink="">
          <xdr:nvSpPr>
            <xdr:cNvPr id="13770755" name="Digalm_Vis" hidden="1">
              <a:extLst>
                <a:ext uri="{63B3BB69-23CF-44E3-9099-C40C66FF867C}">
                  <a14:compatExt spid="_x0000_s13770755"/>
                </a:ext>
                <a:ext uri="{FF2B5EF4-FFF2-40B4-BE49-F238E27FC236}">
                  <a16:creationId xmlns:a16="http://schemas.microsoft.com/office/drawing/2014/main" id="{00000000-0008-0000-1500-00000320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2156460</xdr:colOff>
          <xdr:row>0</xdr:row>
          <xdr:rowOff>60960</xdr:rowOff>
        </xdr:from>
        <xdr:to>
          <xdr:col>2</xdr:col>
          <xdr:colOff>2628900</xdr:colOff>
          <xdr:row>0</xdr:row>
          <xdr:rowOff>304800</xdr:rowOff>
        </xdr:to>
        <xdr:sp macro="" textlink="">
          <xdr:nvSpPr>
            <xdr:cNvPr id="13770756" name="Trend_Vis" hidden="1">
              <a:extLst>
                <a:ext uri="{63B3BB69-23CF-44E3-9099-C40C66FF867C}">
                  <a14:compatExt spid="_x0000_s13770756"/>
                </a:ext>
                <a:ext uri="{FF2B5EF4-FFF2-40B4-BE49-F238E27FC236}">
                  <a16:creationId xmlns:a16="http://schemas.microsoft.com/office/drawing/2014/main" id="{00000000-0008-0000-1500-00000420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68580</xdr:rowOff>
        </xdr:from>
        <xdr:to>
          <xdr:col>2</xdr:col>
          <xdr:colOff>533400</xdr:colOff>
          <xdr:row>0</xdr:row>
          <xdr:rowOff>312420</xdr:rowOff>
        </xdr:to>
        <xdr:sp macro="" textlink="">
          <xdr:nvSpPr>
            <xdr:cNvPr id="13770757" name="Import_Vis" hidden="1">
              <a:extLst>
                <a:ext uri="{63B3BB69-23CF-44E3-9099-C40C66FF867C}">
                  <a14:compatExt spid="_x0000_s13770757"/>
                </a:ext>
                <a:ext uri="{FF2B5EF4-FFF2-40B4-BE49-F238E27FC236}">
                  <a16:creationId xmlns:a16="http://schemas.microsoft.com/office/drawing/2014/main" id="{00000000-0008-0000-1500-00000520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</xdr:row>
          <xdr:rowOff>60960</xdr:rowOff>
        </xdr:from>
        <xdr:to>
          <xdr:col>2</xdr:col>
          <xdr:colOff>1508760</xdr:colOff>
          <xdr:row>1</xdr:row>
          <xdr:rowOff>236220</xdr:rowOff>
        </xdr:to>
        <xdr:sp macro="" textlink="">
          <xdr:nvSpPr>
            <xdr:cNvPr id="13770758" name="Button 6" descr="Apply top row" hidden="1">
              <a:extLst>
                <a:ext uri="{63B3BB69-23CF-44E3-9099-C40C66FF867C}">
                  <a14:compatExt spid="_x0000_s13770758"/>
                </a:ext>
                <a:ext uri="{FF2B5EF4-FFF2-40B4-BE49-F238E27FC236}">
                  <a16:creationId xmlns:a16="http://schemas.microsoft.com/office/drawing/2014/main" id="{00000000-0008-0000-1500-00000620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Apply top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1783080</xdr:colOff>
          <xdr:row>1</xdr:row>
          <xdr:rowOff>60960</xdr:rowOff>
        </xdr:from>
        <xdr:to>
          <xdr:col>2</xdr:col>
          <xdr:colOff>3108960</xdr:colOff>
          <xdr:row>1</xdr:row>
          <xdr:rowOff>251460</xdr:rowOff>
        </xdr:to>
        <xdr:sp macro="" textlink="">
          <xdr:nvSpPr>
            <xdr:cNvPr id="13770759" name="Button 7" hidden="1">
              <a:extLst>
                <a:ext uri="{63B3BB69-23CF-44E3-9099-C40C66FF867C}">
                  <a14:compatExt spid="_x0000_s13770759"/>
                </a:ext>
                <a:ext uri="{FF2B5EF4-FFF2-40B4-BE49-F238E27FC236}">
                  <a16:creationId xmlns:a16="http://schemas.microsoft.com/office/drawing/2014/main" id="{00000000-0008-0000-1500-00000720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2697480</xdr:colOff>
          <xdr:row>0</xdr:row>
          <xdr:rowOff>60960</xdr:rowOff>
        </xdr:from>
        <xdr:to>
          <xdr:col>2</xdr:col>
          <xdr:colOff>3048000</xdr:colOff>
          <xdr:row>0</xdr:row>
          <xdr:rowOff>304800</xdr:rowOff>
        </xdr:to>
        <xdr:sp macro="" textlink="">
          <xdr:nvSpPr>
            <xdr:cNvPr id="13770760" name="PV_Vis" hidden="1">
              <a:extLst>
                <a:ext uri="{63B3BB69-23CF-44E3-9099-C40C66FF867C}">
                  <a14:compatExt spid="_x0000_s13770760"/>
                </a:ext>
                <a:ext uri="{FF2B5EF4-FFF2-40B4-BE49-F238E27FC236}">
                  <a16:creationId xmlns:a16="http://schemas.microsoft.com/office/drawing/2014/main" id="{00000000-0008-0000-1500-00000820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1</xdr:row>
          <xdr:rowOff>60960</xdr:rowOff>
        </xdr:from>
        <xdr:to>
          <xdr:col>4</xdr:col>
          <xdr:colOff>350520</xdr:colOff>
          <xdr:row>1</xdr:row>
          <xdr:rowOff>502920</xdr:rowOff>
        </xdr:to>
        <xdr:sp macro="" textlink="">
          <xdr:nvSpPr>
            <xdr:cNvPr id="13770761" name="Button 9" hidden="1">
              <a:extLst>
                <a:ext uri="{63B3BB69-23CF-44E3-9099-C40C66FF867C}">
                  <a14:compatExt spid="_x0000_s13770761"/>
                </a:ext>
                <a:ext uri="{FF2B5EF4-FFF2-40B4-BE49-F238E27FC236}">
                  <a16:creationId xmlns:a16="http://schemas.microsoft.com/office/drawing/2014/main" id="{00000000-0008-0000-1500-00000920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from UDT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403860</xdr:colOff>
          <xdr:row>1</xdr:row>
          <xdr:rowOff>68580</xdr:rowOff>
        </xdr:from>
        <xdr:to>
          <xdr:col>6</xdr:col>
          <xdr:colOff>259080</xdr:colOff>
          <xdr:row>1</xdr:row>
          <xdr:rowOff>518160</xdr:rowOff>
        </xdr:to>
        <xdr:sp macro="" textlink="">
          <xdr:nvSpPr>
            <xdr:cNvPr id="13770762" name="Button 10" hidden="1">
              <a:extLst>
                <a:ext uri="{63B3BB69-23CF-44E3-9099-C40C66FF867C}">
                  <a14:compatExt spid="_x0000_s13770762"/>
                </a:ext>
                <a:ext uri="{FF2B5EF4-FFF2-40B4-BE49-F238E27FC236}">
                  <a16:creationId xmlns:a16="http://schemas.microsoft.com/office/drawing/2014/main" id="{00000000-0008-0000-1500-00000A20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UDT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1</xdr:row>
          <xdr:rowOff>190500</xdr:rowOff>
        </xdr:from>
        <xdr:to>
          <xdr:col>23</xdr:col>
          <xdr:colOff>487680</xdr:colOff>
          <xdr:row>1</xdr:row>
          <xdr:rowOff>373380</xdr:rowOff>
        </xdr:to>
        <xdr:sp macro="" textlink="">
          <xdr:nvSpPr>
            <xdr:cNvPr id="13770763" name="Button 11" hidden="1">
              <a:extLst>
                <a:ext uri="{63B3BB69-23CF-44E3-9099-C40C66FF867C}">
                  <a14:compatExt spid="_x0000_s13770763"/>
                </a:ext>
                <a:ext uri="{FF2B5EF4-FFF2-40B4-BE49-F238E27FC236}">
                  <a16:creationId xmlns:a16="http://schemas.microsoft.com/office/drawing/2014/main" id="{00000000-0008-0000-1500-00000B20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L5K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0</xdr:row>
          <xdr:rowOff>68580</xdr:rowOff>
        </xdr:from>
        <xdr:to>
          <xdr:col>2</xdr:col>
          <xdr:colOff>1097280</xdr:colOff>
          <xdr:row>0</xdr:row>
          <xdr:rowOff>312420</xdr:rowOff>
        </xdr:to>
        <xdr:sp macro="" textlink="">
          <xdr:nvSpPr>
            <xdr:cNvPr id="13771777" name="Config_Vis" hidden="1">
              <a:extLst>
                <a:ext uri="{63B3BB69-23CF-44E3-9099-C40C66FF867C}">
                  <a14:compatExt spid="_x0000_s13771777"/>
                </a:ext>
                <a:ext uri="{FF2B5EF4-FFF2-40B4-BE49-F238E27FC236}">
                  <a16:creationId xmlns:a16="http://schemas.microsoft.com/office/drawing/2014/main" id="{00000000-0008-0000-1600-0000012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1150620</xdr:colOff>
          <xdr:row>0</xdr:row>
          <xdr:rowOff>60960</xdr:rowOff>
        </xdr:from>
        <xdr:to>
          <xdr:col>2</xdr:col>
          <xdr:colOff>1508760</xdr:colOff>
          <xdr:row>0</xdr:row>
          <xdr:rowOff>304800</xdr:rowOff>
        </xdr:to>
        <xdr:sp macro="" textlink="">
          <xdr:nvSpPr>
            <xdr:cNvPr id="13771778" name="Variable_Vis" hidden="1">
              <a:extLst>
                <a:ext uri="{63B3BB69-23CF-44E3-9099-C40C66FF867C}">
                  <a14:compatExt spid="_x0000_s13771778"/>
                </a:ext>
                <a:ext uri="{FF2B5EF4-FFF2-40B4-BE49-F238E27FC236}">
                  <a16:creationId xmlns:a16="http://schemas.microsoft.com/office/drawing/2014/main" id="{00000000-0008-0000-1600-0000022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1562100</xdr:colOff>
          <xdr:row>0</xdr:row>
          <xdr:rowOff>60960</xdr:rowOff>
        </xdr:from>
        <xdr:to>
          <xdr:col>2</xdr:col>
          <xdr:colOff>2087880</xdr:colOff>
          <xdr:row>0</xdr:row>
          <xdr:rowOff>304800</xdr:rowOff>
        </xdr:to>
        <xdr:sp macro="" textlink="">
          <xdr:nvSpPr>
            <xdr:cNvPr id="13771779" name="Digalm_Vis" hidden="1">
              <a:extLst>
                <a:ext uri="{63B3BB69-23CF-44E3-9099-C40C66FF867C}">
                  <a14:compatExt spid="_x0000_s13771779"/>
                </a:ext>
                <a:ext uri="{FF2B5EF4-FFF2-40B4-BE49-F238E27FC236}">
                  <a16:creationId xmlns:a16="http://schemas.microsoft.com/office/drawing/2014/main" id="{00000000-0008-0000-1600-0000032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2156460</xdr:colOff>
          <xdr:row>0</xdr:row>
          <xdr:rowOff>60960</xdr:rowOff>
        </xdr:from>
        <xdr:to>
          <xdr:col>2</xdr:col>
          <xdr:colOff>2628900</xdr:colOff>
          <xdr:row>0</xdr:row>
          <xdr:rowOff>304800</xdr:rowOff>
        </xdr:to>
        <xdr:sp macro="" textlink="">
          <xdr:nvSpPr>
            <xdr:cNvPr id="13771780" name="Trend_Vis" hidden="1">
              <a:extLst>
                <a:ext uri="{63B3BB69-23CF-44E3-9099-C40C66FF867C}">
                  <a14:compatExt spid="_x0000_s13771780"/>
                </a:ext>
                <a:ext uri="{FF2B5EF4-FFF2-40B4-BE49-F238E27FC236}">
                  <a16:creationId xmlns:a16="http://schemas.microsoft.com/office/drawing/2014/main" id="{00000000-0008-0000-1600-0000042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68580</xdr:rowOff>
        </xdr:from>
        <xdr:to>
          <xdr:col>2</xdr:col>
          <xdr:colOff>533400</xdr:colOff>
          <xdr:row>0</xdr:row>
          <xdr:rowOff>312420</xdr:rowOff>
        </xdr:to>
        <xdr:sp macro="" textlink="">
          <xdr:nvSpPr>
            <xdr:cNvPr id="13771781" name="Import_Vis" hidden="1">
              <a:extLst>
                <a:ext uri="{63B3BB69-23CF-44E3-9099-C40C66FF867C}">
                  <a14:compatExt spid="_x0000_s13771781"/>
                </a:ext>
                <a:ext uri="{FF2B5EF4-FFF2-40B4-BE49-F238E27FC236}">
                  <a16:creationId xmlns:a16="http://schemas.microsoft.com/office/drawing/2014/main" id="{00000000-0008-0000-1600-0000052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</xdr:row>
          <xdr:rowOff>60960</xdr:rowOff>
        </xdr:from>
        <xdr:to>
          <xdr:col>2</xdr:col>
          <xdr:colOff>1508760</xdr:colOff>
          <xdr:row>1</xdr:row>
          <xdr:rowOff>236220</xdr:rowOff>
        </xdr:to>
        <xdr:sp macro="" textlink="">
          <xdr:nvSpPr>
            <xdr:cNvPr id="13771782" name="Button 6" descr="Apply top row" hidden="1">
              <a:extLst>
                <a:ext uri="{63B3BB69-23CF-44E3-9099-C40C66FF867C}">
                  <a14:compatExt spid="_x0000_s13771782"/>
                </a:ext>
                <a:ext uri="{FF2B5EF4-FFF2-40B4-BE49-F238E27FC236}">
                  <a16:creationId xmlns:a16="http://schemas.microsoft.com/office/drawing/2014/main" id="{00000000-0008-0000-1600-0000062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Apply top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1783080</xdr:colOff>
          <xdr:row>1</xdr:row>
          <xdr:rowOff>60960</xdr:rowOff>
        </xdr:from>
        <xdr:to>
          <xdr:col>2</xdr:col>
          <xdr:colOff>3108960</xdr:colOff>
          <xdr:row>1</xdr:row>
          <xdr:rowOff>251460</xdr:rowOff>
        </xdr:to>
        <xdr:sp macro="" textlink="">
          <xdr:nvSpPr>
            <xdr:cNvPr id="13771783" name="Button 7" hidden="1">
              <a:extLst>
                <a:ext uri="{63B3BB69-23CF-44E3-9099-C40C66FF867C}">
                  <a14:compatExt spid="_x0000_s13771783"/>
                </a:ext>
                <a:ext uri="{FF2B5EF4-FFF2-40B4-BE49-F238E27FC236}">
                  <a16:creationId xmlns:a16="http://schemas.microsoft.com/office/drawing/2014/main" id="{00000000-0008-0000-1600-0000072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2697480</xdr:colOff>
          <xdr:row>0</xdr:row>
          <xdr:rowOff>60960</xdr:rowOff>
        </xdr:from>
        <xdr:to>
          <xdr:col>2</xdr:col>
          <xdr:colOff>3048000</xdr:colOff>
          <xdr:row>0</xdr:row>
          <xdr:rowOff>304800</xdr:rowOff>
        </xdr:to>
        <xdr:sp macro="" textlink="">
          <xdr:nvSpPr>
            <xdr:cNvPr id="13771784" name="PV_Vis" hidden="1">
              <a:extLst>
                <a:ext uri="{63B3BB69-23CF-44E3-9099-C40C66FF867C}">
                  <a14:compatExt spid="_x0000_s13771784"/>
                </a:ext>
                <a:ext uri="{FF2B5EF4-FFF2-40B4-BE49-F238E27FC236}">
                  <a16:creationId xmlns:a16="http://schemas.microsoft.com/office/drawing/2014/main" id="{00000000-0008-0000-1600-0000082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1</xdr:row>
          <xdr:rowOff>60960</xdr:rowOff>
        </xdr:from>
        <xdr:to>
          <xdr:col>4</xdr:col>
          <xdr:colOff>350520</xdr:colOff>
          <xdr:row>1</xdr:row>
          <xdr:rowOff>502920</xdr:rowOff>
        </xdr:to>
        <xdr:sp macro="" textlink="">
          <xdr:nvSpPr>
            <xdr:cNvPr id="13771785" name="Button 9" hidden="1">
              <a:extLst>
                <a:ext uri="{63B3BB69-23CF-44E3-9099-C40C66FF867C}">
                  <a14:compatExt spid="_x0000_s13771785"/>
                </a:ext>
                <a:ext uri="{FF2B5EF4-FFF2-40B4-BE49-F238E27FC236}">
                  <a16:creationId xmlns:a16="http://schemas.microsoft.com/office/drawing/2014/main" id="{00000000-0008-0000-1600-0000092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from UDT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403860</xdr:colOff>
          <xdr:row>1</xdr:row>
          <xdr:rowOff>68580</xdr:rowOff>
        </xdr:from>
        <xdr:to>
          <xdr:col>6</xdr:col>
          <xdr:colOff>259080</xdr:colOff>
          <xdr:row>1</xdr:row>
          <xdr:rowOff>518160</xdr:rowOff>
        </xdr:to>
        <xdr:sp macro="" textlink="">
          <xdr:nvSpPr>
            <xdr:cNvPr id="13771786" name="Button 10" hidden="1">
              <a:extLst>
                <a:ext uri="{63B3BB69-23CF-44E3-9099-C40C66FF867C}">
                  <a14:compatExt spid="_x0000_s13771786"/>
                </a:ext>
                <a:ext uri="{FF2B5EF4-FFF2-40B4-BE49-F238E27FC236}">
                  <a16:creationId xmlns:a16="http://schemas.microsoft.com/office/drawing/2014/main" id="{00000000-0008-0000-1600-00000A2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UDT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1</xdr:row>
          <xdr:rowOff>190500</xdr:rowOff>
        </xdr:from>
        <xdr:to>
          <xdr:col>23</xdr:col>
          <xdr:colOff>487680</xdr:colOff>
          <xdr:row>1</xdr:row>
          <xdr:rowOff>373380</xdr:rowOff>
        </xdr:to>
        <xdr:sp macro="" textlink="">
          <xdr:nvSpPr>
            <xdr:cNvPr id="13771787" name="Button 11" hidden="1">
              <a:extLst>
                <a:ext uri="{63B3BB69-23CF-44E3-9099-C40C66FF867C}">
                  <a14:compatExt spid="_x0000_s13771787"/>
                </a:ext>
                <a:ext uri="{FF2B5EF4-FFF2-40B4-BE49-F238E27FC236}">
                  <a16:creationId xmlns:a16="http://schemas.microsoft.com/office/drawing/2014/main" id="{00000000-0008-0000-1600-00000B2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L5K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0</xdr:row>
          <xdr:rowOff>68580</xdr:rowOff>
        </xdr:from>
        <xdr:to>
          <xdr:col>2</xdr:col>
          <xdr:colOff>1097280</xdr:colOff>
          <xdr:row>0</xdr:row>
          <xdr:rowOff>312420</xdr:rowOff>
        </xdr:to>
        <xdr:sp macro="" textlink="">
          <xdr:nvSpPr>
            <xdr:cNvPr id="13775873" name="Config_Vis" hidden="1">
              <a:extLst>
                <a:ext uri="{63B3BB69-23CF-44E3-9099-C40C66FF867C}">
                  <a14:compatExt spid="_x0000_s13775873"/>
                </a:ext>
                <a:ext uri="{FF2B5EF4-FFF2-40B4-BE49-F238E27FC236}">
                  <a16:creationId xmlns:a16="http://schemas.microsoft.com/office/drawing/2014/main" id="{00000000-0008-0000-1A00-0000013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1150620</xdr:colOff>
          <xdr:row>0</xdr:row>
          <xdr:rowOff>60960</xdr:rowOff>
        </xdr:from>
        <xdr:to>
          <xdr:col>2</xdr:col>
          <xdr:colOff>1508760</xdr:colOff>
          <xdr:row>0</xdr:row>
          <xdr:rowOff>304800</xdr:rowOff>
        </xdr:to>
        <xdr:sp macro="" textlink="">
          <xdr:nvSpPr>
            <xdr:cNvPr id="13775874" name="Variable_Vis" hidden="1">
              <a:extLst>
                <a:ext uri="{63B3BB69-23CF-44E3-9099-C40C66FF867C}">
                  <a14:compatExt spid="_x0000_s13775874"/>
                </a:ext>
                <a:ext uri="{FF2B5EF4-FFF2-40B4-BE49-F238E27FC236}">
                  <a16:creationId xmlns:a16="http://schemas.microsoft.com/office/drawing/2014/main" id="{00000000-0008-0000-1A00-0000023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1562100</xdr:colOff>
          <xdr:row>0</xdr:row>
          <xdr:rowOff>60960</xdr:rowOff>
        </xdr:from>
        <xdr:to>
          <xdr:col>2</xdr:col>
          <xdr:colOff>2087880</xdr:colOff>
          <xdr:row>0</xdr:row>
          <xdr:rowOff>304800</xdr:rowOff>
        </xdr:to>
        <xdr:sp macro="" textlink="">
          <xdr:nvSpPr>
            <xdr:cNvPr id="13775875" name="Digalm_Vis" hidden="1">
              <a:extLst>
                <a:ext uri="{63B3BB69-23CF-44E3-9099-C40C66FF867C}">
                  <a14:compatExt spid="_x0000_s13775875"/>
                </a:ext>
                <a:ext uri="{FF2B5EF4-FFF2-40B4-BE49-F238E27FC236}">
                  <a16:creationId xmlns:a16="http://schemas.microsoft.com/office/drawing/2014/main" id="{00000000-0008-0000-1A00-0000033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2156460</xdr:colOff>
          <xdr:row>0</xdr:row>
          <xdr:rowOff>60960</xdr:rowOff>
        </xdr:from>
        <xdr:to>
          <xdr:col>2</xdr:col>
          <xdr:colOff>2628900</xdr:colOff>
          <xdr:row>0</xdr:row>
          <xdr:rowOff>304800</xdr:rowOff>
        </xdr:to>
        <xdr:sp macro="" textlink="">
          <xdr:nvSpPr>
            <xdr:cNvPr id="13775876" name="Trend_Vis" hidden="1">
              <a:extLst>
                <a:ext uri="{63B3BB69-23CF-44E3-9099-C40C66FF867C}">
                  <a14:compatExt spid="_x0000_s13775876"/>
                </a:ext>
                <a:ext uri="{FF2B5EF4-FFF2-40B4-BE49-F238E27FC236}">
                  <a16:creationId xmlns:a16="http://schemas.microsoft.com/office/drawing/2014/main" id="{00000000-0008-0000-1A00-0000043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68580</xdr:rowOff>
        </xdr:from>
        <xdr:to>
          <xdr:col>2</xdr:col>
          <xdr:colOff>533400</xdr:colOff>
          <xdr:row>0</xdr:row>
          <xdr:rowOff>312420</xdr:rowOff>
        </xdr:to>
        <xdr:sp macro="" textlink="">
          <xdr:nvSpPr>
            <xdr:cNvPr id="13775877" name="Import_Vis" hidden="1">
              <a:extLst>
                <a:ext uri="{63B3BB69-23CF-44E3-9099-C40C66FF867C}">
                  <a14:compatExt spid="_x0000_s13775877"/>
                </a:ext>
                <a:ext uri="{FF2B5EF4-FFF2-40B4-BE49-F238E27FC236}">
                  <a16:creationId xmlns:a16="http://schemas.microsoft.com/office/drawing/2014/main" id="{00000000-0008-0000-1A00-0000053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</xdr:row>
          <xdr:rowOff>60960</xdr:rowOff>
        </xdr:from>
        <xdr:to>
          <xdr:col>2</xdr:col>
          <xdr:colOff>1508760</xdr:colOff>
          <xdr:row>1</xdr:row>
          <xdr:rowOff>236220</xdr:rowOff>
        </xdr:to>
        <xdr:sp macro="" textlink="">
          <xdr:nvSpPr>
            <xdr:cNvPr id="13775878" name="Button 6" descr="Apply top row" hidden="1">
              <a:extLst>
                <a:ext uri="{63B3BB69-23CF-44E3-9099-C40C66FF867C}">
                  <a14:compatExt spid="_x0000_s13775878"/>
                </a:ext>
                <a:ext uri="{FF2B5EF4-FFF2-40B4-BE49-F238E27FC236}">
                  <a16:creationId xmlns:a16="http://schemas.microsoft.com/office/drawing/2014/main" id="{00000000-0008-0000-1A00-0000063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Apply top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1783080</xdr:colOff>
          <xdr:row>1</xdr:row>
          <xdr:rowOff>60960</xdr:rowOff>
        </xdr:from>
        <xdr:to>
          <xdr:col>2</xdr:col>
          <xdr:colOff>3108960</xdr:colOff>
          <xdr:row>1</xdr:row>
          <xdr:rowOff>251460</xdr:rowOff>
        </xdr:to>
        <xdr:sp macro="" textlink="">
          <xdr:nvSpPr>
            <xdr:cNvPr id="13775879" name="Button 7" hidden="1">
              <a:extLst>
                <a:ext uri="{63B3BB69-23CF-44E3-9099-C40C66FF867C}">
                  <a14:compatExt spid="_x0000_s13775879"/>
                </a:ext>
                <a:ext uri="{FF2B5EF4-FFF2-40B4-BE49-F238E27FC236}">
                  <a16:creationId xmlns:a16="http://schemas.microsoft.com/office/drawing/2014/main" id="{00000000-0008-0000-1A00-0000073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2697480</xdr:colOff>
          <xdr:row>0</xdr:row>
          <xdr:rowOff>60960</xdr:rowOff>
        </xdr:from>
        <xdr:to>
          <xdr:col>2</xdr:col>
          <xdr:colOff>3048000</xdr:colOff>
          <xdr:row>0</xdr:row>
          <xdr:rowOff>304800</xdr:rowOff>
        </xdr:to>
        <xdr:sp macro="" textlink="">
          <xdr:nvSpPr>
            <xdr:cNvPr id="13775880" name="PV_Vis" hidden="1">
              <a:extLst>
                <a:ext uri="{63B3BB69-23CF-44E3-9099-C40C66FF867C}">
                  <a14:compatExt spid="_x0000_s13775880"/>
                </a:ext>
                <a:ext uri="{FF2B5EF4-FFF2-40B4-BE49-F238E27FC236}">
                  <a16:creationId xmlns:a16="http://schemas.microsoft.com/office/drawing/2014/main" id="{00000000-0008-0000-1A00-0000083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1</xdr:row>
          <xdr:rowOff>60960</xdr:rowOff>
        </xdr:from>
        <xdr:to>
          <xdr:col>4</xdr:col>
          <xdr:colOff>350520</xdr:colOff>
          <xdr:row>1</xdr:row>
          <xdr:rowOff>502920</xdr:rowOff>
        </xdr:to>
        <xdr:sp macro="" textlink="">
          <xdr:nvSpPr>
            <xdr:cNvPr id="13775881" name="Button 9" hidden="1">
              <a:extLst>
                <a:ext uri="{63B3BB69-23CF-44E3-9099-C40C66FF867C}">
                  <a14:compatExt spid="_x0000_s13775881"/>
                </a:ext>
                <a:ext uri="{FF2B5EF4-FFF2-40B4-BE49-F238E27FC236}">
                  <a16:creationId xmlns:a16="http://schemas.microsoft.com/office/drawing/2014/main" id="{00000000-0008-0000-1A00-0000093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from UDT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403860</xdr:colOff>
          <xdr:row>1</xdr:row>
          <xdr:rowOff>68580</xdr:rowOff>
        </xdr:from>
        <xdr:to>
          <xdr:col>6</xdr:col>
          <xdr:colOff>259080</xdr:colOff>
          <xdr:row>1</xdr:row>
          <xdr:rowOff>518160</xdr:rowOff>
        </xdr:to>
        <xdr:sp macro="" textlink="">
          <xdr:nvSpPr>
            <xdr:cNvPr id="13775882" name="Button 10" hidden="1">
              <a:extLst>
                <a:ext uri="{63B3BB69-23CF-44E3-9099-C40C66FF867C}">
                  <a14:compatExt spid="_x0000_s13775882"/>
                </a:ext>
                <a:ext uri="{FF2B5EF4-FFF2-40B4-BE49-F238E27FC236}">
                  <a16:creationId xmlns:a16="http://schemas.microsoft.com/office/drawing/2014/main" id="{00000000-0008-0000-1A00-00000A3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UDT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1</xdr:row>
          <xdr:rowOff>190500</xdr:rowOff>
        </xdr:from>
        <xdr:to>
          <xdr:col>23</xdr:col>
          <xdr:colOff>487680</xdr:colOff>
          <xdr:row>1</xdr:row>
          <xdr:rowOff>373380</xdr:rowOff>
        </xdr:to>
        <xdr:sp macro="" textlink="">
          <xdr:nvSpPr>
            <xdr:cNvPr id="13775883" name="Button 11" hidden="1">
              <a:extLst>
                <a:ext uri="{63B3BB69-23CF-44E3-9099-C40C66FF867C}">
                  <a14:compatExt spid="_x0000_s13775883"/>
                </a:ext>
                <a:ext uri="{FF2B5EF4-FFF2-40B4-BE49-F238E27FC236}">
                  <a16:creationId xmlns:a16="http://schemas.microsoft.com/office/drawing/2014/main" id="{00000000-0008-0000-1A00-00000B34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L5K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itect\User\Aq_Conv_CV002\!TagGen\CV002%20-%202023-06-21.xlsm" TargetMode="External"/><Relationship Id="rId1" Type="http://schemas.openxmlformats.org/officeDocument/2006/relationships/externalLinkPath" Target="/Citect/User/Aq_Conv_CV002/!TagGen/CV002%20-%202023-06-2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AQMG901/Tag%20Generator%20-%208.2%20-%20AQMG901%20-%202022-06-23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ELP"/>
      <sheetName val="GraphicsTags2"/>
      <sheetName val="DL"/>
      <sheetName val="GraphicsTags"/>
      <sheetName val="DataTypeMappings"/>
      <sheetName val="Config"/>
      <sheetName val="variable"/>
      <sheetName val="digalm"/>
      <sheetName val="trend"/>
      <sheetName val="PV"/>
      <sheetName val="equip"/>
      <sheetName val="variable_Override"/>
      <sheetName val="digalm_Override"/>
      <sheetName val="trend_Override"/>
      <sheetName val="PV_Override"/>
      <sheetName val="variable_temp"/>
      <sheetName val="digalm_temp"/>
      <sheetName val="trend_temp"/>
      <sheetName val="PV_temp"/>
      <sheetName val="PV_CSV"/>
      <sheetName val="PV_XML"/>
      <sheetName val="Template_UDT"/>
      <sheetName val="ACS880_UDT"/>
      <sheetName val="Conv"/>
      <sheetName val="Custom"/>
      <sheetName val="ManualTags"/>
      <sheetName val="VAA"/>
      <sheetName val="SignalLine"/>
      <sheetName val="BeltWanders"/>
      <sheetName val="AqAnalog"/>
      <sheetName val="AqAnalog_WW"/>
      <sheetName val="DriveGeneral"/>
      <sheetName val="DriveDSU"/>
      <sheetName val="DriveINU"/>
      <sheetName val="DOL_Motor"/>
      <sheetName val="HVTfmrRela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TypeMappings"/>
      <sheetName val="Config"/>
      <sheetName val="DL"/>
      <sheetName val="variable"/>
      <sheetName val="digalm"/>
      <sheetName val="trend"/>
      <sheetName val="PV"/>
      <sheetName val="equip"/>
      <sheetName val="variable_Override"/>
      <sheetName val="digalm_Override"/>
      <sheetName val="trend_Override"/>
      <sheetName val="PV_Override"/>
      <sheetName val="variable_temp"/>
      <sheetName val="digalm_temp"/>
      <sheetName val="trend_temp"/>
      <sheetName val="PV_temp"/>
      <sheetName val="PV_CSV"/>
      <sheetName val="PV_XML"/>
      <sheetName val="Template_UDT"/>
      <sheetName val="ANLG"/>
      <sheetName val="DOL"/>
      <sheetName val="IMAC"/>
      <sheetName val="IMAC_NODE"/>
      <sheetName val="IPD"/>
      <sheetName val="TLX"/>
      <sheetName val="TLX_CH"/>
      <sheetName val="VAA_STS"/>
      <sheetName val="VCA"/>
      <sheetName val="VCA_LINE_STS"/>
      <sheetName val="VCA_SYS_STS"/>
      <sheetName val="VSD2"/>
      <sheetName val="VSD"/>
      <sheetName val="VSD_FLT_WRD1"/>
      <sheetName val="VSD_FLT_WRD2"/>
      <sheetName val="VSD_FLT_WRD4"/>
      <sheetName val="VSD_FLT_WRD5"/>
      <sheetName val="VSD_FLT_WRD6"/>
      <sheetName val="WCH"/>
      <sheetName val="WNDR"/>
      <sheetName val="ManualTags"/>
      <sheetName val="Tag Generator - 8"/>
    </sheetNames>
    <sheetDataSet>
      <sheetData sheetId="0">
        <row r="2">
          <cell r="A2" t="str">
            <v>BOOL</v>
          </cell>
        </row>
      </sheetData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1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18" Type="http://schemas.openxmlformats.org/officeDocument/2006/relationships/ctrlProp" Target="../ctrlProps/ctrlProp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17" Type="http://schemas.openxmlformats.org/officeDocument/2006/relationships/ctrlProp" Target="../ctrlProps/ctrlProp16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10.xml"/><Relationship Id="rId19" Type="http://schemas.openxmlformats.org/officeDocument/2006/relationships/ctrlProp" Target="../ctrlProps/ctrlProp18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control" Target="../activeX/activeX1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trlProp" Target="../ctrlProps/ctrlProp2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ctrlProp" Target="../ctrlProps/ctrlProp2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0.xml"/><Relationship Id="rId20" Type="http://schemas.openxmlformats.org/officeDocument/2006/relationships/ctrlProp" Target="../ctrlProps/ctrlProp24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ctrlProp" Target="../ctrlProps/ctrlProp23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trlProp" Target="../ctrlProps/ctrlProp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ctrlProp" Target="../ctrlProps/ctrlProp26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5.xml"/><Relationship Id="rId20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openxmlformats.org/officeDocument/2006/relationships/ctrlProp" Target="../ctrlProps/ctrlProp28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trlProp" Target="../ctrlProps/ctrlProp3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ctrlProp" Target="../ctrlProps/ctrlProp31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30.xml"/><Relationship Id="rId20" Type="http://schemas.openxmlformats.org/officeDocument/2006/relationships/ctrlProp" Target="../ctrlProps/ctrlProp34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ctrlProp" Target="../ctrlProps/ctrlProp33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46"/>
  <sheetViews>
    <sheetView tabSelected="1" workbookViewId="0">
      <selection activeCell="C13" sqref="C13"/>
    </sheetView>
  </sheetViews>
  <sheetFormatPr defaultRowHeight="14.4" x14ac:dyDescent="0.3"/>
  <cols>
    <col min="1" max="1" width="37" customWidth="1"/>
    <col min="2" max="2" width="98.5546875" style="32" customWidth="1"/>
    <col min="3" max="3" width="6" customWidth="1"/>
    <col min="4" max="4" width="18.33203125" style="11" customWidth="1"/>
    <col min="5" max="5" width="17.5546875" customWidth="1"/>
  </cols>
  <sheetData>
    <row r="1" spans="1:4" x14ac:dyDescent="0.3">
      <c r="A1" t="s">
        <v>167</v>
      </c>
      <c r="B1" s="36" t="e">
        <f ca="1">LEFT(Global_Path,FIND("\",Global_Path,FIND("User\",Global_Path)+5)-1)</f>
        <v>#VALUE!</v>
      </c>
      <c r="D1" s="32"/>
    </row>
    <row r="2" spans="1:4" x14ac:dyDescent="0.3">
      <c r="A2" t="s">
        <v>156</v>
      </c>
      <c r="B2" s="36" t="s">
        <v>291</v>
      </c>
      <c r="D2"/>
    </row>
    <row r="3" spans="1:4" x14ac:dyDescent="0.3">
      <c r="A3" t="s">
        <v>159</v>
      </c>
      <c r="B3" s="36" t="b">
        <v>1</v>
      </c>
      <c r="D3"/>
    </row>
    <row r="4" spans="1:4" x14ac:dyDescent="0.3">
      <c r="A4" t="s">
        <v>164</v>
      </c>
      <c r="B4" s="36" t="b">
        <v>1</v>
      </c>
      <c r="C4" s="10"/>
      <c r="D4"/>
    </row>
    <row r="5" spans="1:4" x14ac:dyDescent="0.3">
      <c r="A5" t="s">
        <v>175</v>
      </c>
      <c r="B5" s="36" t="b">
        <v>0</v>
      </c>
      <c r="D5"/>
    </row>
    <row r="6" spans="1:4" x14ac:dyDescent="0.3">
      <c r="A6" t="s">
        <v>252</v>
      </c>
      <c r="B6" s="36" t="str">
        <f ca="1">Global_Path&amp;"PV_Tag_Import.csv"</f>
        <v>https://angloamerican-my.sharepoint.com/personal/mat_lynam_angloamerican_com/Documents/Documents/Aquila Projects/Misc/Tag Gen Outline/PV_Tag_Import.csv</v>
      </c>
      <c r="D6"/>
    </row>
    <row r="7" spans="1:4" x14ac:dyDescent="0.3">
      <c r="A7" t="s">
        <v>261</v>
      </c>
      <c r="B7" s="36" t="str">
        <f ca="1">Global_Path&amp;"PV_Alarm_Import.xml"</f>
        <v>https://angloamerican-my.sharepoint.com/personal/mat_lynam_angloamerican_com/Documents/Documents/Aquila Projects/Misc/Tag Gen Outline/PV_Alarm_Import.xml</v>
      </c>
      <c r="C7" s="66"/>
      <c r="D7"/>
    </row>
    <row r="8" spans="1:4" x14ac:dyDescent="0.3">
      <c r="D8"/>
    </row>
    <row r="9" spans="1:4" x14ac:dyDescent="0.3">
      <c r="A9" t="s">
        <v>326</v>
      </c>
      <c r="B9" s="79">
        <v>1</v>
      </c>
      <c r="D9"/>
    </row>
    <row r="10" spans="1:4" x14ac:dyDescent="0.3">
      <c r="A10" t="s">
        <v>178</v>
      </c>
      <c r="B10" s="36">
        <v>25</v>
      </c>
      <c r="D10"/>
    </row>
    <row r="11" spans="1:4" x14ac:dyDescent="0.3">
      <c r="A11" t="s">
        <v>179</v>
      </c>
      <c r="B11" s="36" t="s">
        <v>304</v>
      </c>
    </row>
    <row r="12" spans="1:4" x14ac:dyDescent="0.3">
      <c r="A12" t="s">
        <v>180</v>
      </c>
      <c r="B12" s="37" t="s">
        <v>158</v>
      </c>
    </row>
    <row r="13" spans="1:4" x14ac:dyDescent="0.3">
      <c r="A13" t="s">
        <v>181</v>
      </c>
      <c r="B13" s="36" t="s">
        <v>845</v>
      </c>
    </row>
    <row r="14" spans="1:4" x14ac:dyDescent="0.3">
      <c r="A14" t="s">
        <v>270</v>
      </c>
      <c r="B14" s="36" t="str">
        <f t="array" aca="1" ref="B14" ca="1">LEFT(CELL("filename",A1),FIND("[",CELL("filename",A1))-1)</f>
        <v>https://angloamerican-my.sharepoint.com/personal/mat_lynam_angloamerican_com/Documents/Documents/Aquila Projects/Misc/Tag Gen Outline/</v>
      </c>
    </row>
    <row r="15" spans="1:4" x14ac:dyDescent="0.3">
      <c r="A15" t="s">
        <v>182</v>
      </c>
      <c r="B15" s="36" t="str">
        <f>" - "</f>
        <v xml:space="preserve"> - </v>
      </c>
      <c r="D15" s="11" t="s">
        <v>623</v>
      </c>
    </row>
    <row r="16" spans="1:4" x14ac:dyDescent="0.3">
      <c r="A16" t="s">
        <v>338</v>
      </c>
      <c r="B16" s="111" t="s">
        <v>842</v>
      </c>
    </row>
    <row r="18" spans="1:4" x14ac:dyDescent="0.3">
      <c r="A18" t="s">
        <v>343</v>
      </c>
      <c r="B18" s="36" t="s">
        <v>838</v>
      </c>
    </row>
    <row r="21" spans="1:4" x14ac:dyDescent="0.3">
      <c r="A21" s="10"/>
    </row>
    <row r="22" spans="1:4" x14ac:dyDescent="0.3">
      <c r="B22" s="44"/>
      <c r="D22" s="48"/>
    </row>
    <row r="25" spans="1:4" x14ac:dyDescent="0.3">
      <c r="B25" s="44"/>
    </row>
    <row r="26" spans="1:4" x14ac:dyDescent="0.3">
      <c r="B26" s="44"/>
      <c r="D26"/>
    </row>
    <row r="27" spans="1:4" x14ac:dyDescent="0.3">
      <c r="B27" s="44"/>
    </row>
    <row r="29" spans="1:4" x14ac:dyDescent="0.3">
      <c r="B29" s="44"/>
    </row>
    <row r="30" spans="1:4" x14ac:dyDescent="0.3">
      <c r="B30" s="44"/>
    </row>
    <row r="31" spans="1:4" x14ac:dyDescent="0.3">
      <c r="B31" s="44"/>
      <c r="D31"/>
    </row>
    <row r="32" spans="1:4" x14ac:dyDescent="0.3">
      <c r="B32" s="44"/>
    </row>
    <row r="33" spans="2:4" x14ac:dyDescent="0.3">
      <c r="B33" s="44"/>
    </row>
    <row r="35" spans="2:4" x14ac:dyDescent="0.3">
      <c r="B35" s="44"/>
    </row>
    <row r="36" spans="2:4" x14ac:dyDescent="0.3">
      <c r="B36" s="44"/>
    </row>
    <row r="39" spans="2:4" x14ac:dyDescent="0.3">
      <c r="B39" s="44"/>
    </row>
    <row r="46" spans="2:4" x14ac:dyDescent="0.3">
      <c r="D46" s="11" t="s">
        <v>172</v>
      </c>
    </row>
  </sheetData>
  <printOptions gridLines="1"/>
  <pageMargins left="0" right="0" top="0" bottom="0" header="0" footer="0"/>
  <pageSetup paperSize="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0721" r:id="rId4" name="Button 1">
              <controlPr defaultSize="0" print="0" autoFill="0" autoPict="0" macro="[0]!ExtractControllerTags.ExtractControllerTags">
                <anchor moveWithCells="1" sizeWithCells="1">
                  <from>
                    <xdr:col>1</xdr:col>
                    <xdr:colOff>3375660</xdr:colOff>
                    <xdr:row>32</xdr:row>
                    <xdr:rowOff>30480</xdr:rowOff>
                  </from>
                  <to>
                    <xdr:col>1</xdr:col>
                    <xdr:colOff>5013960</xdr:colOff>
                    <xdr:row>34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FF00"/>
  </sheetPr>
  <dimension ref="A1:AM30"/>
  <sheetViews>
    <sheetView zoomScale="85" zoomScaleNormal="85" workbookViewId="0">
      <pane ySplit="7" topLeftCell="A8" activePane="bottomLeft" state="frozen"/>
      <selection activeCell="C13" sqref="C13"/>
      <selection pane="bottomLeft" activeCell="C13" sqref="C13"/>
    </sheetView>
  </sheetViews>
  <sheetFormatPr defaultRowHeight="14.4" x14ac:dyDescent="0.3"/>
  <cols>
    <col min="1" max="1" width="8.33203125" style="41" customWidth="1"/>
    <col min="2" max="2" width="7.5546875" style="41" bestFit="1" customWidth="1"/>
    <col min="3" max="3" width="6" style="41" bestFit="1" customWidth="1"/>
    <col min="4" max="4" width="6.6640625" style="41" customWidth="1"/>
    <col min="5" max="5" width="9.33203125" style="41" bestFit="1" customWidth="1"/>
    <col min="6" max="6" width="6.6640625" style="73" bestFit="1" customWidth="1"/>
    <col min="7" max="7" width="17.44140625" style="38" bestFit="1" customWidth="1"/>
    <col min="8" max="8" width="22.109375" bestFit="1" customWidth="1"/>
    <col min="9" max="9" width="50.33203125" customWidth="1"/>
    <col min="10" max="10" width="58.44140625" customWidth="1"/>
    <col min="11" max="11" width="13.33203125" hidden="1" customWidth="1"/>
    <col min="12" max="12" width="71.44140625" hidden="1" customWidth="1"/>
    <col min="13" max="13" width="24.33203125" customWidth="1"/>
    <col min="14" max="14" width="13.109375" customWidth="1"/>
    <col min="15" max="15" width="13.44140625" customWidth="1"/>
    <col min="16" max="16" width="13.6640625" customWidth="1"/>
    <col min="17" max="17" width="14.88671875" customWidth="1"/>
    <col min="18" max="18" width="25" customWidth="1"/>
    <col min="19" max="19" width="24.33203125" customWidth="1"/>
    <col min="20" max="20" width="19" customWidth="1"/>
    <col min="21" max="21" width="43.88671875" customWidth="1"/>
    <col min="22" max="22" width="53.33203125" customWidth="1"/>
    <col min="23" max="23" width="15.88671875" customWidth="1"/>
    <col min="24" max="24" width="17.88671875" customWidth="1"/>
    <col min="25" max="25" width="11.109375" customWidth="1"/>
    <col min="26" max="26" width="9.6640625" customWidth="1"/>
    <col min="27" max="27" width="9" customWidth="1"/>
    <col min="28" max="28" width="9.109375" customWidth="1"/>
    <col min="29" max="30" width="9" customWidth="1"/>
    <col min="31" max="31" width="9.109375" customWidth="1"/>
    <col min="32" max="33" width="10.88671875" customWidth="1"/>
    <col min="34" max="34" width="54.5546875" bestFit="1" customWidth="1"/>
    <col min="35" max="36" width="40.109375" bestFit="1" customWidth="1"/>
    <col min="37" max="37" width="12.44140625" bestFit="1" customWidth="1"/>
    <col min="38" max="38" width="8.88671875" bestFit="1" customWidth="1"/>
    <col min="39" max="39" width="11.88671875" bestFit="1" customWidth="1"/>
  </cols>
  <sheetData>
    <row r="1" spans="1:39" x14ac:dyDescent="0.3">
      <c r="A1" s="41">
        <f>SUM(A8:A1048576)</f>
        <v>588</v>
      </c>
      <c r="B1" s="41">
        <f>SUM(B8:B1048576)</f>
        <v>205</v>
      </c>
      <c r="C1" s="41">
        <f>SUM(C8:C1048576)</f>
        <v>93</v>
      </c>
      <c r="D1" s="41">
        <f>SUM(D8:D1048576)</f>
        <v>0</v>
      </c>
      <c r="E1" s="41">
        <f>SUM(E8:E1048576)</f>
        <v>0</v>
      </c>
      <c r="F1" s="72"/>
      <c r="G1" s="32" t="s">
        <v>166</v>
      </c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C1" s="38"/>
      <c r="AD1" s="38"/>
    </row>
    <row r="2" spans="1:39" x14ac:dyDescent="0.3">
      <c r="A2" s="41">
        <f>A4-A1</f>
        <v>-489</v>
      </c>
      <c r="B2" s="41">
        <f>B4-B1</f>
        <v>-106</v>
      </c>
      <c r="C2" s="41">
        <f>C4-C1</f>
        <v>0</v>
      </c>
      <c r="D2" s="41">
        <f>D4-D1</f>
        <v>0</v>
      </c>
      <c r="E2" s="41">
        <f>E4-E1</f>
        <v>0</v>
      </c>
      <c r="F2" s="72"/>
      <c r="G2" s="32" t="s">
        <v>188</v>
      </c>
      <c r="L2" t="s">
        <v>100</v>
      </c>
    </row>
    <row r="3" spans="1:39" x14ac:dyDescent="0.3">
      <c r="A3" s="80">
        <f>COUNTA(variable_Override!A:A)+A2-1</f>
        <v>-489</v>
      </c>
      <c r="B3" s="80">
        <f>COUNTA(digalm_Override!A:A)+B2-1</f>
        <v>-106</v>
      </c>
      <c r="C3" s="80">
        <f>COUNTA(trend_Override!A:A)+C2-1</f>
        <v>0</v>
      </c>
      <c r="D3" s="80">
        <f>COUNTA(PV_Override!B:B)-D2-1</f>
        <v>0</v>
      </c>
      <c r="E3" s="80">
        <f>COUNTA(PV_Override!AD:AD)-E2-1</f>
        <v>0</v>
      </c>
      <c r="F3" s="72"/>
      <c r="G3" s="32" t="s">
        <v>168</v>
      </c>
    </row>
    <row r="4" spans="1:39" x14ac:dyDescent="0.3">
      <c r="A4" s="81">
        <f>COUNTA(variable!A:A)-1</f>
        <v>99</v>
      </c>
      <c r="B4" s="81">
        <f>COUNTA(digalm!A:A)-1</f>
        <v>99</v>
      </c>
      <c r="C4" s="81">
        <f>COUNTA(trend!A:A)-1</f>
        <v>93</v>
      </c>
      <c r="D4" s="81">
        <f>COUNTA(PV!B:B)-1</f>
        <v>0</v>
      </c>
      <c r="E4" s="81">
        <f>COUNTA(PV!AD:AD)-1</f>
        <v>0</v>
      </c>
      <c r="F4" s="74">
        <f>SUM(F8:F61)</f>
        <v>0.5625</v>
      </c>
      <c r="G4" s="13" t="s">
        <v>165</v>
      </c>
      <c r="K4" t="s">
        <v>306</v>
      </c>
      <c r="L4" s="6">
        <f>COUNTIF(variable!W:W, "TRUE")-1</f>
        <v>-1</v>
      </c>
    </row>
    <row r="5" spans="1:39" s="43" customFormat="1" x14ac:dyDescent="0.3">
      <c r="A5" s="120" t="s">
        <v>305</v>
      </c>
      <c r="B5" s="120"/>
      <c r="C5" s="120"/>
      <c r="D5" s="120"/>
      <c r="E5" s="120"/>
      <c r="F5" s="120"/>
      <c r="G5" s="120"/>
      <c r="H5" s="120"/>
      <c r="I5" s="75" t="b">
        <v>1</v>
      </c>
      <c r="J5" s="75" t="b">
        <v>1</v>
      </c>
      <c r="K5" s="75" t="b">
        <v>0</v>
      </c>
      <c r="L5" s="75" t="b">
        <v>0</v>
      </c>
      <c r="M5" s="75" t="b">
        <v>1</v>
      </c>
      <c r="N5" s="75" t="b">
        <v>1</v>
      </c>
      <c r="O5" s="75" t="b">
        <v>1</v>
      </c>
      <c r="P5" s="75" t="b">
        <v>1</v>
      </c>
      <c r="Q5" s="75" t="b">
        <v>1</v>
      </c>
      <c r="R5" s="75" t="b">
        <v>1</v>
      </c>
      <c r="S5" s="75" t="b">
        <v>1</v>
      </c>
      <c r="T5" s="75" t="b">
        <v>1</v>
      </c>
      <c r="U5" s="75" t="b">
        <v>1</v>
      </c>
      <c r="V5" s="75" t="b">
        <v>1</v>
      </c>
      <c r="W5" s="75" t="b">
        <v>1</v>
      </c>
      <c r="X5" s="75" t="b">
        <v>0</v>
      </c>
      <c r="Y5" s="75" t="b">
        <v>1</v>
      </c>
      <c r="Z5" s="75" t="b">
        <v>1</v>
      </c>
      <c r="AA5" s="75" t="b">
        <v>1</v>
      </c>
      <c r="AB5" s="75" t="b">
        <v>1</v>
      </c>
      <c r="AC5" s="75" t="b">
        <v>1</v>
      </c>
      <c r="AD5" s="75" t="b">
        <v>1</v>
      </c>
      <c r="AE5" s="75" t="b">
        <v>1</v>
      </c>
      <c r="AF5" s="75" t="b">
        <v>1</v>
      </c>
      <c r="AG5" s="75" t="b">
        <v>1</v>
      </c>
      <c r="AH5" s="75" t="b">
        <v>1</v>
      </c>
      <c r="AI5" s="75" t="b">
        <v>1</v>
      </c>
      <c r="AJ5" s="75" t="b">
        <v>0</v>
      </c>
      <c r="AK5" s="75" t="b">
        <v>0</v>
      </c>
      <c r="AL5" s="75" t="b">
        <v>0</v>
      </c>
      <c r="AM5" s="75" t="b">
        <v>0</v>
      </c>
    </row>
    <row r="6" spans="1:39" s="64" customFormat="1" x14ac:dyDescent="0.3">
      <c r="A6" s="119" t="s">
        <v>271</v>
      </c>
      <c r="B6" s="119"/>
      <c r="C6" s="119"/>
      <c r="D6" s="119"/>
      <c r="E6" s="119"/>
      <c r="F6" s="119"/>
      <c r="G6" s="119"/>
      <c r="H6" s="119"/>
      <c r="I6" s="64" t="str">
        <f>"["&amp;I7&amp;"]"</f>
        <v>[TagPrefix]</v>
      </c>
      <c r="J6" s="64" t="str">
        <f t="shared" ref="J6:AM6" si="0">"["&amp;J7&amp;"]"</f>
        <v>[Desc]</v>
      </c>
      <c r="K6" s="64" t="str">
        <f t="shared" si="0"/>
        <v>[DescPrefix]</v>
      </c>
      <c r="L6" s="64" t="str">
        <f t="shared" si="0"/>
        <v>[ShortDesc]</v>
      </c>
      <c r="M6" s="64" t="str">
        <f t="shared" si="0"/>
        <v>[PLC]</v>
      </c>
      <c r="N6" s="64" t="str">
        <f t="shared" si="0"/>
        <v>[Cluster]</v>
      </c>
      <c r="O6" s="64" t="str">
        <f t="shared" si="0"/>
        <v>[Equip]</v>
      </c>
      <c r="P6" s="64" t="str">
        <f t="shared" si="0"/>
        <v>[EnableItem]</v>
      </c>
      <c r="Q6" s="64" t="str">
        <f t="shared" si="0"/>
        <v>[DigAlmName]</v>
      </c>
      <c r="R6" s="64" t="str">
        <f t="shared" si="0"/>
        <v>[VariableB]</v>
      </c>
      <c r="S6" s="64" t="str">
        <f t="shared" si="0"/>
        <v>[Area]</v>
      </c>
      <c r="T6" s="64" t="str">
        <f t="shared" si="0"/>
        <v>[Help]</v>
      </c>
      <c r="U6" s="64" t="str">
        <f t="shared" si="0"/>
        <v>[TrendPrefixOverride]</v>
      </c>
      <c r="V6" s="64" t="str">
        <f t="shared" si="0"/>
        <v>[AddrOverride]</v>
      </c>
      <c r="W6" s="64" t="str">
        <f t="shared" si="0"/>
        <v>[AddrArrayIndex]</v>
      </c>
      <c r="X6" s="64" t="str">
        <f t="shared" si="0"/>
        <v>[XRefL5K]</v>
      </c>
      <c r="Y6" s="64" t="str">
        <f t="shared" si="0"/>
        <v>[Historian]</v>
      </c>
      <c r="Z6" s="64" t="str">
        <f t="shared" si="0"/>
        <v>[DisableAlarms]</v>
      </c>
      <c r="AA6" s="64" t="str">
        <f t="shared" si="0"/>
        <v>[DisableTrends]</v>
      </c>
      <c r="AB6" s="64" t="str">
        <f t="shared" si="0"/>
        <v>[Min]</v>
      </c>
      <c r="AC6" s="64" t="str">
        <f t="shared" si="0"/>
        <v>[Max]</v>
      </c>
      <c r="AD6" s="64" t="str">
        <f t="shared" si="0"/>
        <v>[Units]</v>
      </c>
      <c r="AE6" s="64" t="str">
        <f t="shared" si="0"/>
        <v>[Format]</v>
      </c>
      <c r="AF6" s="64" t="str">
        <f t="shared" si="0"/>
        <v>[TrendMin]</v>
      </c>
      <c r="AG6" s="64" t="str">
        <f t="shared" si="0"/>
        <v>[TrendMax]</v>
      </c>
      <c r="AH6" s="64" t="str">
        <f t="shared" si="0"/>
        <v>[AddrPrefixFull]</v>
      </c>
      <c r="AI6" s="64" t="str">
        <f t="shared" si="0"/>
        <v>[TagPrefixFull]</v>
      </c>
      <c r="AJ6" s="64" t="str">
        <f t="shared" si="0"/>
        <v>[PVPrefixFull]</v>
      </c>
      <c r="AK6" s="64" t="str">
        <f t="shared" si="0"/>
        <v>[PVEnable]</v>
      </c>
      <c r="AL6" s="64" t="str">
        <f t="shared" si="0"/>
        <v>[PVPLC]</v>
      </c>
      <c r="AM6" s="64" t="str">
        <f t="shared" si="0"/>
        <v>[PVFolder]</v>
      </c>
    </row>
    <row r="7" spans="1:39" s="5" customFormat="1" ht="28.5" customHeight="1" x14ac:dyDescent="0.3">
      <c r="A7" s="39" t="s">
        <v>287</v>
      </c>
      <c r="B7" s="39" t="s">
        <v>89</v>
      </c>
      <c r="C7" s="39" t="s">
        <v>90</v>
      </c>
      <c r="D7" s="39" t="s">
        <v>285</v>
      </c>
      <c r="E7" s="39" t="s">
        <v>286</v>
      </c>
      <c r="F7" s="39" t="s">
        <v>298</v>
      </c>
      <c r="G7" s="42" t="s">
        <v>325</v>
      </c>
      <c r="H7" s="40" t="s">
        <v>72</v>
      </c>
      <c r="I7" s="12" t="s">
        <v>150</v>
      </c>
      <c r="J7" s="12" t="s">
        <v>171</v>
      </c>
      <c r="K7" s="12" t="s">
        <v>297</v>
      </c>
      <c r="L7" s="12" t="s">
        <v>169</v>
      </c>
      <c r="M7" s="12" t="s">
        <v>74</v>
      </c>
      <c r="N7" s="12" t="s">
        <v>75</v>
      </c>
      <c r="O7" s="14" t="s">
        <v>153</v>
      </c>
      <c r="P7" s="14" t="s">
        <v>316</v>
      </c>
      <c r="Q7" s="14" t="s">
        <v>314</v>
      </c>
      <c r="R7" s="14" t="s">
        <v>315</v>
      </c>
      <c r="S7" s="14" t="s">
        <v>151</v>
      </c>
      <c r="T7" s="14" t="s">
        <v>152</v>
      </c>
      <c r="U7" s="15" t="s">
        <v>183</v>
      </c>
      <c r="V7" s="15" t="s">
        <v>186</v>
      </c>
      <c r="W7" s="15" t="s">
        <v>170</v>
      </c>
      <c r="X7" s="15" t="s">
        <v>340</v>
      </c>
      <c r="Y7" s="19" t="s">
        <v>306</v>
      </c>
      <c r="Z7" s="19" t="s">
        <v>293</v>
      </c>
      <c r="AA7" s="19" t="s">
        <v>294</v>
      </c>
      <c r="AB7" s="15" t="s">
        <v>311</v>
      </c>
      <c r="AC7" s="15" t="s">
        <v>312</v>
      </c>
      <c r="AD7" s="15" t="s">
        <v>78</v>
      </c>
      <c r="AE7" s="15" t="s">
        <v>81</v>
      </c>
      <c r="AF7" s="15" t="s">
        <v>333</v>
      </c>
      <c r="AG7" s="15" t="s">
        <v>334</v>
      </c>
      <c r="AH7" s="16" t="s">
        <v>176</v>
      </c>
      <c r="AI7" s="16" t="s">
        <v>177</v>
      </c>
      <c r="AJ7" s="16" t="s">
        <v>193</v>
      </c>
      <c r="AK7" s="19" t="s">
        <v>219</v>
      </c>
      <c r="AL7" s="19" t="s">
        <v>185</v>
      </c>
      <c r="AM7" s="19" t="s">
        <v>184</v>
      </c>
    </row>
    <row r="8" spans="1:39" x14ac:dyDescent="0.3">
      <c r="A8" s="76">
        <v>5</v>
      </c>
      <c r="B8" s="76">
        <v>1</v>
      </c>
      <c r="C8" s="76">
        <v>4</v>
      </c>
      <c r="D8" s="76">
        <v>0</v>
      </c>
      <c r="E8" s="76">
        <v>0</v>
      </c>
      <c r="F8" s="77">
        <v>3.125E-2</v>
      </c>
      <c r="G8" s="38" t="b">
        <v>1</v>
      </c>
      <c r="H8" s="78" t="s">
        <v>704</v>
      </c>
      <c r="I8" t="s">
        <v>846</v>
      </c>
      <c r="J8" s="85"/>
      <c r="K8" s="78" t="s">
        <v>347</v>
      </c>
      <c r="L8" s="78"/>
      <c r="M8" s="78" t="s">
        <v>847</v>
      </c>
      <c r="N8" t="s">
        <v>1407</v>
      </c>
      <c r="O8" s="78" t="s">
        <v>1405</v>
      </c>
      <c r="Q8" t="s">
        <v>869</v>
      </c>
      <c r="R8" t="s">
        <v>848</v>
      </c>
      <c r="S8" s="78" t="s">
        <v>849</v>
      </c>
      <c r="T8" s="78" t="s">
        <v>850</v>
      </c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H8" s="65" t="str">
        <f>V8&amp;IF(W8&lt;&gt;"","{"&amp;W8&amp;"}","")&amp;IF(V8="","",".")</f>
        <v/>
      </c>
      <c r="AI8" s="65" t="str">
        <f>IF(I8="","",I8&amp;"_")</f>
        <v>LW_Sub1_</v>
      </c>
      <c r="AJ8" s="65" t="str">
        <f>IF(I8="","",I8&amp;"_")</f>
        <v>LW_Sub1_</v>
      </c>
    </row>
    <row r="9" spans="1:39" x14ac:dyDescent="0.3">
      <c r="A9" s="41">
        <v>15</v>
      </c>
      <c r="B9" s="41">
        <v>3</v>
      </c>
      <c r="C9" s="41">
        <v>12</v>
      </c>
      <c r="D9" s="41">
        <v>0</v>
      </c>
      <c r="E9" s="41">
        <v>0</v>
      </c>
      <c r="F9" s="73">
        <v>2.734375E-2</v>
      </c>
      <c r="G9" s="38" t="b">
        <v>1</v>
      </c>
      <c r="H9" t="s">
        <v>348</v>
      </c>
      <c r="I9" t="s">
        <v>846</v>
      </c>
      <c r="J9" s="86"/>
      <c r="K9" t="s">
        <v>347</v>
      </c>
      <c r="M9" t="s">
        <v>847</v>
      </c>
      <c r="N9" t="s">
        <v>1407</v>
      </c>
      <c r="O9" s="78" t="s">
        <v>1405</v>
      </c>
      <c r="Q9" t="s">
        <v>869</v>
      </c>
      <c r="R9" t="s">
        <v>848</v>
      </c>
      <c r="S9" t="s">
        <v>849</v>
      </c>
      <c r="T9" t="s">
        <v>850</v>
      </c>
      <c r="AH9" s="65" t="str">
        <f t="shared" ref="AH9:AH27" si="1">V9&amp;IF(W9&lt;&gt;"","{"&amp;W9&amp;"}","")&amp;IF(V9="","",".")</f>
        <v/>
      </c>
      <c r="AI9" s="65" t="str">
        <f>IF(I9="","",I9&amp;"_")</f>
        <v>LW_Sub1_</v>
      </c>
      <c r="AJ9" s="65" t="str">
        <f>IF(I9="","",I9&amp;"_")</f>
        <v>LW_Sub1_</v>
      </c>
    </row>
    <row r="10" spans="1:39" x14ac:dyDescent="0.3">
      <c r="A10" s="41">
        <v>281</v>
      </c>
      <c r="B10" s="41">
        <v>105</v>
      </c>
      <c r="C10" s="41">
        <v>3</v>
      </c>
      <c r="D10" s="41">
        <v>0</v>
      </c>
      <c r="E10" s="41">
        <v>0</v>
      </c>
      <c r="F10" s="73">
        <v>5.46875E-2</v>
      </c>
      <c r="G10" s="38" t="b">
        <v>1</v>
      </c>
      <c r="H10" t="s">
        <v>349</v>
      </c>
      <c r="I10" t="s">
        <v>846</v>
      </c>
      <c r="J10" s="87"/>
      <c r="K10" t="s">
        <v>347</v>
      </c>
      <c r="M10" t="s">
        <v>847</v>
      </c>
      <c r="N10" t="s">
        <v>1407</v>
      </c>
      <c r="O10" s="78" t="s">
        <v>1405</v>
      </c>
      <c r="Q10" t="s">
        <v>869</v>
      </c>
      <c r="R10" t="s">
        <v>848</v>
      </c>
      <c r="S10" t="s">
        <v>849</v>
      </c>
      <c r="T10" t="s">
        <v>850</v>
      </c>
      <c r="AB10" s="97"/>
      <c r="AC10" s="97"/>
      <c r="AD10" s="97"/>
      <c r="AH10" s="65" t="str">
        <f t="shared" si="1"/>
        <v/>
      </c>
      <c r="AI10" s="65" t="str">
        <f>IF(I10="","",I10&amp;"_")</f>
        <v>LW_Sub1_</v>
      </c>
      <c r="AJ10" s="65" t="str">
        <f>IF(I10="","",I10&amp;"_")</f>
        <v>LW_Sub1_</v>
      </c>
    </row>
    <row r="11" spans="1:39" x14ac:dyDescent="0.3">
      <c r="A11" s="41">
        <v>2</v>
      </c>
      <c r="B11" s="41">
        <v>2</v>
      </c>
      <c r="C11" s="41">
        <v>0</v>
      </c>
      <c r="D11" s="41">
        <v>0</v>
      </c>
      <c r="E11" s="41">
        <v>0</v>
      </c>
      <c r="F11" s="73">
        <v>3.515625E-2</v>
      </c>
      <c r="G11" s="38" t="b">
        <v>1</v>
      </c>
      <c r="H11" t="s">
        <v>1403</v>
      </c>
      <c r="I11" t="s">
        <v>846</v>
      </c>
      <c r="J11" s="87"/>
      <c r="K11" t="s">
        <v>347</v>
      </c>
      <c r="M11" t="s">
        <v>847</v>
      </c>
      <c r="N11" t="s">
        <v>1407</v>
      </c>
      <c r="O11" s="115" t="s">
        <v>1406</v>
      </c>
      <c r="Q11" t="s">
        <v>869</v>
      </c>
      <c r="R11" t="s">
        <v>848</v>
      </c>
      <c r="S11" s="116" t="s">
        <v>1404</v>
      </c>
      <c r="T11" t="s">
        <v>850</v>
      </c>
      <c r="AB11" s="97"/>
      <c r="AC11" s="97"/>
      <c r="AD11" s="97"/>
      <c r="AH11" s="65" t="str">
        <f t="shared" ref="AH11" si="2">V11&amp;IF(W11&lt;&gt;"","{"&amp;W11&amp;"}","")&amp;IF(V11="","",".")</f>
        <v/>
      </c>
      <c r="AI11" s="65" t="str">
        <f>IF(I11="","",I11&amp;"_")</f>
        <v>LW_Sub1_</v>
      </c>
      <c r="AJ11" s="65" t="str">
        <f>IF(I11="","",I11&amp;"_")</f>
        <v>LW_Sub1_</v>
      </c>
    </row>
    <row r="12" spans="1:39" x14ac:dyDescent="0.3">
      <c r="A12" s="41">
        <v>11</v>
      </c>
      <c r="B12" s="41">
        <v>5</v>
      </c>
      <c r="C12" s="41">
        <v>5</v>
      </c>
      <c r="D12" s="41">
        <v>0</v>
      </c>
      <c r="E12" s="41">
        <v>0</v>
      </c>
      <c r="F12" s="73">
        <v>2.734375E-2</v>
      </c>
      <c r="G12" s="38" t="b">
        <v>1</v>
      </c>
      <c r="H12" t="s">
        <v>350</v>
      </c>
      <c r="I12" s="32" t="s">
        <v>851</v>
      </c>
      <c r="J12" t="s">
        <v>678</v>
      </c>
      <c r="M12" t="s">
        <v>847</v>
      </c>
      <c r="N12" t="s">
        <v>1407</v>
      </c>
      <c r="O12" s="78" t="s">
        <v>1405</v>
      </c>
      <c r="Q12" t="s">
        <v>869</v>
      </c>
      <c r="R12" t="s">
        <v>848</v>
      </c>
      <c r="S12" t="s">
        <v>849</v>
      </c>
      <c r="T12" t="s">
        <v>850</v>
      </c>
      <c r="V12" t="s">
        <v>870</v>
      </c>
      <c r="AB12" s="88">
        <v>0</v>
      </c>
      <c r="AC12" s="88">
        <v>200</v>
      </c>
      <c r="AD12" s="88" t="s">
        <v>173</v>
      </c>
      <c r="AE12" s="114" t="s">
        <v>699</v>
      </c>
      <c r="AH12" s="65" t="str">
        <f t="shared" si="1"/>
        <v>LW_SS01_TXF.TANK_TEMP.</v>
      </c>
      <c r="AI12" s="65" t="str">
        <f>IF(I12="","",I12&amp;"_")</f>
        <v>LW_Sub1_TXF_Tank_Temp_</v>
      </c>
      <c r="AJ12" s="65" t="str">
        <f>IF(I12="","",I12&amp;"_")</f>
        <v>LW_Sub1_TXF_Tank_Temp_</v>
      </c>
    </row>
    <row r="13" spans="1:39" x14ac:dyDescent="0.3">
      <c r="A13" s="41">
        <v>11</v>
      </c>
      <c r="B13" s="41">
        <v>5</v>
      </c>
      <c r="C13" s="41">
        <v>5</v>
      </c>
      <c r="D13" s="41">
        <v>0</v>
      </c>
      <c r="E13" s="41">
        <v>0</v>
      </c>
      <c r="F13" s="73">
        <v>2.734375E-2</v>
      </c>
      <c r="G13" s="38" t="b">
        <v>1</v>
      </c>
      <c r="H13" t="s">
        <v>350</v>
      </c>
      <c r="I13" s="32" t="s">
        <v>852</v>
      </c>
      <c r="J13" t="s">
        <v>679</v>
      </c>
      <c r="M13" t="s">
        <v>847</v>
      </c>
      <c r="N13" t="s">
        <v>1407</v>
      </c>
      <c r="O13" s="78" t="s">
        <v>1405</v>
      </c>
      <c r="Q13" t="s">
        <v>869</v>
      </c>
      <c r="R13" t="s">
        <v>848</v>
      </c>
      <c r="S13" t="s">
        <v>849</v>
      </c>
      <c r="T13" t="s">
        <v>850</v>
      </c>
      <c r="V13" t="s">
        <v>871</v>
      </c>
      <c r="AB13" s="88">
        <v>0</v>
      </c>
      <c r="AC13" s="88">
        <v>200</v>
      </c>
      <c r="AD13" s="88" t="s">
        <v>173</v>
      </c>
      <c r="AE13" s="114" t="s">
        <v>699</v>
      </c>
      <c r="AH13" s="65" t="str">
        <f t="shared" si="1"/>
        <v>LW_SS01_TXF.WIND_TEMP.</v>
      </c>
      <c r="AI13" s="65" t="str">
        <f t="shared" ref="AI13:AI28" si="3">IF(I13="","",I13&amp;"_")</f>
        <v>LW_Sub1_TXF_Wind_Temp_</v>
      </c>
      <c r="AJ13" s="65" t="str">
        <f t="shared" ref="AJ13:AJ28" si="4">IF(I13="","",I13&amp;"_")</f>
        <v>LW_Sub1_TXF_Wind_Temp_</v>
      </c>
    </row>
    <row r="14" spans="1:39" x14ac:dyDescent="0.3">
      <c r="A14" s="41">
        <v>11</v>
      </c>
      <c r="B14" s="41">
        <v>5</v>
      </c>
      <c r="C14" s="41">
        <v>5</v>
      </c>
      <c r="D14" s="41">
        <v>0</v>
      </c>
      <c r="E14" s="41">
        <v>0</v>
      </c>
      <c r="F14" s="73">
        <v>3.125E-2</v>
      </c>
      <c r="G14" s="38" t="b">
        <v>1</v>
      </c>
      <c r="H14" t="s">
        <v>350</v>
      </c>
      <c r="I14" s="32" t="s">
        <v>853</v>
      </c>
      <c r="J14" t="s">
        <v>680</v>
      </c>
      <c r="M14" t="s">
        <v>847</v>
      </c>
      <c r="N14" t="s">
        <v>1407</v>
      </c>
      <c r="O14" s="78" t="s">
        <v>1405</v>
      </c>
      <c r="Q14" t="s">
        <v>869</v>
      </c>
      <c r="R14" t="s">
        <v>848</v>
      </c>
      <c r="S14" t="s">
        <v>849</v>
      </c>
      <c r="T14" t="s">
        <v>850</v>
      </c>
      <c r="V14" t="s">
        <v>872</v>
      </c>
      <c r="AB14" s="88">
        <v>0</v>
      </c>
      <c r="AC14" s="88">
        <v>100</v>
      </c>
      <c r="AD14" s="88" t="s">
        <v>504</v>
      </c>
      <c r="AE14" s="88" t="s">
        <v>310</v>
      </c>
      <c r="AH14" s="65" t="str">
        <f t="shared" si="1"/>
        <v>LW_SS01_TXF.PRESS.</v>
      </c>
      <c r="AI14" s="65" t="str">
        <f t="shared" si="3"/>
        <v>LW_Sub1_TXF_Tank_Pressure_</v>
      </c>
      <c r="AJ14" s="65" t="str">
        <f t="shared" si="4"/>
        <v>LW_Sub1_TXF_Tank_Pressure_</v>
      </c>
    </row>
    <row r="15" spans="1:39" x14ac:dyDescent="0.3">
      <c r="A15" s="41">
        <v>11</v>
      </c>
      <c r="B15" s="41">
        <v>5</v>
      </c>
      <c r="C15" s="41">
        <v>5</v>
      </c>
      <c r="D15" s="41">
        <v>0</v>
      </c>
      <c r="E15" s="41">
        <v>0</v>
      </c>
      <c r="F15" s="73">
        <v>2.734375E-2</v>
      </c>
      <c r="G15" s="38" t="b">
        <v>1</v>
      </c>
      <c r="H15" t="s">
        <v>350</v>
      </c>
      <c r="I15" s="32" t="s">
        <v>854</v>
      </c>
      <c r="J15" t="s">
        <v>844</v>
      </c>
      <c r="M15" t="s">
        <v>847</v>
      </c>
      <c r="N15" t="s">
        <v>1407</v>
      </c>
      <c r="O15" s="78" t="s">
        <v>1405</v>
      </c>
      <c r="Q15" t="s">
        <v>869</v>
      </c>
      <c r="R15" t="s">
        <v>848</v>
      </c>
      <c r="S15" t="s">
        <v>849</v>
      </c>
      <c r="T15" t="s">
        <v>850</v>
      </c>
      <c r="V15" t="s">
        <v>873</v>
      </c>
      <c r="AB15" s="88">
        <v>0</v>
      </c>
      <c r="AC15" s="88">
        <v>120</v>
      </c>
      <c r="AD15" s="97" t="s">
        <v>313</v>
      </c>
      <c r="AE15" t="s">
        <v>692</v>
      </c>
      <c r="AH15" s="65" t="str">
        <f t="shared" ref="AH15:AH25" si="5">V15&amp;IF(W15&lt;&gt;"","{"&amp;W15&amp;"}","")&amp;IF(V15="","",".")</f>
        <v>LW_SS01_TXF.BU_EL.</v>
      </c>
      <c r="AI15" s="65" t="str">
        <f t="shared" ref="AI15:AI25" si="6">IF(I15="","",I15&amp;"_")</f>
        <v>LW_Sub1_TXF_BU_EL_</v>
      </c>
      <c r="AJ15" s="65" t="str">
        <f t="shared" ref="AJ15:AJ25" si="7">IF(I15="","",I15&amp;"_")</f>
        <v>LW_Sub1_TXF_BU_EL_</v>
      </c>
    </row>
    <row r="16" spans="1:39" x14ac:dyDescent="0.3">
      <c r="A16" s="41">
        <v>11</v>
      </c>
      <c r="B16" s="41">
        <v>5</v>
      </c>
      <c r="C16" s="41">
        <v>5</v>
      </c>
      <c r="D16" s="41">
        <v>0</v>
      </c>
      <c r="E16" s="41">
        <v>0</v>
      </c>
      <c r="F16" s="73">
        <v>2.734375E-2</v>
      </c>
      <c r="G16" s="38" t="b">
        <v>1</v>
      </c>
      <c r="H16" t="s">
        <v>350</v>
      </c>
      <c r="I16" s="32" t="s">
        <v>855</v>
      </c>
      <c r="J16" t="s">
        <v>681</v>
      </c>
      <c r="M16" t="s">
        <v>847</v>
      </c>
      <c r="N16" t="s">
        <v>1407</v>
      </c>
      <c r="O16" s="78" t="s">
        <v>1405</v>
      </c>
      <c r="Q16" t="s">
        <v>869</v>
      </c>
      <c r="R16" t="s">
        <v>848</v>
      </c>
      <c r="S16" t="s">
        <v>849</v>
      </c>
      <c r="T16" t="s">
        <v>850</v>
      </c>
      <c r="V16" s="32" t="s">
        <v>874</v>
      </c>
      <c r="AB16" s="88">
        <v>0</v>
      </c>
      <c r="AC16" s="88">
        <v>120</v>
      </c>
      <c r="AD16" s="97" t="s">
        <v>313</v>
      </c>
      <c r="AE16" t="s">
        <v>692</v>
      </c>
      <c r="AH16" s="65" t="str">
        <f t="shared" si="5"/>
        <v>LW_SS01_BUEL_240V.</v>
      </c>
      <c r="AI16" s="65" t="str">
        <f t="shared" si="6"/>
        <v>LW_Sub1_BUEL_240V_</v>
      </c>
      <c r="AJ16" s="65" t="str">
        <f t="shared" si="7"/>
        <v>LW_Sub1_BUEL_240V_</v>
      </c>
    </row>
    <row r="17" spans="1:36" x14ac:dyDescent="0.3">
      <c r="A17" s="41">
        <v>11</v>
      </c>
      <c r="B17" s="41">
        <v>5</v>
      </c>
      <c r="C17" s="41">
        <v>5</v>
      </c>
      <c r="D17" s="41">
        <v>0</v>
      </c>
      <c r="E17" s="41">
        <v>0</v>
      </c>
      <c r="F17" s="73">
        <v>2.34375E-2</v>
      </c>
      <c r="G17" s="38" t="b">
        <v>1</v>
      </c>
      <c r="H17" t="s">
        <v>350</v>
      </c>
      <c r="I17" s="32" t="s">
        <v>856</v>
      </c>
      <c r="J17" t="s">
        <v>682</v>
      </c>
      <c r="M17" t="s">
        <v>847</v>
      </c>
      <c r="N17" t="s">
        <v>1407</v>
      </c>
      <c r="O17" s="78" t="s">
        <v>1405</v>
      </c>
      <c r="Q17" t="s">
        <v>869</v>
      </c>
      <c r="R17" t="s">
        <v>848</v>
      </c>
      <c r="S17" t="s">
        <v>849</v>
      </c>
      <c r="T17" t="s">
        <v>850</v>
      </c>
      <c r="V17" s="32" t="s">
        <v>875</v>
      </c>
      <c r="AB17" s="88">
        <v>0</v>
      </c>
      <c r="AC17" s="88">
        <v>120</v>
      </c>
      <c r="AD17" s="97" t="s">
        <v>313</v>
      </c>
      <c r="AE17" t="s">
        <v>692</v>
      </c>
      <c r="AH17" s="65" t="str">
        <f t="shared" si="5"/>
        <v>LW_SS01_HT110_BUEL.</v>
      </c>
      <c r="AI17" s="65" t="str">
        <f t="shared" si="6"/>
        <v>LW_Sub1_HT110_BUEL_</v>
      </c>
      <c r="AJ17" s="65" t="str">
        <f t="shared" si="7"/>
        <v>LW_Sub1_HT110_BUEL_</v>
      </c>
    </row>
    <row r="18" spans="1:36" s="5" customFormat="1" x14ac:dyDescent="0.3">
      <c r="A18" s="81">
        <v>11</v>
      </c>
      <c r="B18" s="81">
        <v>5</v>
      </c>
      <c r="C18" s="81">
        <v>5</v>
      </c>
      <c r="D18" s="41">
        <v>0</v>
      </c>
      <c r="E18" s="41">
        <v>0</v>
      </c>
      <c r="F18" s="73">
        <v>2.734375E-2</v>
      </c>
      <c r="G18" s="38" t="b">
        <v>1</v>
      </c>
      <c r="H18" t="s">
        <v>350</v>
      </c>
      <c r="I18" t="s">
        <v>857</v>
      </c>
      <c r="J18" t="s">
        <v>577</v>
      </c>
      <c r="K18"/>
      <c r="L18"/>
      <c r="M18" t="s">
        <v>847</v>
      </c>
      <c r="N18" t="s">
        <v>1407</v>
      </c>
      <c r="O18" s="78" t="s">
        <v>1405</v>
      </c>
      <c r="P18"/>
      <c r="Q18" t="s">
        <v>869</v>
      </c>
      <c r="R18" t="s">
        <v>848</v>
      </c>
      <c r="S18" t="s">
        <v>849</v>
      </c>
      <c r="T18" t="s">
        <v>850</v>
      </c>
      <c r="U18"/>
      <c r="V18" t="s">
        <v>876</v>
      </c>
      <c r="W18"/>
      <c r="X18"/>
      <c r="Y18"/>
      <c r="Z18"/>
      <c r="AA18"/>
      <c r="AB18" s="88">
        <v>0</v>
      </c>
      <c r="AC18" s="88">
        <v>100</v>
      </c>
      <c r="AD18" s="97" t="s">
        <v>173</v>
      </c>
      <c r="AE18" t="s">
        <v>310</v>
      </c>
      <c r="AH18" s="65" t="str">
        <f t="shared" si="5"/>
        <v>LW_SS01_Comp.HT_BUSWAY.</v>
      </c>
      <c r="AI18" s="65" t="str">
        <f t="shared" si="6"/>
        <v>LW_Sub1_Comp_HT_Busway_Temp_</v>
      </c>
      <c r="AJ18" s="65" t="str">
        <f t="shared" si="7"/>
        <v>LW_Sub1_Comp_HT_Busway_Temp_</v>
      </c>
    </row>
    <row r="19" spans="1:36" x14ac:dyDescent="0.3">
      <c r="A19" s="41">
        <v>11</v>
      </c>
      <c r="B19" s="41">
        <v>5</v>
      </c>
      <c r="C19" s="41">
        <v>5</v>
      </c>
      <c r="D19" s="41">
        <v>0</v>
      </c>
      <c r="E19" s="41">
        <v>0</v>
      </c>
      <c r="F19" s="73">
        <v>2.734375E-2</v>
      </c>
      <c r="G19" s="38" t="b">
        <v>1</v>
      </c>
      <c r="H19" t="s">
        <v>350</v>
      </c>
      <c r="I19" t="s">
        <v>858</v>
      </c>
      <c r="J19" t="s">
        <v>578</v>
      </c>
      <c r="M19" t="s">
        <v>847</v>
      </c>
      <c r="N19" t="s">
        <v>1407</v>
      </c>
      <c r="O19" s="78" t="s">
        <v>1405</v>
      </c>
      <c r="Q19" t="s">
        <v>869</v>
      </c>
      <c r="R19" t="s">
        <v>848</v>
      </c>
      <c r="S19" t="s">
        <v>849</v>
      </c>
      <c r="T19" t="s">
        <v>850</v>
      </c>
      <c r="V19" t="s">
        <v>877</v>
      </c>
      <c r="AB19" s="88">
        <v>0</v>
      </c>
      <c r="AC19" s="88">
        <v>100</v>
      </c>
      <c r="AD19" s="97" t="s">
        <v>173</v>
      </c>
      <c r="AE19" t="s">
        <v>310</v>
      </c>
      <c r="AH19" s="65" t="str">
        <f t="shared" si="5"/>
        <v>LW_SS01_Comp.PLC.</v>
      </c>
      <c r="AI19" s="65" t="str">
        <f t="shared" si="6"/>
        <v>LW_Sub1_Comp_PLC_Temp_</v>
      </c>
      <c r="AJ19" s="65" t="str">
        <f t="shared" si="7"/>
        <v>LW_Sub1_Comp_PLC_Temp_</v>
      </c>
    </row>
    <row r="20" spans="1:36" x14ac:dyDescent="0.3">
      <c r="A20" s="41">
        <v>11</v>
      </c>
      <c r="B20" s="41">
        <v>5</v>
      </c>
      <c r="C20" s="41">
        <v>5</v>
      </c>
      <c r="D20" s="41">
        <v>0</v>
      </c>
      <c r="E20" s="41">
        <v>0</v>
      </c>
      <c r="F20" s="73">
        <v>2.34375E-2</v>
      </c>
      <c r="G20" s="38" t="b">
        <v>1</v>
      </c>
      <c r="H20" t="s">
        <v>350</v>
      </c>
      <c r="I20" t="s">
        <v>859</v>
      </c>
      <c r="J20" t="s">
        <v>832</v>
      </c>
      <c r="M20" t="s">
        <v>847</v>
      </c>
      <c r="N20" t="s">
        <v>1407</v>
      </c>
      <c r="O20" s="78" t="s">
        <v>1405</v>
      </c>
      <c r="Q20" t="s">
        <v>869</v>
      </c>
      <c r="R20" t="s">
        <v>848</v>
      </c>
      <c r="S20" t="s">
        <v>849</v>
      </c>
      <c r="T20" t="s">
        <v>850</v>
      </c>
      <c r="V20" t="s">
        <v>878</v>
      </c>
      <c r="AB20" s="88">
        <v>0</v>
      </c>
      <c r="AC20" s="88">
        <v>100</v>
      </c>
      <c r="AD20" s="97" t="s">
        <v>173</v>
      </c>
      <c r="AE20" t="s">
        <v>310</v>
      </c>
      <c r="AH20" s="65" t="str">
        <f t="shared" si="5"/>
        <v>LW_SS01_Comp.LT_FACE_CONT.</v>
      </c>
      <c r="AI20" s="65" t="str">
        <f t="shared" si="6"/>
        <v>LW_Sub1_Comp_LT_Face_Control_Temp_</v>
      </c>
      <c r="AJ20" s="65" t="str">
        <f t="shared" si="7"/>
        <v>LW_Sub1_Comp_LT_Face_Control_Temp_</v>
      </c>
    </row>
    <row r="21" spans="1:36" x14ac:dyDescent="0.3">
      <c r="A21" s="41">
        <v>11</v>
      </c>
      <c r="B21" s="41">
        <v>5</v>
      </c>
      <c r="C21" s="41">
        <v>5</v>
      </c>
      <c r="D21" s="41">
        <v>0</v>
      </c>
      <c r="E21" s="41">
        <v>0</v>
      </c>
      <c r="F21" s="73">
        <v>2.34375E-2</v>
      </c>
      <c r="G21" s="38" t="b">
        <v>1</v>
      </c>
      <c r="H21" t="s">
        <v>350</v>
      </c>
      <c r="I21" t="s">
        <v>860</v>
      </c>
      <c r="J21" t="s">
        <v>717</v>
      </c>
      <c r="M21" t="s">
        <v>847</v>
      </c>
      <c r="N21" t="s">
        <v>1407</v>
      </c>
      <c r="O21" s="78" t="s">
        <v>1405</v>
      </c>
      <c r="Q21" t="s">
        <v>869</v>
      </c>
      <c r="R21" t="s">
        <v>848</v>
      </c>
      <c r="S21" t="s">
        <v>849</v>
      </c>
      <c r="T21" t="s">
        <v>850</v>
      </c>
      <c r="V21" t="s">
        <v>879</v>
      </c>
      <c r="AB21" s="88">
        <v>0</v>
      </c>
      <c r="AC21" s="88">
        <v>100</v>
      </c>
      <c r="AD21" s="97" t="s">
        <v>173</v>
      </c>
      <c r="AE21" t="s">
        <v>310</v>
      </c>
      <c r="AH21" s="65" t="str">
        <f t="shared" si="5"/>
        <v>LW_SS01_Comp.LT_BUSWAY.</v>
      </c>
      <c r="AI21" s="65" t="str">
        <f t="shared" si="6"/>
        <v>LW_Sub1_Comp_LT_Busway_Temp_</v>
      </c>
      <c r="AJ21" s="65" t="str">
        <f t="shared" si="7"/>
        <v>LW_Sub1_Comp_LT_Busway_Temp_</v>
      </c>
    </row>
    <row r="22" spans="1:36" x14ac:dyDescent="0.3">
      <c r="A22" s="41">
        <v>42</v>
      </c>
      <c r="B22" s="41">
        <v>5</v>
      </c>
      <c r="C22" s="41">
        <v>0</v>
      </c>
      <c r="D22" s="41">
        <v>0</v>
      </c>
      <c r="E22" s="41">
        <v>0</v>
      </c>
      <c r="F22" s="73">
        <v>2.34375E-2</v>
      </c>
      <c r="G22" s="90" t="b">
        <v>1</v>
      </c>
      <c r="H22" s="78" t="s">
        <v>352</v>
      </c>
      <c r="I22" s="78" t="s">
        <v>861</v>
      </c>
      <c r="J22" s="78" t="s">
        <v>353</v>
      </c>
      <c r="K22" s="78"/>
      <c r="L22" s="78"/>
      <c r="M22" s="78" t="s">
        <v>847</v>
      </c>
      <c r="N22" t="s">
        <v>1407</v>
      </c>
      <c r="O22" s="78" t="s">
        <v>1405</v>
      </c>
      <c r="P22" s="78"/>
      <c r="Q22" s="78" t="s">
        <v>869</v>
      </c>
      <c r="R22" s="78" t="s">
        <v>848</v>
      </c>
      <c r="S22" s="78" t="s">
        <v>849</v>
      </c>
      <c r="T22" s="78" t="s">
        <v>850</v>
      </c>
      <c r="U22" s="78"/>
      <c r="V22" s="106" t="s">
        <v>880</v>
      </c>
      <c r="AB22" s="97"/>
      <c r="AC22" s="97"/>
      <c r="AD22" s="97"/>
      <c r="AH22" s="65" t="str">
        <f t="shared" si="5"/>
        <v>LW_SS01_AUX.OTL_6.</v>
      </c>
      <c r="AI22" s="65" t="str">
        <f t="shared" si="6"/>
        <v>LW_Sub1_OTL_6_</v>
      </c>
      <c r="AJ22" s="65" t="str">
        <f t="shared" si="7"/>
        <v>LW_Sub1_OTL_6_</v>
      </c>
    </row>
    <row r="23" spans="1:36" x14ac:dyDescent="0.3">
      <c r="A23" s="41">
        <v>11</v>
      </c>
      <c r="B23" s="41">
        <v>5</v>
      </c>
      <c r="C23" s="41">
        <v>5</v>
      </c>
      <c r="D23" s="41">
        <v>0</v>
      </c>
      <c r="E23" s="41">
        <v>0</v>
      </c>
      <c r="F23" s="73">
        <v>2.34375E-2</v>
      </c>
      <c r="G23" s="91" t="b">
        <v>1</v>
      </c>
      <c r="H23" s="84" t="s">
        <v>350</v>
      </c>
      <c r="I23" s="89" t="s">
        <v>862</v>
      </c>
      <c r="J23" s="89" t="s">
        <v>354</v>
      </c>
      <c r="K23" s="84"/>
      <c r="L23" s="84"/>
      <c r="M23" s="84" t="s">
        <v>847</v>
      </c>
      <c r="N23" t="s">
        <v>1407</v>
      </c>
      <c r="O23" s="78" t="s">
        <v>1405</v>
      </c>
      <c r="P23" s="84"/>
      <c r="Q23" s="84" t="s">
        <v>869</v>
      </c>
      <c r="R23" s="84" t="s">
        <v>848</v>
      </c>
      <c r="S23" s="84" t="s">
        <v>849</v>
      </c>
      <c r="T23" s="84" t="s">
        <v>850</v>
      </c>
      <c r="U23" s="84"/>
      <c r="V23" s="107" t="s">
        <v>881</v>
      </c>
      <c r="AB23" s="88">
        <v>0</v>
      </c>
      <c r="AC23" s="97">
        <v>350</v>
      </c>
      <c r="AD23" s="97" t="s">
        <v>106</v>
      </c>
      <c r="AE23" t="s">
        <v>692</v>
      </c>
      <c r="AH23" s="65" t="str">
        <f t="shared" si="5"/>
        <v>LW_SS01_AUX.OTL_6.EL.</v>
      </c>
      <c r="AI23" s="65" t="str">
        <f t="shared" si="6"/>
        <v>LW_Sub1_OTL_6_Earth_Leakage_</v>
      </c>
      <c r="AJ23" s="65" t="str">
        <f t="shared" si="7"/>
        <v>LW_Sub1_OTL_6_Earth_Leakage_</v>
      </c>
    </row>
    <row r="24" spans="1:36" x14ac:dyDescent="0.3">
      <c r="A24" s="41">
        <v>42</v>
      </c>
      <c r="B24" s="41">
        <v>5</v>
      </c>
      <c r="C24" s="41">
        <v>0</v>
      </c>
      <c r="D24" s="41">
        <v>0</v>
      </c>
      <c r="E24" s="41">
        <v>0</v>
      </c>
      <c r="F24" s="73">
        <v>2.734375E-2</v>
      </c>
      <c r="G24" s="92" t="b">
        <v>1</v>
      </c>
      <c r="H24" t="s">
        <v>352</v>
      </c>
      <c r="I24" t="s">
        <v>863</v>
      </c>
      <c r="J24" t="s">
        <v>355</v>
      </c>
      <c r="M24" t="s">
        <v>847</v>
      </c>
      <c r="N24" t="s">
        <v>1407</v>
      </c>
      <c r="O24" s="78" t="s">
        <v>1405</v>
      </c>
      <c r="Q24" t="s">
        <v>869</v>
      </c>
      <c r="R24" t="s">
        <v>848</v>
      </c>
      <c r="S24" t="s">
        <v>849</v>
      </c>
      <c r="T24" t="s">
        <v>850</v>
      </c>
      <c r="V24" s="108" t="s">
        <v>882</v>
      </c>
      <c r="AB24" s="97"/>
      <c r="AC24" s="97"/>
      <c r="AD24" s="97"/>
      <c r="AH24" s="65" t="str">
        <f t="shared" si="5"/>
        <v>LW_SS01_AUX.OTL_7.</v>
      </c>
      <c r="AI24" s="65" t="str">
        <f t="shared" si="6"/>
        <v>LW_Sub1_OTL_7_</v>
      </c>
      <c r="AJ24" s="65" t="str">
        <f t="shared" si="7"/>
        <v>LW_Sub1_OTL_7_</v>
      </c>
    </row>
    <row r="25" spans="1:36" x14ac:dyDescent="0.3">
      <c r="A25" s="41">
        <v>11</v>
      </c>
      <c r="B25" s="41">
        <v>5</v>
      </c>
      <c r="C25" s="41">
        <v>5</v>
      </c>
      <c r="D25" s="41">
        <v>0</v>
      </c>
      <c r="E25" s="41">
        <v>0</v>
      </c>
      <c r="F25" s="73">
        <v>2.34375E-2</v>
      </c>
      <c r="G25" s="91" t="b">
        <v>1</v>
      </c>
      <c r="H25" s="84" t="s">
        <v>350</v>
      </c>
      <c r="I25" s="89" t="s">
        <v>864</v>
      </c>
      <c r="J25" s="89" t="s">
        <v>356</v>
      </c>
      <c r="K25" s="84"/>
      <c r="L25" s="84"/>
      <c r="M25" s="84" t="s">
        <v>847</v>
      </c>
      <c r="N25" t="s">
        <v>1407</v>
      </c>
      <c r="O25" s="78" t="s">
        <v>1405</v>
      </c>
      <c r="P25" s="84"/>
      <c r="Q25" s="84" t="s">
        <v>869</v>
      </c>
      <c r="R25" s="84" t="s">
        <v>848</v>
      </c>
      <c r="S25" s="84" t="s">
        <v>849</v>
      </c>
      <c r="T25" s="84" t="s">
        <v>850</v>
      </c>
      <c r="U25" s="84"/>
      <c r="V25" s="107" t="s">
        <v>883</v>
      </c>
      <c r="AB25" s="88">
        <v>0</v>
      </c>
      <c r="AC25" s="97">
        <v>350</v>
      </c>
      <c r="AD25" s="97" t="s">
        <v>106</v>
      </c>
      <c r="AE25" t="s">
        <v>692</v>
      </c>
      <c r="AH25" s="65" t="str">
        <f t="shared" si="5"/>
        <v>LW_SS01_AUX.OTL_7.EL.</v>
      </c>
      <c r="AI25" s="65" t="str">
        <f t="shared" si="6"/>
        <v>LW_Sub1_OTL_7_Earth_Leakage_</v>
      </c>
      <c r="AJ25" s="65" t="str">
        <f t="shared" si="7"/>
        <v>LW_Sub1_OTL_7_Earth_Leakage_</v>
      </c>
    </row>
    <row r="26" spans="1:36" x14ac:dyDescent="0.3">
      <c r="A26" s="41">
        <v>0</v>
      </c>
      <c r="B26" s="41">
        <v>0</v>
      </c>
      <c r="C26" s="41">
        <v>0</v>
      </c>
      <c r="D26" s="41">
        <v>0</v>
      </c>
      <c r="E26" s="41">
        <v>0</v>
      </c>
      <c r="F26" s="73">
        <v>0</v>
      </c>
      <c r="G26" s="98" t="b">
        <v>0</v>
      </c>
      <c r="H26" t="s">
        <v>624</v>
      </c>
      <c r="I26" s="32" t="s">
        <v>865</v>
      </c>
      <c r="J26" s="32" t="s">
        <v>625</v>
      </c>
      <c r="M26" t="s">
        <v>847</v>
      </c>
      <c r="N26" t="s">
        <v>1407</v>
      </c>
      <c r="O26" s="78" t="s">
        <v>1405</v>
      </c>
      <c r="Q26" t="s">
        <v>869</v>
      </c>
      <c r="R26" t="s">
        <v>848</v>
      </c>
      <c r="S26" t="s">
        <v>849</v>
      </c>
      <c r="T26" t="s">
        <v>850</v>
      </c>
      <c r="V26" t="s">
        <v>884</v>
      </c>
      <c r="AB26" s="97"/>
      <c r="AC26" s="97"/>
      <c r="AD26" s="97"/>
      <c r="AH26" s="65" t="str">
        <f t="shared" si="1"/>
        <v>LW_SS01_FDR.DCB_Pmp.</v>
      </c>
      <c r="AI26" s="65" t="str">
        <f t="shared" si="3"/>
        <v>LW_Sub1_Feeder_Pump_</v>
      </c>
      <c r="AJ26" s="65" t="str">
        <f t="shared" si="4"/>
        <v>LW_Sub1_Feeder_Pump_</v>
      </c>
    </row>
    <row r="27" spans="1:36" ht="15" thickBot="1" x14ac:dyDescent="0.35">
      <c r="A27" s="102">
        <v>50</v>
      </c>
      <c r="B27" s="102">
        <v>23</v>
      </c>
      <c r="C27" s="102">
        <v>14</v>
      </c>
      <c r="D27" s="102">
        <v>0</v>
      </c>
      <c r="E27" s="102">
        <v>0</v>
      </c>
      <c r="F27" s="103">
        <v>2.734375E-2</v>
      </c>
      <c r="G27" s="104" t="b">
        <v>1</v>
      </c>
      <c r="H27" s="101" t="s">
        <v>710</v>
      </c>
      <c r="I27" s="101" t="s">
        <v>866</v>
      </c>
      <c r="J27" s="101" t="s">
        <v>711</v>
      </c>
      <c r="K27" s="101"/>
      <c r="L27" s="101"/>
      <c r="M27" s="101" t="s">
        <v>847</v>
      </c>
      <c r="N27" t="s">
        <v>1407</v>
      </c>
      <c r="O27" s="78" t="s">
        <v>1405</v>
      </c>
      <c r="P27" s="101"/>
      <c r="Q27" s="101" t="s">
        <v>869</v>
      </c>
      <c r="R27" s="101" t="s">
        <v>848</v>
      </c>
      <c r="S27" s="101" t="s">
        <v>849</v>
      </c>
      <c r="T27" s="101" t="s">
        <v>850</v>
      </c>
      <c r="U27" s="101"/>
      <c r="V27" s="101" t="s">
        <v>885</v>
      </c>
      <c r="AH27" s="65" t="str">
        <f t="shared" si="1"/>
        <v>LW_SS01_TXF.SEPAM.</v>
      </c>
      <c r="AI27" s="65" t="str">
        <f t="shared" si="3"/>
        <v>LW_Sub1_TXF_Sepam_</v>
      </c>
      <c r="AJ27" s="65" t="str">
        <f t="shared" si="4"/>
        <v>LW_Sub1_TXF_Sepam_</v>
      </c>
    </row>
    <row r="28" spans="1:36" x14ac:dyDescent="0.3">
      <c r="A28" s="41">
        <v>19</v>
      </c>
      <c r="B28" s="41">
        <v>1</v>
      </c>
      <c r="C28" s="41">
        <v>0</v>
      </c>
      <c r="D28" s="41">
        <v>0</v>
      </c>
      <c r="E28" s="41">
        <v>0</v>
      </c>
      <c r="F28" s="73">
        <v>2.34375E-2</v>
      </c>
      <c r="G28" s="112" t="b">
        <v>1</v>
      </c>
      <c r="H28" t="s">
        <v>843</v>
      </c>
      <c r="I28" t="s">
        <v>867</v>
      </c>
      <c r="J28" s="87" t="s">
        <v>843</v>
      </c>
      <c r="K28" t="s">
        <v>347</v>
      </c>
      <c r="M28" t="s">
        <v>847</v>
      </c>
      <c r="N28" t="s">
        <v>1407</v>
      </c>
      <c r="O28" s="78" t="s">
        <v>1405</v>
      </c>
      <c r="Q28" t="s">
        <v>869</v>
      </c>
      <c r="R28" t="s">
        <v>848</v>
      </c>
      <c r="S28" t="s">
        <v>849</v>
      </c>
      <c r="T28" t="s">
        <v>868</v>
      </c>
      <c r="AB28" s="97"/>
      <c r="AC28" s="97"/>
      <c r="AD28" s="97"/>
      <c r="AH28" s="65" t="e">
        <f>#REF!&amp;IF(W28&lt;&gt;"","{"&amp;W28&amp;"}","")&amp;IF(#REF!="","",".")</f>
        <v>#REF!</v>
      </c>
      <c r="AI28" s="65" t="str">
        <f t="shared" si="3"/>
        <v>LW_Sub1_Cisco_</v>
      </c>
      <c r="AJ28" s="65" t="str">
        <f t="shared" si="4"/>
        <v>LW_Sub1_Cisco_</v>
      </c>
    </row>
    <row r="29" spans="1:36" x14ac:dyDescent="0.3">
      <c r="AH29" s="65" t="str">
        <f>V29&amp;IF(W29&lt;&gt;"","{"&amp;W29&amp;"}","")&amp;IF(V29="","",".")</f>
        <v/>
      </c>
      <c r="AI29" s="65" t="str">
        <f>IF(I29="","",I29&amp;"_")</f>
        <v/>
      </c>
      <c r="AJ29" s="65" t="str">
        <f>IF(I29="","",I29&amp;"_")</f>
        <v/>
      </c>
    </row>
    <row r="30" spans="1:36" x14ac:dyDescent="0.3">
      <c r="AH30" s="65" t="str">
        <f>V30&amp;IF(W30&lt;&gt;"","{"&amp;W30&amp;"}","")&amp;IF(V30="","",".")</f>
        <v/>
      </c>
      <c r="AI30" s="65" t="str">
        <f>IF(I30="","",I30&amp;"_")</f>
        <v/>
      </c>
      <c r="AJ30" s="65" t="str">
        <f>IF(I30="","",I30&amp;"_")</f>
        <v/>
      </c>
    </row>
  </sheetData>
  <autoFilter ref="G7:AM30" xr:uid="{00000000-0001-0000-0100-000000000000}"/>
  <mergeCells count="2">
    <mergeCell ref="A6:H6"/>
    <mergeCell ref="A5:H5"/>
  </mergeCells>
  <phoneticPr fontId="7" type="noConversion"/>
  <printOptions gridLines="1"/>
  <pageMargins left="0" right="0" top="0" bottom="0" header="0" footer="0"/>
  <pageSetup paperSize="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906" r:id="rId4" name="Button 2">
              <controlPr defaultSize="0" print="0" autoFill="0" autoPict="0" macro="[0]!Generate_Tags">
                <anchor moveWithCells="1" sizeWithCells="1">
                  <from>
                    <xdr:col>8</xdr:col>
                    <xdr:colOff>4000500</xdr:colOff>
                    <xdr:row>0</xdr:row>
                    <xdr:rowOff>83820</xdr:rowOff>
                  </from>
                  <to>
                    <xdr:col>9</xdr:col>
                    <xdr:colOff>1493520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907" r:id="rId5" name="Button 3">
              <controlPr defaultSize="0" print="0" autoFill="0" autoPict="0" macro="[0]!WriteToDBFs">
                <anchor moveWithCells="1" sizeWithCells="1">
                  <from>
                    <xdr:col>9</xdr:col>
                    <xdr:colOff>1714500</xdr:colOff>
                    <xdr:row>0</xdr:row>
                    <xdr:rowOff>83820</xdr:rowOff>
                  </from>
                  <to>
                    <xdr:col>9</xdr:col>
                    <xdr:colOff>2430780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908" r:id="rId6" name="Button 4">
              <controlPr defaultSize="0" print="0" autoFill="0" autoPict="0" macro="[0]!Regular_Clear_Outputs">
                <anchor moveWithCells="1" sizeWithCells="1">
                  <from>
                    <xdr:col>7</xdr:col>
                    <xdr:colOff>83820</xdr:colOff>
                    <xdr:row>0</xdr:row>
                    <xdr:rowOff>76200</xdr:rowOff>
                  </from>
                  <to>
                    <xdr:col>7</xdr:col>
                    <xdr:colOff>830580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909" r:id="rId7" name="Button 5">
              <controlPr defaultSize="0" print="0" autoFill="0" autoPict="0" macro="[0]!UpdateAll">
                <anchor moveWithCells="1" sizeWithCells="1">
                  <from>
                    <xdr:col>9</xdr:col>
                    <xdr:colOff>2895600</xdr:colOff>
                    <xdr:row>0</xdr:row>
                    <xdr:rowOff>114300</xdr:rowOff>
                  </from>
                  <to>
                    <xdr:col>9</xdr:col>
                    <xdr:colOff>3733800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910" r:id="rId8" name="Button 6">
              <controlPr defaultSize="0" print="0" autoFill="0" autoPict="0" macro="[0]!Super_Clear_Outputs">
                <anchor moveWithCells="1" sizeWithCells="1">
                  <from>
                    <xdr:col>8</xdr:col>
                    <xdr:colOff>137160</xdr:colOff>
                    <xdr:row>0</xdr:row>
                    <xdr:rowOff>76200</xdr:rowOff>
                  </from>
                  <to>
                    <xdr:col>8</xdr:col>
                    <xdr:colOff>807720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911" r:id="rId9" name="Button 7">
              <controlPr defaultSize="0" print="0" autoFill="0" autoPict="0" macro="[0]!FindInFile">
                <anchor moveWithCells="1" sizeWithCells="1">
                  <from>
                    <xdr:col>21</xdr:col>
                    <xdr:colOff>1866900</xdr:colOff>
                    <xdr:row>1</xdr:row>
                    <xdr:rowOff>7620</xdr:rowOff>
                  </from>
                  <to>
                    <xdr:col>21</xdr:col>
                    <xdr:colOff>3078480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912" r:id="rId10" name="Button 8">
              <controlPr defaultSize="0" print="0" autoFill="0" autoPict="0" macro="[0]!GenerateAndWrite_Tags">
                <anchor moveWithCells="1" sizeWithCells="1">
                  <from>
                    <xdr:col>8</xdr:col>
                    <xdr:colOff>1531620</xdr:colOff>
                    <xdr:row>0</xdr:row>
                    <xdr:rowOff>114300</xdr:rowOff>
                  </from>
                  <to>
                    <xdr:col>8</xdr:col>
                    <xdr:colOff>3162300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5" tint="0.39997558519241921"/>
    <pageSetUpPr fitToPage="1"/>
  </sheetPr>
  <dimension ref="A1:AZ15708"/>
  <sheetViews>
    <sheetView zoomScale="70" zoomScaleNormal="70" workbookViewId="0">
      <pane ySplit="1" topLeftCell="A64" activePane="bottomLeft" state="frozen"/>
      <selection activeCell="C13" sqref="C13"/>
      <selection pane="bottomLeft" activeCell="C13" sqref="C13"/>
    </sheetView>
  </sheetViews>
  <sheetFormatPr defaultColWidth="9.109375" defaultRowHeight="14.4" x14ac:dyDescent="0.3"/>
  <cols>
    <col min="1" max="1" width="54.44140625" style="6" bestFit="1" customWidth="1"/>
    <col min="2" max="2" width="11.109375" style="6" bestFit="1" customWidth="1"/>
    <col min="3" max="3" width="15.6640625" style="6" bestFit="1" customWidth="1"/>
    <col min="4" max="4" width="53.109375" style="6" bestFit="1" customWidth="1"/>
    <col min="5" max="5" width="18.109375" style="6" bestFit="1" customWidth="1"/>
    <col min="6" max="7" width="17.6640625" style="6" bestFit="1" customWidth="1"/>
    <col min="8" max="8" width="17.33203125" style="6" bestFit="1" customWidth="1"/>
    <col min="9" max="9" width="18.33203125" style="6" bestFit="1" customWidth="1"/>
    <col min="10" max="10" width="14.88671875" style="6" bestFit="1" customWidth="1"/>
    <col min="11" max="11" width="71.44140625" style="6" bestFit="1" customWidth="1"/>
    <col min="12" max="12" width="16.6640625" style="6" bestFit="1" customWidth="1"/>
    <col min="13" max="13" width="13.44140625" style="6" bestFit="1" customWidth="1"/>
    <col min="14" max="14" width="9.109375" style="6" bestFit="1" customWidth="1"/>
    <col min="15" max="15" width="10.5546875" style="6" bestFit="1" customWidth="1"/>
    <col min="16" max="16" width="11" style="6" bestFit="1" customWidth="1"/>
    <col min="17" max="17" width="17.88671875" style="6" bestFit="1" customWidth="1"/>
    <col min="18" max="18" width="15" style="6" bestFit="1" customWidth="1"/>
    <col min="19" max="19" width="20.33203125" style="6" bestFit="1" customWidth="1"/>
    <col min="20" max="20" width="15.88671875" style="6" bestFit="1" customWidth="1"/>
    <col min="21" max="21" width="12.109375" style="6" bestFit="1" customWidth="1"/>
    <col min="22" max="22" width="10.33203125" style="6" bestFit="1" customWidth="1"/>
    <col min="23" max="23" width="17.6640625" style="6" bestFit="1" customWidth="1"/>
    <col min="24" max="24" width="16" style="6" bestFit="1" customWidth="1"/>
    <col min="25" max="25" width="38.33203125" style="6" bestFit="1" customWidth="1"/>
    <col min="26" max="31" width="16.44140625" style="6" bestFit="1" customWidth="1"/>
    <col min="32" max="32" width="20.33203125" style="6" bestFit="1" customWidth="1"/>
    <col min="33" max="33" width="10.6640625" style="6" bestFit="1" customWidth="1"/>
    <col min="34" max="42" width="8.6640625" style="6" bestFit="1" customWidth="1"/>
    <col min="43" max="16384" width="9.109375" style="6"/>
  </cols>
  <sheetData>
    <row r="1" spans="1:33" x14ac:dyDescent="0.3">
      <c r="A1" s="46" t="s">
        <v>0</v>
      </c>
      <c r="B1" s="45" t="s">
        <v>1</v>
      </c>
      <c r="C1" s="45" t="s">
        <v>2</v>
      </c>
      <c r="D1" s="45" t="s">
        <v>3</v>
      </c>
      <c r="E1" s="45" t="s">
        <v>4</v>
      </c>
      <c r="F1" s="45" t="s">
        <v>5</v>
      </c>
      <c r="G1" s="45" t="s">
        <v>6</v>
      </c>
      <c r="H1" s="45" t="s">
        <v>7</v>
      </c>
      <c r="I1" s="45" t="s">
        <v>8</v>
      </c>
      <c r="J1" s="45" t="s">
        <v>9</v>
      </c>
      <c r="K1" s="45" t="s">
        <v>10</v>
      </c>
      <c r="L1" s="45" t="s">
        <v>11</v>
      </c>
      <c r="M1" s="45" t="s">
        <v>12</v>
      </c>
      <c r="N1" s="45" t="s">
        <v>13</v>
      </c>
      <c r="O1" s="45" t="s">
        <v>14</v>
      </c>
      <c r="P1" s="45" t="s">
        <v>15</v>
      </c>
      <c r="Q1" s="45" t="s">
        <v>16</v>
      </c>
      <c r="R1" s="45" t="s">
        <v>17</v>
      </c>
      <c r="S1" s="45" t="s">
        <v>18</v>
      </c>
      <c r="T1" s="45" t="s">
        <v>19</v>
      </c>
      <c r="U1" s="45" t="s">
        <v>20</v>
      </c>
      <c r="V1" s="45" t="s">
        <v>21</v>
      </c>
      <c r="W1" s="45" t="s">
        <v>22</v>
      </c>
      <c r="X1" s="45" t="s">
        <v>23</v>
      </c>
      <c r="Y1" s="45" t="s">
        <v>24</v>
      </c>
      <c r="Z1" s="45" t="s">
        <v>25</v>
      </c>
      <c r="AA1" s="45" t="s">
        <v>26</v>
      </c>
      <c r="AB1" s="45" t="s">
        <v>27</v>
      </c>
      <c r="AC1" s="45" t="s">
        <v>28</v>
      </c>
      <c r="AD1" s="45" t="s">
        <v>29</v>
      </c>
      <c r="AE1" s="47" t="s">
        <v>30</v>
      </c>
      <c r="AF1" s="82" t="s">
        <v>342</v>
      </c>
      <c r="AG1" s="82" t="s">
        <v>341</v>
      </c>
    </row>
    <row r="2" spans="1:33" x14ac:dyDescent="0.3">
      <c r="A2" s="6" t="s">
        <v>981</v>
      </c>
      <c r="B2" s="6" t="s">
        <v>99</v>
      </c>
      <c r="C2" s="6" t="s">
        <v>847</v>
      </c>
      <c r="D2" s="6" t="s">
        <v>335</v>
      </c>
      <c r="E2" s="6" t="s">
        <v>718</v>
      </c>
      <c r="F2" s="6" t="s">
        <v>718</v>
      </c>
      <c r="G2" s="6" t="s">
        <v>718</v>
      </c>
      <c r="H2" s="6" t="s">
        <v>718</v>
      </c>
      <c r="I2" s="6" t="s">
        <v>718</v>
      </c>
      <c r="J2" s="6" t="s">
        <v>718</v>
      </c>
      <c r="K2" s="6" t="s">
        <v>336</v>
      </c>
      <c r="T2" s="6" t="s">
        <v>1407</v>
      </c>
      <c r="U2" s="6" t="s">
        <v>1405</v>
      </c>
      <c r="V2" s="6" t="s">
        <v>718</v>
      </c>
      <c r="W2" s="6" t="s">
        <v>718</v>
      </c>
      <c r="X2" s="6" t="s">
        <v>869</v>
      </c>
      <c r="Y2" s="6" t="s">
        <v>718</v>
      </c>
      <c r="Z2" s="6" t="s">
        <v>718</v>
      </c>
      <c r="AA2" s="6" t="s">
        <v>718</v>
      </c>
      <c r="AE2" s="6" t="s">
        <v>718</v>
      </c>
      <c r="AF2" s="6" t="s">
        <v>718</v>
      </c>
      <c r="AG2" s="6" t="s">
        <v>1408</v>
      </c>
    </row>
    <row r="3" spans="1:33" x14ac:dyDescent="0.3">
      <c r="A3" s="6" t="s">
        <v>982</v>
      </c>
      <c r="B3" s="6" t="s">
        <v>99</v>
      </c>
      <c r="C3" s="6" t="s">
        <v>847</v>
      </c>
      <c r="D3" s="6" t="s">
        <v>324</v>
      </c>
      <c r="E3" s="6" t="s">
        <v>718</v>
      </c>
      <c r="F3" s="6" t="s">
        <v>718</v>
      </c>
      <c r="G3" s="6" t="s">
        <v>718</v>
      </c>
      <c r="H3" s="6" t="s">
        <v>718</v>
      </c>
      <c r="I3" s="6" t="s">
        <v>718</v>
      </c>
      <c r="J3" s="6" t="s">
        <v>718</v>
      </c>
      <c r="K3" s="6" t="s">
        <v>357</v>
      </c>
      <c r="T3" s="6" t="s">
        <v>1407</v>
      </c>
      <c r="U3" s="6" t="s">
        <v>1405</v>
      </c>
      <c r="V3" s="6" t="s">
        <v>718</v>
      </c>
      <c r="W3" s="6" t="s">
        <v>718</v>
      </c>
      <c r="X3" s="6" t="s">
        <v>869</v>
      </c>
      <c r="Y3" s="6" t="s">
        <v>718</v>
      </c>
      <c r="Z3" s="6" t="s">
        <v>719</v>
      </c>
      <c r="AA3" s="6">
        <v>1</v>
      </c>
      <c r="AE3" s="6" t="s">
        <v>718</v>
      </c>
      <c r="AF3" s="6" t="s">
        <v>718</v>
      </c>
      <c r="AG3" s="6" t="s">
        <v>1409</v>
      </c>
    </row>
    <row r="4" spans="1:33" x14ac:dyDescent="0.3">
      <c r="A4" s="6" t="s">
        <v>983</v>
      </c>
      <c r="B4" s="6" t="s">
        <v>99</v>
      </c>
      <c r="C4" s="6" t="s">
        <v>847</v>
      </c>
      <c r="D4" s="6" t="s">
        <v>318</v>
      </c>
      <c r="E4" s="6" t="s">
        <v>718</v>
      </c>
      <c r="F4" s="6" t="s">
        <v>718</v>
      </c>
      <c r="G4" s="6" t="s">
        <v>718</v>
      </c>
      <c r="H4" s="6" t="s">
        <v>718</v>
      </c>
      <c r="I4" s="6" t="s">
        <v>718</v>
      </c>
      <c r="J4" s="6" t="s">
        <v>718</v>
      </c>
      <c r="K4" s="6" t="s">
        <v>319</v>
      </c>
      <c r="T4" s="6" t="s">
        <v>1407</v>
      </c>
      <c r="U4" s="6" t="s">
        <v>1405</v>
      </c>
      <c r="V4" s="6" t="s">
        <v>718</v>
      </c>
      <c r="W4" s="6" t="s">
        <v>718</v>
      </c>
      <c r="X4" s="6" t="s">
        <v>869</v>
      </c>
      <c r="Y4" s="6" t="s">
        <v>718</v>
      </c>
      <c r="Z4" s="6" t="s">
        <v>718</v>
      </c>
      <c r="AA4" s="6">
        <v>1</v>
      </c>
      <c r="AE4" s="6" t="s">
        <v>718</v>
      </c>
      <c r="AF4" s="6" t="s">
        <v>718</v>
      </c>
      <c r="AG4" s="6" t="s">
        <v>1410</v>
      </c>
    </row>
    <row r="5" spans="1:33" x14ac:dyDescent="0.3">
      <c r="A5" s="6" t="s">
        <v>984</v>
      </c>
      <c r="B5" s="6" t="s">
        <v>99</v>
      </c>
      <c r="C5" s="6" t="s">
        <v>847</v>
      </c>
      <c r="D5" s="6" t="s">
        <v>317</v>
      </c>
      <c r="E5" s="6" t="s">
        <v>718</v>
      </c>
      <c r="F5" s="6" t="s">
        <v>718</v>
      </c>
      <c r="G5" s="6" t="s">
        <v>718</v>
      </c>
      <c r="H5" s="6" t="s">
        <v>718</v>
      </c>
      <c r="I5" s="6" t="s">
        <v>718</v>
      </c>
      <c r="J5" s="6" t="s">
        <v>718</v>
      </c>
      <c r="K5" s="6" t="s">
        <v>320</v>
      </c>
      <c r="T5" s="6" t="s">
        <v>1407</v>
      </c>
      <c r="U5" s="6" t="s">
        <v>1405</v>
      </c>
      <c r="V5" s="6" t="s">
        <v>718</v>
      </c>
      <c r="W5" s="6" t="s">
        <v>718</v>
      </c>
      <c r="X5" s="6" t="s">
        <v>869</v>
      </c>
      <c r="Y5" s="6" t="s">
        <v>718</v>
      </c>
      <c r="Z5" s="6" t="s">
        <v>718</v>
      </c>
      <c r="AA5" s="6">
        <v>1</v>
      </c>
      <c r="AE5" s="6" t="s">
        <v>718</v>
      </c>
      <c r="AF5" s="6" t="s">
        <v>718</v>
      </c>
      <c r="AG5" s="6" t="s">
        <v>1411</v>
      </c>
    </row>
    <row r="6" spans="1:33" x14ac:dyDescent="0.3">
      <c r="A6" s="17" t="s">
        <v>985</v>
      </c>
      <c r="B6" s="17" t="s">
        <v>99</v>
      </c>
      <c r="C6" s="17" t="s">
        <v>847</v>
      </c>
      <c r="D6" s="17" t="s">
        <v>321</v>
      </c>
      <c r="E6" s="17" t="s">
        <v>718</v>
      </c>
      <c r="F6" s="17" t="s">
        <v>718</v>
      </c>
      <c r="G6" s="17" t="s">
        <v>718</v>
      </c>
      <c r="H6" s="17" t="s">
        <v>718</v>
      </c>
      <c r="I6" s="17" t="s">
        <v>718</v>
      </c>
      <c r="J6" s="17" t="s">
        <v>718</v>
      </c>
      <c r="K6" s="17" t="s">
        <v>323</v>
      </c>
      <c r="L6" s="17"/>
      <c r="M6" s="17"/>
      <c r="N6" s="17"/>
      <c r="O6" s="17"/>
      <c r="P6" s="17"/>
      <c r="Q6" s="17"/>
      <c r="R6" s="17"/>
      <c r="S6" s="17"/>
      <c r="T6" s="17" t="s">
        <v>1407</v>
      </c>
      <c r="U6" s="17" t="s">
        <v>1405</v>
      </c>
      <c r="V6" s="17" t="s">
        <v>718</v>
      </c>
      <c r="W6" s="17" t="s">
        <v>718</v>
      </c>
      <c r="X6" s="17" t="s">
        <v>869</v>
      </c>
      <c r="Y6" s="17" t="s">
        <v>718</v>
      </c>
      <c r="Z6" s="17" t="s">
        <v>718</v>
      </c>
      <c r="AA6" s="17">
        <v>1</v>
      </c>
      <c r="AB6" s="17"/>
      <c r="AC6" s="17"/>
      <c r="AD6" s="17"/>
      <c r="AE6" s="17" t="s">
        <v>718</v>
      </c>
      <c r="AF6" s="17" t="s">
        <v>718</v>
      </c>
      <c r="AG6" s="17" t="s">
        <v>1412</v>
      </c>
    </row>
    <row r="7" spans="1:33" x14ac:dyDescent="0.3">
      <c r="A7" s="6" t="s">
        <v>994</v>
      </c>
      <c r="B7" s="6" t="s">
        <v>99</v>
      </c>
      <c r="C7" s="6" t="s">
        <v>847</v>
      </c>
      <c r="D7" s="6" t="s">
        <v>344</v>
      </c>
      <c r="E7" s="6" t="s">
        <v>718</v>
      </c>
      <c r="F7" s="6" t="s">
        <v>718</v>
      </c>
      <c r="G7" s="6" t="s">
        <v>718</v>
      </c>
      <c r="H7" s="6" t="s">
        <v>718</v>
      </c>
      <c r="I7" s="6" t="s">
        <v>718</v>
      </c>
      <c r="J7" s="6" t="s">
        <v>718</v>
      </c>
      <c r="K7" s="6" t="s">
        <v>345</v>
      </c>
      <c r="T7" s="6" t="s">
        <v>1407</v>
      </c>
      <c r="U7" s="6" t="s">
        <v>1405</v>
      </c>
      <c r="V7" s="6" t="s">
        <v>718</v>
      </c>
      <c r="W7" s="6" t="s">
        <v>718</v>
      </c>
      <c r="X7" s="6" t="s">
        <v>869</v>
      </c>
      <c r="Y7" s="6" t="s">
        <v>718</v>
      </c>
      <c r="Z7" s="6" t="s">
        <v>308</v>
      </c>
      <c r="AA7" s="6" t="s">
        <v>718</v>
      </c>
      <c r="AE7" s="6" t="s">
        <v>718</v>
      </c>
      <c r="AF7" s="6" t="s">
        <v>718</v>
      </c>
      <c r="AG7" s="6" t="s">
        <v>1413</v>
      </c>
    </row>
    <row r="8" spans="1:33" x14ac:dyDescent="0.3">
      <c r="A8" s="6" t="s">
        <v>995</v>
      </c>
      <c r="B8" s="6" t="s">
        <v>99</v>
      </c>
      <c r="C8" s="6" t="s">
        <v>847</v>
      </c>
      <c r="D8" s="6" t="s">
        <v>346</v>
      </c>
      <c r="E8" s="6" t="s">
        <v>718</v>
      </c>
      <c r="F8" s="6" t="s">
        <v>718</v>
      </c>
      <c r="G8" s="6" t="s">
        <v>718</v>
      </c>
      <c r="H8" s="6" t="s">
        <v>718</v>
      </c>
      <c r="I8" s="6" t="s">
        <v>718</v>
      </c>
      <c r="J8" s="6" t="s">
        <v>718</v>
      </c>
      <c r="K8" s="6" t="s">
        <v>359</v>
      </c>
      <c r="T8" s="6" t="s">
        <v>1407</v>
      </c>
      <c r="U8" s="6" t="s">
        <v>1405</v>
      </c>
      <c r="V8" s="6" t="s">
        <v>718</v>
      </c>
      <c r="W8" s="6" t="s">
        <v>718</v>
      </c>
      <c r="X8" s="6" t="s">
        <v>869</v>
      </c>
      <c r="Y8" s="6" t="s">
        <v>718</v>
      </c>
      <c r="Z8" s="6" t="s">
        <v>308</v>
      </c>
      <c r="AA8" s="6" t="s">
        <v>718</v>
      </c>
      <c r="AE8" s="6" t="s">
        <v>718</v>
      </c>
      <c r="AF8" s="6" t="s">
        <v>718</v>
      </c>
      <c r="AG8" s="6" t="s">
        <v>1414</v>
      </c>
    </row>
    <row r="9" spans="1:33" x14ac:dyDescent="0.3">
      <c r="A9" s="6" t="s">
        <v>996</v>
      </c>
      <c r="B9" s="6" t="s">
        <v>99</v>
      </c>
      <c r="C9" s="6" t="s">
        <v>847</v>
      </c>
      <c r="D9" s="6" t="s">
        <v>722</v>
      </c>
      <c r="E9" s="6" t="s">
        <v>718</v>
      </c>
      <c r="F9" s="6" t="s">
        <v>718</v>
      </c>
      <c r="G9" s="6" t="s">
        <v>718</v>
      </c>
      <c r="H9" s="6" t="s">
        <v>718</v>
      </c>
      <c r="I9" s="6" t="s">
        <v>718</v>
      </c>
      <c r="J9" s="6" t="s">
        <v>718</v>
      </c>
      <c r="K9" s="6" t="s">
        <v>723</v>
      </c>
      <c r="T9" s="6" t="s">
        <v>1407</v>
      </c>
      <c r="U9" s="6" t="s">
        <v>1405</v>
      </c>
      <c r="V9" s="6" t="s">
        <v>718</v>
      </c>
      <c r="W9" s="6" t="s">
        <v>718</v>
      </c>
      <c r="X9" s="6" t="s">
        <v>869</v>
      </c>
      <c r="Y9" s="6" t="s">
        <v>718</v>
      </c>
      <c r="Z9" s="6" t="s">
        <v>718</v>
      </c>
      <c r="AA9" s="6">
        <v>1</v>
      </c>
      <c r="AE9" s="6" t="s">
        <v>718</v>
      </c>
      <c r="AF9" s="6" t="s">
        <v>718</v>
      </c>
      <c r="AG9" s="6" t="s">
        <v>1415</v>
      </c>
    </row>
    <row r="10" spans="1:33" x14ac:dyDescent="0.3">
      <c r="A10" s="6" t="s">
        <v>997</v>
      </c>
      <c r="B10" s="6" t="s">
        <v>99</v>
      </c>
      <c r="C10" s="6" t="s">
        <v>847</v>
      </c>
      <c r="D10" s="6" t="s">
        <v>720</v>
      </c>
      <c r="E10" s="6" t="s">
        <v>718</v>
      </c>
      <c r="F10" s="6" t="s">
        <v>718</v>
      </c>
      <c r="G10" s="6" t="s">
        <v>718</v>
      </c>
      <c r="H10" s="6" t="s">
        <v>718</v>
      </c>
      <c r="I10" s="6" t="s">
        <v>718</v>
      </c>
      <c r="J10" s="6" t="s">
        <v>718</v>
      </c>
      <c r="K10" s="6" t="s">
        <v>721</v>
      </c>
      <c r="T10" s="6" t="s">
        <v>1407</v>
      </c>
      <c r="U10" s="6" t="s">
        <v>1405</v>
      </c>
      <c r="V10" s="6" t="s">
        <v>718</v>
      </c>
      <c r="W10" s="6" t="s">
        <v>718</v>
      </c>
      <c r="X10" s="6" t="s">
        <v>869</v>
      </c>
      <c r="Y10" s="6" t="s">
        <v>718</v>
      </c>
      <c r="Z10" s="6" t="s">
        <v>718</v>
      </c>
      <c r="AA10" s="6">
        <v>1</v>
      </c>
      <c r="AE10" s="6" t="s">
        <v>718</v>
      </c>
      <c r="AF10" s="6" t="s">
        <v>718</v>
      </c>
      <c r="AG10" s="6" t="s">
        <v>1416</v>
      </c>
    </row>
    <row r="11" spans="1:33" x14ac:dyDescent="0.3">
      <c r="A11" s="6" t="s">
        <v>998</v>
      </c>
      <c r="B11" s="6" t="s">
        <v>99</v>
      </c>
      <c r="C11" s="6" t="s">
        <v>847</v>
      </c>
      <c r="D11" s="6" t="s">
        <v>727</v>
      </c>
      <c r="E11" s="6" t="s">
        <v>718</v>
      </c>
      <c r="F11" s="6" t="s">
        <v>718</v>
      </c>
      <c r="G11" s="6" t="s">
        <v>718</v>
      </c>
      <c r="H11" s="6" t="s">
        <v>718</v>
      </c>
      <c r="I11" s="6" t="s">
        <v>718</v>
      </c>
      <c r="J11" s="6" t="s">
        <v>718</v>
      </c>
      <c r="K11" s="6" t="s">
        <v>728</v>
      </c>
      <c r="T11" s="6" t="s">
        <v>1407</v>
      </c>
      <c r="U11" s="6" t="s">
        <v>1405</v>
      </c>
      <c r="V11" s="6" t="s">
        <v>718</v>
      </c>
      <c r="W11" s="6" t="s">
        <v>718</v>
      </c>
      <c r="X11" s="6" t="s">
        <v>869</v>
      </c>
      <c r="Y11" s="6" t="s">
        <v>718</v>
      </c>
      <c r="Z11" s="6" t="s">
        <v>718</v>
      </c>
      <c r="AA11" s="6">
        <v>1</v>
      </c>
      <c r="AE11" s="6" t="s">
        <v>718</v>
      </c>
      <c r="AF11" s="6" t="s">
        <v>718</v>
      </c>
      <c r="AG11" s="6" t="s">
        <v>1417</v>
      </c>
    </row>
    <row r="12" spans="1:33" x14ac:dyDescent="0.3">
      <c r="A12" s="6" t="s">
        <v>999</v>
      </c>
      <c r="B12" s="6" t="s">
        <v>99</v>
      </c>
      <c r="C12" s="6" t="s">
        <v>847</v>
      </c>
      <c r="D12" s="6" t="s">
        <v>803</v>
      </c>
      <c r="E12" s="6" t="s">
        <v>718</v>
      </c>
      <c r="F12" s="6" t="s">
        <v>718</v>
      </c>
      <c r="G12" s="6" t="s">
        <v>718</v>
      </c>
      <c r="H12" s="6" t="s">
        <v>718</v>
      </c>
      <c r="I12" s="6" t="s">
        <v>718</v>
      </c>
      <c r="J12" s="6" t="s">
        <v>718</v>
      </c>
      <c r="K12" s="6" t="s">
        <v>806</v>
      </c>
      <c r="T12" s="6" t="s">
        <v>1407</v>
      </c>
      <c r="U12" s="6" t="s">
        <v>1405</v>
      </c>
      <c r="V12" s="6" t="s">
        <v>718</v>
      </c>
      <c r="W12" s="6" t="s">
        <v>718</v>
      </c>
      <c r="X12" s="6" t="s">
        <v>869</v>
      </c>
      <c r="Y12" s="6" t="s">
        <v>718</v>
      </c>
      <c r="Z12" s="6" t="s">
        <v>718</v>
      </c>
      <c r="AA12" s="6">
        <v>1</v>
      </c>
      <c r="AE12" s="6" t="s">
        <v>718</v>
      </c>
      <c r="AF12" s="6" t="s">
        <v>718</v>
      </c>
      <c r="AG12" s="6" t="s">
        <v>1418</v>
      </c>
    </row>
    <row r="13" spans="1:33" x14ac:dyDescent="0.3">
      <c r="A13" s="6" t="s">
        <v>1000</v>
      </c>
      <c r="B13" s="6" t="s">
        <v>99</v>
      </c>
      <c r="C13" s="6" t="s">
        <v>847</v>
      </c>
      <c r="D13" s="6" t="s">
        <v>804</v>
      </c>
      <c r="E13" s="6" t="s">
        <v>718</v>
      </c>
      <c r="F13" s="6" t="s">
        <v>718</v>
      </c>
      <c r="G13" s="6" t="s">
        <v>718</v>
      </c>
      <c r="H13" s="6" t="s">
        <v>718</v>
      </c>
      <c r="I13" s="6" t="s">
        <v>718</v>
      </c>
      <c r="J13" s="6" t="s">
        <v>718</v>
      </c>
      <c r="K13" s="6" t="s">
        <v>807</v>
      </c>
      <c r="T13" s="6" t="s">
        <v>1407</v>
      </c>
      <c r="U13" s="6" t="s">
        <v>1405</v>
      </c>
      <c r="V13" s="6" t="s">
        <v>718</v>
      </c>
      <c r="W13" s="6" t="s">
        <v>718</v>
      </c>
      <c r="X13" s="6" t="s">
        <v>869</v>
      </c>
      <c r="Y13" s="6" t="s">
        <v>718</v>
      </c>
      <c r="Z13" s="6" t="s">
        <v>718</v>
      </c>
      <c r="AA13" s="6">
        <v>1</v>
      </c>
      <c r="AE13" s="6" t="s">
        <v>718</v>
      </c>
      <c r="AF13" s="6" t="s">
        <v>718</v>
      </c>
      <c r="AG13" s="6" t="s">
        <v>1419</v>
      </c>
    </row>
    <row r="14" spans="1:33" x14ac:dyDescent="0.3">
      <c r="A14" s="6" t="s">
        <v>1001</v>
      </c>
      <c r="B14" s="6" t="s">
        <v>99</v>
      </c>
      <c r="C14" s="6" t="s">
        <v>847</v>
      </c>
      <c r="D14" s="6" t="s">
        <v>820</v>
      </c>
      <c r="E14" s="6" t="s">
        <v>718</v>
      </c>
      <c r="F14" s="6" t="s">
        <v>718</v>
      </c>
      <c r="G14" s="6" t="s">
        <v>718</v>
      </c>
      <c r="H14" s="6" t="s">
        <v>718</v>
      </c>
      <c r="I14" s="6" t="s">
        <v>718</v>
      </c>
      <c r="J14" s="6" t="s">
        <v>718</v>
      </c>
      <c r="K14" s="6" t="s">
        <v>823</v>
      </c>
      <c r="T14" s="6" t="s">
        <v>1407</v>
      </c>
      <c r="U14" s="6" t="s">
        <v>1405</v>
      </c>
      <c r="V14" s="6" t="s">
        <v>718</v>
      </c>
      <c r="W14" s="6" t="s">
        <v>718</v>
      </c>
      <c r="X14" s="6" t="s">
        <v>869</v>
      </c>
      <c r="Y14" s="6" t="s">
        <v>718</v>
      </c>
      <c r="Z14" s="6" t="s">
        <v>718</v>
      </c>
      <c r="AA14" s="6">
        <v>1</v>
      </c>
      <c r="AE14" s="6" t="s">
        <v>718</v>
      </c>
      <c r="AF14" s="6" t="s">
        <v>718</v>
      </c>
      <c r="AG14" s="6" t="s">
        <v>1420</v>
      </c>
    </row>
    <row r="15" spans="1:33" x14ac:dyDescent="0.3">
      <c r="A15" s="6" t="s">
        <v>1002</v>
      </c>
      <c r="B15" s="6" t="s">
        <v>99</v>
      </c>
      <c r="C15" s="6" t="s">
        <v>847</v>
      </c>
      <c r="D15" s="6" t="s">
        <v>821</v>
      </c>
      <c r="E15" s="6" t="s">
        <v>718</v>
      </c>
      <c r="F15" s="6" t="s">
        <v>718</v>
      </c>
      <c r="G15" s="6" t="s">
        <v>718</v>
      </c>
      <c r="H15" s="6" t="s">
        <v>718</v>
      </c>
      <c r="I15" s="6" t="s">
        <v>718</v>
      </c>
      <c r="J15" s="6" t="s">
        <v>718</v>
      </c>
      <c r="K15" s="6" t="s">
        <v>824</v>
      </c>
      <c r="T15" s="6" t="s">
        <v>1407</v>
      </c>
      <c r="U15" s="6" t="s">
        <v>1405</v>
      </c>
      <c r="V15" s="6" t="s">
        <v>718</v>
      </c>
      <c r="W15" s="6" t="s">
        <v>718</v>
      </c>
      <c r="X15" s="6" t="s">
        <v>869</v>
      </c>
      <c r="Y15" s="6" t="s">
        <v>718</v>
      </c>
      <c r="Z15" s="6" t="s">
        <v>718</v>
      </c>
      <c r="AA15" s="6">
        <v>1</v>
      </c>
      <c r="AE15" s="6" t="s">
        <v>718</v>
      </c>
      <c r="AF15" s="6" t="s">
        <v>718</v>
      </c>
      <c r="AG15" s="6" t="s">
        <v>1421</v>
      </c>
    </row>
    <row r="16" spans="1:33" x14ac:dyDescent="0.3">
      <c r="A16" s="6" t="s">
        <v>1003</v>
      </c>
      <c r="B16" s="6" t="s">
        <v>99</v>
      </c>
      <c r="C16" s="6" t="s">
        <v>847</v>
      </c>
      <c r="D16" s="6" t="s">
        <v>705</v>
      </c>
      <c r="E16" s="6" t="s">
        <v>718</v>
      </c>
      <c r="F16" s="6" t="s">
        <v>718</v>
      </c>
      <c r="G16" s="6" t="s">
        <v>718</v>
      </c>
      <c r="H16" s="6" t="s">
        <v>718</v>
      </c>
      <c r="I16" s="6" t="s">
        <v>718</v>
      </c>
      <c r="J16" s="6" t="s">
        <v>718</v>
      </c>
      <c r="K16" s="6" t="s">
        <v>706</v>
      </c>
      <c r="T16" s="6" t="s">
        <v>1407</v>
      </c>
      <c r="U16" s="6" t="s">
        <v>1405</v>
      </c>
      <c r="V16" s="6" t="s">
        <v>718</v>
      </c>
      <c r="W16" s="6" t="s">
        <v>718</v>
      </c>
      <c r="X16" s="6" t="s">
        <v>869</v>
      </c>
      <c r="Y16" s="6" t="s">
        <v>718</v>
      </c>
      <c r="Z16" s="6" t="s">
        <v>718</v>
      </c>
      <c r="AA16" s="6">
        <v>1</v>
      </c>
      <c r="AE16" s="6" t="s">
        <v>718</v>
      </c>
      <c r="AF16" s="6" t="s">
        <v>718</v>
      </c>
      <c r="AG16" s="6" t="s">
        <v>1422</v>
      </c>
    </row>
    <row r="17" spans="1:33" x14ac:dyDescent="0.3">
      <c r="A17" s="6" t="s">
        <v>1004</v>
      </c>
      <c r="B17" s="6" t="s">
        <v>99</v>
      </c>
      <c r="C17" s="6" t="s">
        <v>847</v>
      </c>
      <c r="D17" s="6" t="s">
        <v>627</v>
      </c>
      <c r="E17" s="6" t="s">
        <v>718</v>
      </c>
      <c r="F17" s="6" t="s">
        <v>718</v>
      </c>
      <c r="G17" s="6" t="s">
        <v>718</v>
      </c>
      <c r="H17" s="6" t="s">
        <v>718</v>
      </c>
      <c r="I17" s="6" t="s">
        <v>718</v>
      </c>
      <c r="J17" s="6" t="s">
        <v>718</v>
      </c>
      <c r="K17" s="6" t="s">
        <v>628</v>
      </c>
      <c r="T17" s="6" t="s">
        <v>1407</v>
      </c>
      <c r="U17" s="6" t="s">
        <v>1405</v>
      </c>
      <c r="V17" s="6" t="s">
        <v>718</v>
      </c>
      <c r="W17" s="6" t="s">
        <v>718</v>
      </c>
      <c r="X17" s="6" t="s">
        <v>869</v>
      </c>
      <c r="Y17" s="6" t="s">
        <v>718</v>
      </c>
      <c r="Z17" s="6" t="s">
        <v>718</v>
      </c>
      <c r="AA17" s="6">
        <v>1</v>
      </c>
      <c r="AE17" s="6" t="s">
        <v>718</v>
      </c>
      <c r="AF17" s="6" t="s">
        <v>718</v>
      </c>
      <c r="AG17" s="6" t="s">
        <v>1423</v>
      </c>
    </row>
    <row r="18" spans="1:33" x14ac:dyDescent="0.3">
      <c r="A18" s="6" t="s">
        <v>1005</v>
      </c>
      <c r="B18" s="6" t="s">
        <v>99</v>
      </c>
      <c r="C18" s="6" t="s">
        <v>847</v>
      </c>
      <c r="D18" s="6" t="s">
        <v>809</v>
      </c>
      <c r="E18" s="6" t="s">
        <v>718</v>
      </c>
      <c r="F18" s="6" t="s">
        <v>718</v>
      </c>
      <c r="G18" s="6" t="s">
        <v>718</v>
      </c>
      <c r="H18" s="6" t="s">
        <v>718</v>
      </c>
      <c r="I18" s="6" t="s">
        <v>718</v>
      </c>
      <c r="J18" s="6" t="s">
        <v>718</v>
      </c>
      <c r="K18" s="6" t="s">
        <v>812</v>
      </c>
      <c r="T18" s="6" t="s">
        <v>1407</v>
      </c>
      <c r="U18" s="6" t="s">
        <v>1405</v>
      </c>
      <c r="V18" s="6" t="s">
        <v>718</v>
      </c>
      <c r="W18" s="6" t="s">
        <v>718</v>
      </c>
      <c r="X18" s="6" t="s">
        <v>869</v>
      </c>
      <c r="Y18" s="6" t="s">
        <v>718</v>
      </c>
      <c r="Z18" s="6" t="s">
        <v>718</v>
      </c>
      <c r="AA18" s="6">
        <v>1</v>
      </c>
      <c r="AE18" s="6" t="s">
        <v>718</v>
      </c>
      <c r="AF18" s="6" t="s">
        <v>718</v>
      </c>
      <c r="AG18" s="6" t="s">
        <v>1424</v>
      </c>
    </row>
    <row r="19" spans="1:33" x14ac:dyDescent="0.3">
      <c r="A19" s="6" t="s">
        <v>1006</v>
      </c>
      <c r="B19" s="6" t="s">
        <v>99</v>
      </c>
      <c r="C19" s="6" t="s">
        <v>847</v>
      </c>
      <c r="D19" s="6" t="s">
        <v>810</v>
      </c>
      <c r="E19" s="6" t="s">
        <v>718</v>
      </c>
      <c r="F19" s="6" t="s">
        <v>718</v>
      </c>
      <c r="G19" s="6" t="s">
        <v>718</v>
      </c>
      <c r="H19" s="6" t="s">
        <v>718</v>
      </c>
      <c r="I19" s="6" t="s">
        <v>718</v>
      </c>
      <c r="J19" s="6" t="s">
        <v>718</v>
      </c>
      <c r="K19" s="6" t="s">
        <v>813</v>
      </c>
      <c r="T19" s="6" t="s">
        <v>1407</v>
      </c>
      <c r="U19" s="6" t="s">
        <v>1405</v>
      </c>
      <c r="V19" s="6" t="s">
        <v>718</v>
      </c>
      <c r="W19" s="6" t="s">
        <v>718</v>
      </c>
      <c r="X19" s="6" t="s">
        <v>869</v>
      </c>
      <c r="Y19" s="6" t="s">
        <v>718</v>
      </c>
      <c r="Z19" s="6" t="s">
        <v>718</v>
      </c>
      <c r="AA19" s="6">
        <v>1</v>
      </c>
      <c r="AE19" s="6" t="s">
        <v>718</v>
      </c>
      <c r="AF19" s="6" t="s">
        <v>718</v>
      </c>
      <c r="AG19" s="6" t="s">
        <v>1425</v>
      </c>
    </row>
    <row r="20" spans="1:33" x14ac:dyDescent="0.3">
      <c r="A20" s="6" t="s">
        <v>1007</v>
      </c>
      <c r="B20" s="6" t="s">
        <v>99</v>
      </c>
      <c r="C20" s="6" t="s">
        <v>847</v>
      </c>
      <c r="D20" s="6" t="s">
        <v>358</v>
      </c>
      <c r="E20" s="6" t="s">
        <v>718</v>
      </c>
      <c r="F20" s="6" t="s">
        <v>718</v>
      </c>
      <c r="G20" s="6" t="s">
        <v>718</v>
      </c>
      <c r="H20" s="6" t="s">
        <v>718</v>
      </c>
      <c r="I20" s="6" t="s">
        <v>718</v>
      </c>
      <c r="J20" s="6" t="s">
        <v>718</v>
      </c>
      <c r="K20" s="6" t="s">
        <v>818</v>
      </c>
      <c r="T20" s="6" t="s">
        <v>1407</v>
      </c>
      <c r="U20" s="6" t="s">
        <v>1405</v>
      </c>
      <c r="V20" s="6" t="s">
        <v>718</v>
      </c>
      <c r="W20" s="6" t="s">
        <v>718</v>
      </c>
      <c r="X20" s="6" t="s">
        <v>869</v>
      </c>
      <c r="Y20" s="6" t="s">
        <v>718</v>
      </c>
      <c r="Z20" s="6" t="s">
        <v>718</v>
      </c>
      <c r="AA20" s="6">
        <v>1</v>
      </c>
      <c r="AE20" s="6" t="s">
        <v>718</v>
      </c>
      <c r="AF20" s="6" t="s">
        <v>718</v>
      </c>
      <c r="AG20" s="6" t="s">
        <v>1426</v>
      </c>
    </row>
    <row r="21" spans="1:33" x14ac:dyDescent="0.3">
      <c r="A21" s="17" t="s">
        <v>1008</v>
      </c>
      <c r="B21" s="17" t="s">
        <v>99</v>
      </c>
      <c r="C21" s="17" t="s">
        <v>847</v>
      </c>
      <c r="D21" s="17" t="s">
        <v>724</v>
      </c>
      <c r="E21" s="17" t="s">
        <v>718</v>
      </c>
      <c r="F21" s="17" t="s">
        <v>718</v>
      </c>
      <c r="G21" s="17" t="s">
        <v>718</v>
      </c>
      <c r="H21" s="17" t="s">
        <v>718</v>
      </c>
      <c r="I21" s="17" t="s">
        <v>718</v>
      </c>
      <c r="J21" s="17" t="s">
        <v>718</v>
      </c>
      <c r="K21" s="17" t="s">
        <v>726</v>
      </c>
      <c r="L21" s="17"/>
      <c r="M21" s="17"/>
      <c r="N21" s="17"/>
      <c r="O21" s="17"/>
      <c r="P21" s="17"/>
      <c r="Q21" s="17"/>
      <c r="R21" s="17"/>
      <c r="S21" s="17"/>
      <c r="T21" s="17" t="s">
        <v>1407</v>
      </c>
      <c r="U21" s="17" t="s">
        <v>1405</v>
      </c>
      <c r="V21" s="17" t="s">
        <v>718</v>
      </c>
      <c r="W21" s="17" t="s">
        <v>718</v>
      </c>
      <c r="X21" s="17" t="s">
        <v>869</v>
      </c>
      <c r="Y21" s="17" t="s">
        <v>718</v>
      </c>
      <c r="Z21" s="17" t="s">
        <v>307</v>
      </c>
      <c r="AA21" s="17" t="s">
        <v>718</v>
      </c>
      <c r="AB21" s="17"/>
      <c r="AC21" s="17"/>
      <c r="AD21" s="17"/>
      <c r="AE21" s="17" t="s">
        <v>718</v>
      </c>
      <c r="AF21" s="17" t="s">
        <v>718</v>
      </c>
      <c r="AG21" s="17" t="s">
        <v>1427</v>
      </c>
    </row>
    <row r="22" spans="1:33" x14ac:dyDescent="0.3">
      <c r="A22" s="6" t="s">
        <v>1033</v>
      </c>
      <c r="B22" s="6" t="s">
        <v>99</v>
      </c>
      <c r="C22" s="6" t="s">
        <v>847</v>
      </c>
      <c r="D22" s="6" t="s">
        <v>886</v>
      </c>
      <c r="E22" s="6" t="s">
        <v>718</v>
      </c>
      <c r="F22" s="6" t="s">
        <v>718</v>
      </c>
      <c r="G22" s="6" t="s">
        <v>718</v>
      </c>
      <c r="H22" s="6" t="s">
        <v>718</v>
      </c>
      <c r="I22" s="6" t="s">
        <v>718</v>
      </c>
      <c r="J22" s="6" t="s">
        <v>718</v>
      </c>
      <c r="K22" s="6" t="s">
        <v>360</v>
      </c>
      <c r="T22" s="6" t="s">
        <v>1407</v>
      </c>
      <c r="U22" s="6" t="s">
        <v>1405</v>
      </c>
      <c r="V22" s="6" t="s">
        <v>718</v>
      </c>
      <c r="W22" s="6" t="s">
        <v>718</v>
      </c>
      <c r="X22" s="6" t="s">
        <v>869</v>
      </c>
      <c r="Y22" s="6" t="s">
        <v>718</v>
      </c>
      <c r="Z22" s="6" t="s">
        <v>718</v>
      </c>
      <c r="AA22" s="6" t="s">
        <v>718</v>
      </c>
      <c r="AE22" s="6" t="s">
        <v>718</v>
      </c>
      <c r="AF22" s="6" t="s">
        <v>718</v>
      </c>
      <c r="AG22" s="6" t="s">
        <v>1428</v>
      </c>
    </row>
    <row r="23" spans="1:33" x14ac:dyDescent="0.3">
      <c r="A23" s="6" t="s">
        <v>1034</v>
      </c>
      <c r="B23" s="6" t="s">
        <v>99</v>
      </c>
      <c r="C23" s="6" t="s">
        <v>847</v>
      </c>
      <c r="D23" s="6" t="s">
        <v>887</v>
      </c>
      <c r="E23" s="6" t="s">
        <v>718</v>
      </c>
      <c r="F23" s="6" t="s">
        <v>718</v>
      </c>
      <c r="G23" s="6" t="s">
        <v>718</v>
      </c>
      <c r="H23" s="6" t="s">
        <v>718</v>
      </c>
      <c r="I23" s="6" t="s">
        <v>718</v>
      </c>
      <c r="J23" s="6" t="s">
        <v>718</v>
      </c>
      <c r="K23" s="6" t="s">
        <v>423</v>
      </c>
      <c r="T23" s="6" t="s">
        <v>1407</v>
      </c>
      <c r="U23" s="6" t="s">
        <v>1405</v>
      </c>
      <c r="V23" s="6" t="s">
        <v>718</v>
      </c>
      <c r="W23" s="6" t="s">
        <v>718</v>
      </c>
      <c r="X23" s="6" t="s">
        <v>869</v>
      </c>
      <c r="Y23" s="6" t="s">
        <v>718</v>
      </c>
      <c r="Z23" s="6" t="s">
        <v>307</v>
      </c>
      <c r="AA23" s="6" t="s">
        <v>718</v>
      </c>
      <c r="AE23" s="6" t="s">
        <v>718</v>
      </c>
      <c r="AF23" s="6" t="s">
        <v>718</v>
      </c>
      <c r="AG23" s="6" t="s">
        <v>1429</v>
      </c>
    </row>
    <row r="24" spans="1:33" x14ac:dyDescent="0.3">
      <c r="A24" s="6" t="s">
        <v>1035</v>
      </c>
      <c r="B24" s="6" t="s">
        <v>99</v>
      </c>
      <c r="C24" s="6" t="s">
        <v>847</v>
      </c>
      <c r="D24" s="6" t="s">
        <v>888</v>
      </c>
      <c r="E24" s="6" t="s">
        <v>718</v>
      </c>
      <c r="F24" s="6" t="s">
        <v>718</v>
      </c>
      <c r="G24" s="6" t="s">
        <v>718</v>
      </c>
      <c r="H24" s="6" t="s">
        <v>718</v>
      </c>
      <c r="I24" s="6" t="s">
        <v>718</v>
      </c>
      <c r="J24" s="6" t="s">
        <v>718</v>
      </c>
      <c r="K24" s="6" t="s">
        <v>362</v>
      </c>
      <c r="T24" s="6" t="s">
        <v>1407</v>
      </c>
      <c r="U24" s="6" t="s">
        <v>1405</v>
      </c>
      <c r="V24" s="6" t="s">
        <v>718</v>
      </c>
      <c r="W24" s="6" t="s">
        <v>718</v>
      </c>
      <c r="X24" s="6" t="s">
        <v>869</v>
      </c>
      <c r="Y24" s="6" t="s">
        <v>718</v>
      </c>
      <c r="Z24" s="6" t="s">
        <v>718</v>
      </c>
      <c r="AA24" s="6" t="s">
        <v>718</v>
      </c>
      <c r="AE24" s="6" t="s">
        <v>718</v>
      </c>
      <c r="AF24" s="6" t="s">
        <v>718</v>
      </c>
      <c r="AG24" s="6" t="s">
        <v>1430</v>
      </c>
    </row>
    <row r="25" spans="1:33" x14ac:dyDescent="0.3">
      <c r="A25" s="6" t="s">
        <v>1036</v>
      </c>
      <c r="B25" s="6" t="s">
        <v>99</v>
      </c>
      <c r="C25" s="6" t="s">
        <v>847</v>
      </c>
      <c r="D25" s="6" t="s">
        <v>889</v>
      </c>
      <c r="E25" s="6" t="s">
        <v>718</v>
      </c>
      <c r="F25" s="6" t="s">
        <v>718</v>
      </c>
      <c r="G25" s="6" t="s">
        <v>718</v>
      </c>
      <c r="H25" s="6" t="s">
        <v>718</v>
      </c>
      <c r="I25" s="6" t="s">
        <v>718</v>
      </c>
      <c r="J25" s="6" t="s">
        <v>718</v>
      </c>
      <c r="K25" s="6" t="s">
        <v>363</v>
      </c>
      <c r="T25" s="6" t="s">
        <v>1407</v>
      </c>
      <c r="U25" s="6" t="s">
        <v>1405</v>
      </c>
      <c r="V25" s="6" t="s">
        <v>718</v>
      </c>
      <c r="W25" s="6" t="s">
        <v>718</v>
      </c>
      <c r="X25" s="6" t="s">
        <v>869</v>
      </c>
      <c r="Y25" s="6" t="s">
        <v>718</v>
      </c>
      <c r="Z25" s="6" t="s">
        <v>718</v>
      </c>
      <c r="AA25" s="6" t="s">
        <v>718</v>
      </c>
      <c r="AE25" s="6" t="s">
        <v>718</v>
      </c>
      <c r="AF25" s="6" t="s">
        <v>718</v>
      </c>
      <c r="AG25" s="6" t="s">
        <v>1431</v>
      </c>
    </row>
    <row r="26" spans="1:33" x14ac:dyDescent="0.3">
      <c r="A26" s="6" t="s">
        <v>1037</v>
      </c>
      <c r="B26" s="6" t="s">
        <v>99</v>
      </c>
      <c r="C26" s="6" t="s">
        <v>847</v>
      </c>
      <c r="D26" s="6" t="s">
        <v>890</v>
      </c>
      <c r="E26" s="6" t="s">
        <v>718</v>
      </c>
      <c r="F26" s="6" t="s">
        <v>718</v>
      </c>
      <c r="G26" s="6" t="s">
        <v>718</v>
      </c>
      <c r="H26" s="6" t="s">
        <v>718</v>
      </c>
      <c r="I26" s="6" t="s">
        <v>718</v>
      </c>
      <c r="J26" s="6" t="s">
        <v>718</v>
      </c>
      <c r="K26" s="6" t="s">
        <v>364</v>
      </c>
      <c r="T26" s="6" t="s">
        <v>1407</v>
      </c>
      <c r="U26" s="6" t="s">
        <v>1405</v>
      </c>
      <c r="V26" s="6" t="s">
        <v>718</v>
      </c>
      <c r="W26" s="6" t="s">
        <v>718</v>
      </c>
      <c r="X26" s="6" t="s">
        <v>869</v>
      </c>
      <c r="Y26" s="6" t="s">
        <v>718</v>
      </c>
      <c r="Z26" s="6" t="s">
        <v>307</v>
      </c>
      <c r="AA26" s="6" t="s">
        <v>718</v>
      </c>
      <c r="AE26" s="6" t="s">
        <v>718</v>
      </c>
      <c r="AF26" s="6" t="s">
        <v>718</v>
      </c>
      <c r="AG26" s="6" t="s">
        <v>1432</v>
      </c>
    </row>
    <row r="27" spans="1:33" x14ac:dyDescent="0.3">
      <c r="A27" s="6" t="s">
        <v>1038</v>
      </c>
      <c r="B27" s="6" t="s">
        <v>99</v>
      </c>
      <c r="C27" s="6" t="s">
        <v>847</v>
      </c>
      <c r="D27" s="6" t="s">
        <v>891</v>
      </c>
      <c r="E27" s="6" t="s">
        <v>718</v>
      </c>
      <c r="F27" s="6" t="s">
        <v>718</v>
      </c>
      <c r="G27" s="6" t="s">
        <v>718</v>
      </c>
      <c r="H27" s="6" t="s">
        <v>718</v>
      </c>
      <c r="I27" s="6" t="s">
        <v>718</v>
      </c>
      <c r="J27" s="6" t="s">
        <v>718</v>
      </c>
      <c r="K27" s="6" t="s">
        <v>365</v>
      </c>
      <c r="T27" s="6" t="s">
        <v>1407</v>
      </c>
      <c r="U27" s="6" t="s">
        <v>1405</v>
      </c>
      <c r="V27" s="6" t="s">
        <v>718</v>
      </c>
      <c r="W27" s="6" t="s">
        <v>718</v>
      </c>
      <c r="X27" s="6" t="s">
        <v>869</v>
      </c>
      <c r="Y27" s="6" t="s">
        <v>718</v>
      </c>
      <c r="Z27" s="6" t="s">
        <v>718</v>
      </c>
      <c r="AA27" s="6" t="s">
        <v>718</v>
      </c>
      <c r="AE27" s="6" t="s">
        <v>718</v>
      </c>
      <c r="AF27" s="6" t="s">
        <v>718</v>
      </c>
      <c r="AG27" s="6" t="s">
        <v>1433</v>
      </c>
    </row>
    <row r="28" spans="1:33" x14ac:dyDescent="0.3">
      <c r="A28" s="6" t="s">
        <v>1039</v>
      </c>
      <c r="B28" s="6" t="s">
        <v>99</v>
      </c>
      <c r="C28" s="6" t="s">
        <v>847</v>
      </c>
      <c r="D28" s="6" t="s">
        <v>892</v>
      </c>
      <c r="E28" s="6" t="s">
        <v>718</v>
      </c>
      <c r="F28" s="6" t="s">
        <v>718</v>
      </c>
      <c r="G28" s="6" t="s">
        <v>718</v>
      </c>
      <c r="H28" s="6" t="s">
        <v>718</v>
      </c>
      <c r="I28" s="6" t="s">
        <v>718</v>
      </c>
      <c r="J28" s="6" t="s">
        <v>718</v>
      </c>
      <c r="K28" s="6" t="s">
        <v>424</v>
      </c>
      <c r="T28" s="6" t="s">
        <v>1407</v>
      </c>
      <c r="U28" s="6" t="s">
        <v>1405</v>
      </c>
      <c r="V28" s="6" t="s">
        <v>718</v>
      </c>
      <c r="W28" s="6" t="s">
        <v>718</v>
      </c>
      <c r="X28" s="6" t="s">
        <v>869</v>
      </c>
      <c r="Y28" s="6" t="s">
        <v>718</v>
      </c>
      <c r="Z28" s="6" t="s">
        <v>307</v>
      </c>
      <c r="AA28" s="6" t="s">
        <v>718</v>
      </c>
      <c r="AE28" s="6" t="s">
        <v>718</v>
      </c>
      <c r="AF28" s="6" t="s">
        <v>718</v>
      </c>
      <c r="AG28" s="6" t="s">
        <v>1434</v>
      </c>
    </row>
    <row r="29" spans="1:33" x14ac:dyDescent="0.3">
      <c r="A29" s="6" t="s">
        <v>1040</v>
      </c>
      <c r="B29" s="6" t="s">
        <v>99</v>
      </c>
      <c r="C29" s="6" t="s">
        <v>847</v>
      </c>
      <c r="D29" s="6" t="s">
        <v>893</v>
      </c>
      <c r="E29" s="6" t="s">
        <v>718</v>
      </c>
      <c r="F29" s="6" t="s">
        <v>718</v>
      </c>
      <c r="G29" s="6" t="s">
        <v>718</v>
      </c>
      <c r="H29" s="6" t="s">
        <v>718</v>
      </c>
      <c r="I29" s="6" t="s">
        <v>718</v>
      </c>
      <c r="J29" s="6" t="s">
        <v>718</v>
      </c>
      <c r="K29" s="6" t="s">
        <v>425</v>
      </c>
      <c r="T29" s="6" t="s">
        <v>1407</v>
      </c>
      <c r="U29" s="6" t="s">
        <v>1405</v>
      </c>
      <c r="V29" s="6" t="s">
        <v>718</v>
      </c>
      <c r="W29" s="6" t="s">
        <v>718</v>
      </c>
      <c r="X29" s="6" t="s">
        <v>869</v>
      </c>
      <c r="Y29" s="6" t="s">
        <v>718</v>
      </c>
      <c r="Z29" s="6" t="s">
        <v>307</v>
      </c>
      <c r="AA29" s="6" t="s">
        <v>718</v>
      </c>
      <c r="AE29" s="6" t="s">
        <v>718</v>
      </c>
      <c r="AF29" s="6" t="s">
        <v>718</v>
      </c>
      <c r="AG29" s="6" t="s">
        <v>1435</v>
      </c>
    </row>
    <row r="30" spans="1:33" x14ac:dyDescent="0.3">
      <c r="A30" s="6" t="s">
        <v>1041</v>
      </c>
      <c r="B30" s="6" t="s">
        <v>99</v>
      </c>
      <c r="C30" s="6" t="s">
        <v>847</v>
      </c>
      <c r="D30" s="6" t="s">
        <v>894</v>
      </c>
      <c r="E30" s="6" t="s">
        <v>718</v>
      </c>
      <c r="F30" s="6" t="s">
        <v>718</v>
      </c>
      <c r="G30" s="6" t="s">
        <v>718</v>
      </c>
      <c r="H30" s="6" t="s">
        <v>718</v>
      </c>
      <c r="I30" s="6" t="s">
        <v>718</v>
      </c>
      <c r="J30" s="6" t="s">
        <v>718</v>
      </c>
      <c r="K30" s="6" t="s">
        <v>368</v>
      </c>
      <c r="T30" s="6" t="s">
        <v>1407</v>
      </c>
      <c r="U30" s="6" t="s">
        <v>1405</v>
      </c>
      <c r="V30" s="6" t="s">
        <v>718</v>
      </c>
      <c r="W30" s="6" t="s">
        <v>718</v>
      </c>
      <c r="X30" s="6" t="s">
        <v>869</v>
      </c>
      <c r="Y30" s="6" t="s">
        <v>718</v>
      </c>
      <c r="Z30" s="6" t="s">
        <v>718</v>
      </c>
      <c r="AA30" s="6" t="s">
        <v>718</v>
      </c>
      <c r="AE30" s="6" t="s">
        <v>718</v>
      </c>
      <c r="AF30" s="6" t="s">
        <v>718</v>
      </c>
      <c r="AG30" s="6" t="s">
        <v>1436</v>
      </c>
    </row>
    <row r="31" spans="1:33" x14ac:dyDescent="0.3">
      <c r="A31" s="6" t="s">
        <v>1042</v>
      </c>
      <c r="B31" s="6" t="s">
        <v>99</v>
      </c>
      <c r="C31" s="6" t="s">
        <v>847</v>
      </c>
      <c r="D31" s="6" t="s">
        <v>895</v>
      </c>
      <c r="E31" s="6" t="s">
        <v>718</v>
      </c>
      <c r="F31" s="6" t="s">
        <v>718</v>
      </c>
      <c r="G31" s="6" t="s">
        <v>718</v>
      </c>
      <c r="H31" s="6" t="s">
        <v>718</v>
      </c>
      <c r="I31" s="6" t="s">
        <v>718</v>
      </c>
      <c r="J31" s="6" t="s">
        <v>718</v>
      </c>
      <c r="K31" s="6" t="s">
        <v>426</v>
      </c>
      <c r="T31" s="6" t="s">
        <v>1407</v>
      </c>
      <c r="U31" s="6" t="s">
        <v>1405</v>
      </c>
      <c r="V31" s="6" t="s">
        <v>718</v>
      </c>
      <c r="W31" s="6" t="s">
        <v>718</v>
      </c>
      <c r="X31" s="6" t="s">
        <v>869</v>
      </c>
      <c r="Y31" s="6" t="s">
        <v>718</v>
      </c>
      <c r="Z31" s="6" t="s">
        <v>307</v>
      </c>
      <c r="AA31" s="6" t="s">
        <v>718</v>
      </c>
      <c r="AE31" s="6" t="s">
        <v>718</v>
      </c>
      <c r="AF31" s="6" t="s">
        <v>718</v>
      </c>
      <c r="AG31" s="6" t="s">
        <v>1437</v>
      </c>
    </row>
    <row r="32" spans="1:33" x14ac:dyDescent="0.3">
      <c r="A32" s="6" t="s">
        <v>1043</v>
      </c>
      <c r="B32" s="6" t="s">
        <v>99</v>
      </c>
      <c r="C32" s="6" t="s">
        <v>847</v>
      </c>
      <c r="D32" s="6" t="s">
        <v>896</v>
      </c>
      <c r="E32" s="6" t="s">
        <v>718</v>
      </c>
      <c r="F32" s="6" t="s">
        <v>718</v>
      </c>
      <c r="G32" s="6" t="s">
        <v>718</v>
      </c>
      <c r="H32" s="6" t="s">
        <v>718</v>
      </c>
      <c r="I32" s="6" t="s">
        <v>718</v>
      </c>
      <c r="J32" s="6" t="s">
        <v>718</v>
      </c>
      <c r="K32" s="6" t="s">
        <v>370</v>
      </c>
      <c r="T32" s="6" t="s">
        <v>1407</v>
      </c>
      <c r="U32" s="6" t="s">
        <v>1405</v>
      </c>
      <c r="V32" s="6" t="s">
        <v>718</v>
      </c>
      <c r="W32" s="6" t="s">
        <v>718</v>
      </c>
      <c r="X32" s="6" t="s">
        <v>869</v>
      </c>
      <c r="Y32" s="6" t="s">
        <v>718</v>
      </c>
      <c r="Z32" s="6" t="s">
        <v>718</v>
      </c>
      <c r="AA32" s="6" t="s">
        <v>718</v>
      </c>
      <c r="AE32" s="6" t="s">
        <v>718</v>
      </c>
      <c r="AF32" s="6" t="s">
        <v>718</v>
      </c>
      <c r="AG32" s="6" t="s">
        <v>1438</v>
      </c>
    </row>
    <row r="33" spans="1:33" x14ac:dyDescent="0.3">
      <c r="A33" s="6" t="s">
        <v>1044</v>
      </c>
      <c r="B33" s="6" t="s">
        <v>99</v>
      </c>
      <c r="C33" s="6" t="s">
        <v>847</v>
      </c>
      <c r="D33" s="6" t="s">
        <v>897</v>
      </c>
      <c r="E33" s="6" t="s">
        <v>718</v>
      </c>
      <c r="F33" s="6" t="s">
        <v>718</v>
      </c>
      <c r="G33" s="6" t="s">
        <v>718</v>
      </c>
      <c r="H33" s="6" t="s">
        <v>718</v>
      </c>
      <c r="I33" s="6" t="s">
        <v>718</v>
      </c>
      <c r="J33" s="6" t="s">
        <v>718</v>
      </c>
      <c r="K33" s="6" t="s">
        <v>427</v>
      </c>
      <c r="T33" s="6" t="s">
        <v>1407</v>
      </c>
      <c r="U33" s="6" t="s">
        <v>1405</v>
      </c>
      <c r="V33" s="6" t="s">
        <v>718</v>
      </c>
      <c r="W33" s="6" t="s">
        <v>718</v>
      </c>
      <c r="X33" s="6" t="s">
        <v>869</v>
      </c>
      <c r="Y33" s="6" t="s">
        <v>718</v>
      </c>
      <c r="Z33" s="6" t="s">
        <v>718</v>
      </c>
      <c r="AA33" s="6" t="s">
        <v>718</v>
      </c>
      <c r="AE33" s="6" t="s">
        <v>718</v>
      </c>
      <c r="AF33" s="6" t="s">
        <v>718</v>
      </c>
      <c r="AG33" s="6" t="s">
        <v>1439</v>
      </c>
    </row>
    <row r="34" spans="1:33" x14ac:dyDescent="0.3">
      <c r="A34" s="6" t="s">
        <v>1045</v>
      </c>
      <c r="B34" s="6" t="s">
        <v>99</v>
      </c>
      <c r="C34" s="6" t="s">
        <v>847</v>
      </c>
      <c r="D34" s="6" t="s">
        <v>898</v>
      </c>
      <c r="E34" s="6" t="s">
        <v>718</v>
      </c>
      <c r="F34" s="6" t="s">
        <v>718</v>
      </c>
      <c r="G34" s="6" t="s">
        <v>718</v>
      </c>
      <c r="H34" s="6" t="s">
        <v>718</v>
      </c>
      <c r="I34" s="6" t="s">
        <v>718</v>
      </c>
      <c r="J34" s="6" t="s">
        <v>718</v>
      </c>
      <c r="K34" s="6" t="s">
        <v>428</v>
      </c>
      <c r="T34" s="6" t="s">
        <v>1407</v>
      </c>
      <c r="U34" s="6" t="s">
        <v>1405</v>
      </c>
      <c r="V34" s="6" t="s">
        <v>718</v>
      </c>
      <c r="W34" s="6" t="s">
        <v>718</v>
      </c>
      <c r="X34" s="6" t="s">
        <v>869</v>
      </c>
      <c r="Y34" s="6" t="s">
        <v>718</v>
      </c>
      <c r="Z34" s="6" t="s">
        <v>718</v>
      </c>
      <c r="AA34" s="6" t="s">
        <v>718</v>
      </c>
      <c r="AE34" s="6" t="s">
        <v>718</v>
      </c>
      <c r="AF34" s="6" t="s">
        <v>718</v>
      </c>
      <c r="AG34" s="6" t="s">
        <v>1440</v>
      </c>
    </row>
    <row r="35" spans="1:33" x14ac:dyDescent="0.3">
      <c r="A35" s="6" t="s">
        <v>1046</v>
      </c>
      <c r="B35" s="6" t="s">
        <v>99</v>
      </c>
      <c r="C35" s="6" t="s">
        <v>847</v>
      </c>
      <c r="D35" s="6" t="s">
        <v>899</v>
      </c>
      <c r="E35" s="6" t="s">
        <v>718</v>
      </c>
      <c r="F35" s="6" t="s">
        <v>718</v>
      </c>
      <c r="G35" s="6" t="s">
        <v>718</v>
      </c>
      <c r="H35" s="6" t="s">
        <v>718</v>
      </c>
      <c r="I35" s="6" t="s">
        <v>718</v>
      </c>
      <c r="J35" s="6" t="s">
        <v>718</v>
      </c>
      <c r="K35" s="6" t="s">
        <v>429</v>
      </c>
      <c r="T35" s="6" t="s">
        <v>1407</v>
      </c>
      <c r="U35" s="6" t="s">
        <v>1405</v>
      </c>
      <c r="V35" s="6" t="s">
        <v>718</v>
      </c>
      <c r="W35" s="6" t="s">
        <v>718</v>
      </c>
      <c r="X35" s="6" t="s">
        <v>869</v>
      </c>
      <c r="Y35" s="6" t="s">
        <v>718</v>
      </c>
      <c r="Z35" s="6" t="s">
        <v>718</v>
      </c>
      <c r="AA35" s="6" t="s">
        <v>718</v>
      </c>
      <c r="AE35" s="6" t="s">
        <v>718</v>
      </c>
      <c r="AF35" s="6" t="s">
        <v>718</v>
      </c>
      <c r="AG35" s="6" t="s">
        <v>1441</v>
      </c>
    </row>
    <row r="36" spans="1:33" x14ac:dyDescent="0.3">
      <c r="A36" s="6" t="s">
        <v>1047</v>
      </c>
      <c r="B36" s="6" t="s">
        <v>99</v>
      </c>
      <c r="C36" s="6" t="s">
        <v>847</v>
      </c>
      <c r="D36" s="6" t="s">
        <v>900</v>
      </c>
      <c r="E36" s="6" t="s">
        <v>718</v>
      </c>
      <c r="F36" s="6" t="s">
        <v>718</v>
      </c>
      <c r="G36" s="6" t="s">
        <v>718</v>
      </c>
      <c r="H36" s="6" t="s">
        <v>718</v>
      </c>
      <c r="I36" s="6" t="s">
        <v>718</v>
      </c>
      <c r="J36" s="6" t="s">
        <v>718</v>
      </c>
      <c r="K36" s="6" t="s">
        <v>430</v>
      </c>
      <c r="T36" s="6" t="s">
        <v>1407</v>
      </c>
      <c r="U36" s="6" t="s">
        <v>1405</v>
      </c>
      <c r="V36" s="6" t="s">
        <v>718</v>
      </c>
      <c r="W36" s="6" t="s">
        <v>718</v>
      </c>
      <c r="X36" s="6" t="s">
        <v>869</v>
      </c>
      <c r="Y36" s="6" t="s">
        <v>718</v>
      </c>
      <c r="Z36" s="6" t="s">
        <v>718</v>
      </c>
      <c r="AA36" s="6" t="s">
        <v>718</v>
      </c>
      <c r="AE36" s="6" t="s">
        <v>718</v>
      </c>
      <c r="AF36" s="6" t="s">
        <v>718</v>
      </c>
      <c r="AG36" s="6" t="s">
        <v>1442</v>
      </c>
    </row>
    <row r="37" spans="1:33" x14ac:dyDescent="0.3">
      <c r="A37" s="6" t="s">
        <v>1048</v>
      </c>
      <c r="B37" s="6" t="s">
        <v>99</v>
      </c>
      <c r="C37" s="6" t="s">
        <v>847</v>
      </c>
      <c r="D37" s="6" t="s">
        <v>901</v>
      </c>
      <c r="E37" s="6" t="s">
        <v>718</v>
      </c>
      <c r="F37" s="6" t="s">
        <v>718</v>
      </c>
      <c r="G37" s="6" t="s">
        <v>718</v>
      </c>
      <c r="H37" s="6" t="s">
        <v>718</v>
      </c>
      <c r="I37" s="6" t="s">
        <v>718</v>
      </c>
      <c r="J37" s="6" t="s">
        <v>718</v>
      </c>
      <c r="K37" s="6" t="s">
        <v>431</v>
      </c>
      <c r="T37" s="6" t="s">
        <v>1407</v>
      </c>
      <c r="U37" s="6" t="s">
        <v>1405</v>
      </c>
      <c r="V37" s="6" t="s">
        <v>718</v>
      </c>
      <c r="W37" s="6" t="s">
        <v>718</v>
      </c>
      <c r="X37" s="6" t="s">
        <v>869</v>
      </c>
      <c r="Y37" s="6" t="s">
        <v>718</v>
      </c>
      <c r="Z37" s="6" t="s">
        <v>718</v>
      </c>
      <c r="AA37" s="6" t="s">
        <v>718</v>
      </c>
      <c r="AE37" s="6" t="s">
        <v>718</v>
      </c>
      <c r="AF37" s="6" t="s">
        <v>718</v>
      </c>
      <c r="AG37" s="6" t="s">
        <v>1443</v>
      </c>
    </row>
    <row r="38" spans="1:33" x14ac:dyDescent="0.3">
      <c r="A38" s="6" t="s">
        <v>1049</v>
      </c>
      <c r="B38" s="6" t="s">
        <v>99</v>
      </c>
      <c r="C38" s="6" t="s">
        <v>847</v>
      </c>
      <c r="D38" s="6" t="s">
        <v>902</v>
      </c>
      <c r="E38" s="6" t="s">
        <v>718</v>
      </c>
      <c r="F38" s="6" t="s">
        <v>718</v>
      </c>
      <c r="G38" s="6" t="s">
        <v>718</v>
      </c>
      <c r="H38" s="6" t="s">
        <v>718</v>
      </c>
      <c r="I38" s="6" t="s">
        <v>718</v>
      </c>
      <c r="J38" s="6" t="s">
        <v>718</v>
      </c>
      <c r="K38" s="6" t="s">
        <v>432</v>
      </c>
      <c r="T38" s="6" t="s">
        <v>1407</v>
      </c>
      <c r="U38" s="6" t="s">
        <v>1405</v>
      </c>
      <c r="V38" s="6" t="s">
        <v>718</v>
      </c>
      <c r="W38" s="6" t="s">
        <v>718</v>
      </c>
      <c r="X38" s="6" t="s">
        <v>869</v>
      </c>
      <c r="Y38" s="6" t="s">
        <v>718</v>
      </c>
      <c r="Z38" s="6" t="s">
        <v>718</v>
      </c>
      <c r="AA38" s="6" t="s">
        <v>718</v>
      </c>
      <c r="AE38" s="6" t="s">
        <v>718</v>
      </c>
      <c r="AF38" s="6" t="s">
        <v>718</v>
      </c>
      <c r="AG38" s="6" t="s">
        <v>1444</v>
      </c>
    </row>
    <row r="39" spans="1:33" x14ac:dyDescent="0.3">
      <c r="A39" s="6" t="s">
        <v>1050</v>
      </c>
      <c r="B39" s="6" t="s">
        <v>99</v>
      </c>
      <c r="C39" s="6" t="s">
        <v>847</v>
      </c>
      <c r="D39" s="6" t="s">
        <v>903</v>
      </c>
      <c r="E39" s="6" t="s">
        <v>718</v>
      </c>
      <c r="F39" s="6" t="s">
        <v>718</v>
      </c>
      <c r="G39" s="6" t="s">
        <v>718</v>
      </c>
      <c r="H39" s="6" t="s">
        <v>718</v>
      </c>
      <c r="I39" s="6" t="s">
        <v>718</v>
      </c>
      <c r="J39" s="6" t="s">
        <v>718</v>
      </c>
      <c r="K39" s="6" t="s">
        <v>730</v>
      </c>
      <c r="T39" s="6" t="s">
        <v>1407</v>
      </c>
      <c r="U39" s="6" t="s">
        <v>1405</v>
      </c>
      <c r="V39" s="6" t="s">
        <v>718</v>
      </c>
      <c r="W39" s="6" t="s">
        <v>718</v>
      </c>
      <c r="X39" s="6" t="s">
        <v>869</v>
      </c>
      <c r="Y39" s="6" t="s">
        <v>718</v>
      </c>
      <c r="Z39" s="6" t="s">
        <v>308</v>
      </c>
      <c r="AA39" s="6" t="s">
        <v>718</v>
      </c>
      <c r="AE39" s="6" t="s">
        <v>718</v>
      </c>
      <c r="AF39" s="6" t="s">
        <v>718</v>
      </c>
      <c r="AG39" s="6" t="s">
        <v>1445</v>
      </c>
    </row>
    <row r="40" spans="1:33" x14ac:dyDescent="0.3">
      <c r="A40" s="6" t="s">
        <v>1051</v>
      </c>
      <c r="B40" s="6" t="s">
        <v>99</v>
      </c>
      <c r="C40" s="6" t="s">
        <v>847</v>
      </c>
      <c r="D40" s="6" t="s">
        <v>904</v>
      </c>
      <c r="E40" s="6" t="s">
        <v>718</v>
      </c>
      <c r="F40" s="6" t="s">
        <v>718</v>
      </c>
      <c r="G40" s="6" t="s">
        <v>718</v>
      </c>
      <c r="H40" s="6" t="s">
        <v>718</v>
      </c>
      <c r="I40" s="6" t="s">
        <v>718</v>
      </c>
      <c r="J40" s="6" t="s">
        <v>718</v>
      </c>
      <c r="K40" s="6" t="s">
        <v>732</v>
      </c>
      <c r="T40" s="6" t="s">
        <v>1407</v>
      </c>
      <c r="U40" s="6" t="s">
        <v>1405</v>
      </c>
      <c r="V40" s="6" t="s">
        <v>718</v>
      </c>
      <c r="W40" s="6" t="s">
        <v>718</v>
      </c>
      <c r="X40" s="6" t="s">
        <v>869</v>
      </c>
      <c r="Y40" s="6" t="s">
        <v>718</v>
      </c>
      <c r="Z40" s="6" t="s">
        <v>308</v>
      </c>
      <c r="AA40" s="6" t="s">
        <v>718</v>
      </c>
      <c r="AE40" s="6" t="s">
        <v>718</v>
      </c>
      <c r="AF40" s="6" t="s">
        <v>718</v>
      </c>
      <c r="AG40" s="6" t="s">
        <v>1446</v>
      </c>
    </row>
    <row r="41" spans="1:33" x14ac:dyDescent="0.3">
      <c r="A41" s="6" t="s">
        <v>1052</v>
      </c>
      <c r="B41" s="6" t="s">
        <v>99</v>
      </c>
      <c r="C41" s="6" t="s">
        <v>847</v>
      </c>
      <c r="D41" s="6" t="s">
        <v>905</v>
      </c>
      <c r="E41" s="6" t="s">
        <v>718</v>
      </c>
      <c r="F41" s="6" t="s">
        <v>718</v>
      </c>
      <c r="G41" s="6" t="s">
        <v>718</v>
      </c>
      <c r="H41" s="6" t="s">
        <v>718</v>
      </c>
      <c r="I41" s="6" t="s">
        <v>718</v>
      </c>
      <c r="J41" s="6" t="s">
        <v>718</v>
      </c>
      <c r="K41" s="6" t="s">
        <v>733</v>
      </c>
      <c r="T41" s="6" t="s">
        <v>1407</v>
      </c>
      <c r="U41" s="6" t="s">
        <v>1405</v>
      </c>
      <c r="V41" s="6" t="s">
        <v>718</v>
      </c>
      <c r="W41" s="6" t="s">
        <v>718</v>
      </c>
      <c r="X41" s="6" t="s">
        <v>869</v>
      </c>
      <c r="Y41" s="6" t="s">
        <v>718</v>
      </c>
      <c r="Z41" s="6" t="s">
        <v>718</v>
      </c>
      <c r="AA41" s="6" t="s">
        <v>718</v>
      </c>
      <c r="AE41" s="6" t="s">
        <v>718</v>
      </c>
      <c r="AF41" s="6" t="s">
        <v>718</v>
      </c>
      <c r="AG41" s="6" t="s">
        <v>1447</v>
      </c>
    </row>
    <row r="42" spans="1:33" x14ac:dyDescent="0.3">
      <c r="A42" s="6" t="s">
        <v>1053</v>
      </c>
      <c r="B42" s="6" t="s">
        <v>99</v>
      </c>
      <c r="C42" s="6" t="s">
        <v>847</v>
      </c>
      <c r="D42" s="6" t="s">
        <v>906</v>
      </c>
      <c r="E42" s="6" t="s">
        <v>718</v>
      </c>
      <c r="F42" s="6" t="s">
        <v>718</v>
      </c>
      <c r="G42" s="6" t="s">
        <v>718</v>
      </c>
      <c r="H42" s="6" t="s">
        <v>718</v>
      </c>
      <c r="I42" s="6" t="s">
        <v>718</v>
      </c>
      <c r="J42" s="6" t="s">
        <v>718</v>
      </c>
      <c r="K42" s="6" t="s">
        <v>734</v>
      </c>
      <c r="T42" s="6" t="s">
        <v>1407</v>
      </c>
      <c r="U42" s="6" t="s">
        <v>1405</v>
      </c>
      <c r="V42" s="6" t="s">
        <v>718</v>
      </c>
      <c r="W42" s="6" t="s">
        <v>718</v>
      </c>
      <c r="X42" s="6" t="s">
        <v>869</v>
      </c>
      <c r="Y42" s="6" t="s">
        <v>718</v>
      </c>
      <c r="Z42" s="6" t="s">
        <v>308</v>
      </c>
      <c r="AA42" s="6" t="s">
        <v>718</v>
      </c>
      <c r="AE42" s="6" t="s">
        <v>718</v>
      </c>
      <c r="AF42" s="6" t="s">
        <v>718</v>
      </c>
      <c r="AG42" s="6" t="s">
        <v>1448</v>
      </c>
    </row>
    <row r="43" spans="1:33" x14ac:dyDescent="0.3">
      <c r="A43" s="6" t="s">
        <v>1054</v>
      </c>
      <c r="B43" s="6" t="s">
        <v>99</v>
      </c>
      <c r="C43" s="6" t="s">
        <v>847</v>
      </c>
      <c r="D43" s="6" t="s">
        <v>907</v>
      </c>
      <c r="E43" s="6" t="s">
        <v>718</v>
      </c>
      <c r="F43" s="6" t="s">
        <v>718</v>
      </c>
      <c r="G43" s="6" t="s">
        <v>718</v>
      </c>
      <c r="H43" s="6" t="s">
        <v>718</v>
      </c>
      <c r="I43" s="6" t="s">
        <v>718</v>
      </c>
      <c r="J43" s="6" t="s">
        <v>718</v>
      </c>
      <c r="K43" s="6" t="s">
        <v>735</v>
      </c>
      <c r="T43" s="6" t="s">
        <v>1407</v>
      </c>
      <c r="U43" s="6" t="s">
        <v>1405</v>
      </c>
      <c r="V43" s="6" t="s">
        <v>718</v>
      </c>
      <c r="W43" s="6" t="s">
        <v>718</v>
      </c>
      <c r="X43" s="6" t="s">
        <v>869</v>
      </c>
      <c r="Y43" s="6" t="s">
        <v>718</v>
      </c>
      <c r="Z43" s="6" t="s">
        <v>308</v>
      </c>
      <c r="AA43" s="6" t="s">
        <v>718</v>
      </c>
      <c r="AE43" s="6" t="s">
        <v>718</v>
      </c>
      <c r="AF43" s="6" t="s">
        <v>718</v>
      </c>
      <c r="AG43" s="6" t="s">
        <v>1449</v>
      </c>
    </row>
    <row r="44" spans="1:33" x14ac:dyDescent="0.3">
      <c r="A44" s="6" t="s">
        <v>1055</v>
      </c>
      <c r="B44" s="6" t="s">
        <v>99</v>
      </c>
      <c r="C44" s="6" t="s">
        <v>847</v>
      </c>
      <c r="D44" s="6" t="s">
        <v>908</v>
      </c>
      <c r="E44" s="6" t="s">
        <v>718</v>
      </c>
      <c r="F44" s="6" t="s">
        <v>718</v>
      </c>
      <c r="G44" s="6" t="s">
        <v>718</v>
      </c>
      <c r="H44" s="6" t="s">
        <v>718</v>
      </c>
      <c r="I44" s="6" t="s">
        <v>718</v>
      </c>
      <c r="J44" s="6" t="s">
        <v>718</v>
      </c>
      <c r="K44" s="6" t="s">
        <v>736</v>
      </c>
      <c r="T44" s="6" t="s">
        <v>1407</v>
      </c>
      <c r="U44" s="6" t="s">
        <v>1405</v>
      </c>
      <c r="V44" s="6" t="s">
        <v>718</v>
      </c>
      <c r="W44" s="6" t="s">
        <v>718</v>
      </c>
      <c r="X44" s="6" t="s">
        <v>869</v>
      </c>
      <c r="Y44" s="6" t="s">
        <v>718</v>
      </c>
      <c r="Z44" s="6" t="s">
        <v>718</v>
      </c>
      <c r="AA44" s="6" t="s">
        <v>718</v>
      </c>
      <c r="AE44" s="6" t="s">
        <v>718</v>
      </c>
      <c r="AF44" s="6" t="s">
        <v>718</v>
      </c>
      <c r="AG44" s="6" t="s">
        <v>1450</v>
      </c>
    </row>
    <row r="45" spans="1:33" x14ac:dyDescent="0.3">
      <c r="A45" s="6" t="s">
        <v>1056</v>
      </c>
      <c r="B45" s="6" t="s">
        <v>99</v>
      </c>
      <c r="C45" s="6" t="s">
        <v>847</v>
      </c>
      <c r="D45" s="6" t="s">
        <v>909</v>
      </c>
      <c r="E45" s="6" t="s">
        <v>718</v>
      </c>
      <c r="F45" s="6" t="s">
        <v>718</v>
      </c>
      <c r="G45" s="6" t="s">
        <v>718</v>
      </c>
      <c r="H45" s="6" t="s">
        <v>718</v>
      </c>
      <c r="I45" s="6" t="s">
        <v>718</v>
      </c>
      <c r="J45" s="6" t="s">
        <v>718</v>
      </c>
      <c r="K45" s="6" t="s">
        <v>738</v>
      </c>
      <c r="T45" s="6" t="s">
        <v>1407</v>
      </c>
      <c r="U45" s="6" t="s">
        <v>1405</v>
      </c>
      <c r="V45" s="6" t="s">
        <v>718</v>
      </c>
      <c r="W45" s="6" t="s">
        <v>718</v>
      </c>
      <c r="X45" s="6" t="s">
        <v>869</v>
      </c>
      <c r="Y45" s="6" t="s">
        <v>718</v>
      </c>
      <c r="Z45" s="6" t="s">
        <v>718</v>
      </c>
      <c r="AA45" s="6" t="s">
        <v>718</v>
      </c>
      <c r="AE45" s="6" t="s">
        <v>718</v>
      </c>
      <c r="AF45" s="6" t="s">
        <v>718</v>
      </c>
      <c r="AG45" s="6" t="s">
        <v>1451</v>
      </c>
    </row>
    <row r="46" spans="1:33" x14ac:dyDescent="0.3">
      <c r="A46" s="6" t="s">
        <v>1057</v>
      </c>
      <c r="B46" s="6" t="s">
        <v>99</v>
      </c>
      <c r="C46" s="6" t="s">
        <v>847</v>
      </c>
      <c r="D46" s="6" t="s">
        <v>910</v>
      </c>
      <c r="E46" s="6" t="s">
        <v>718</v>
      </c>
      <c r="F46" s="6" t="s">
        <v>718</v>
      </c>
      <c r="G46" s="6" t="s">
        <v>718</v>
      </c>
      <c r="H46" s="6" t="s">
        <v>718</v>
      </c>
      <c r="I46" s="6" t="s">
        <v>718</v>
      </c>
      <c r="J46" s="6" t="s">
        <v>718</v>
      </c>
      <c r="K46" s="6" t="s">
        <v>739</v>
      </c>
      <c r="T46" s="6" t="s">
        <v>1407</v>
      </c>
      <c r="U46" s="6" t="s">
        <v>1405</v>
      </c>
      <c r="V46" s="6" t="s">
        <v>718</v>
      </c>
      <c r="W46" s="6" t="s">
        <v>718</v>
      </c>
      <c r="X46" s="6" t="s">
        <v>869</v>
      </c>
      <c r="Y46" s="6" t="s">
        <v>718</v>
      </c>
      <c r="Z46" s="6" t="s">
        <v>718</v>
      </c>
      <c r="AA46" s="6" t="s">
        <v>718</v>
      </c>
      <c r="AE46" s="6" t="s">
        <v>718</v>
      </c>
      <c r="AF46" s="6" t="s">
        <v>718</v>
      </c>
      <c r="AG46" s="6" t="s">
        <v>1452</v>
      </c>
    </row>
    <row r="47" spans="1:33" x14ac:dyDescent="0.3">
      <c r="A47" s="6" t="s">
        <v>1058</v>
      </c>
      <c r="B47" s="6" t="s">
        <v>113</v>
      </c>
      <c r="C47" s="6" t="s">
        <v>847</v>
      </c>
      <c r="D47" s="6" t="s">
        <v>911</v>
      </c>
      <c r="E47" s="6" t="s">
        <v>718</v>
      </c>
      <c r="F47" s="6" t="s">
        <v>718</v>
      </c>
      <c r="G47" s="6" t="s">
        <v>718</v>
      </c>
      <c r="H47" s="6" t="s">
        <v>718</v>
      </c>
      <c r="I47" s="6" t="s">
        <v>718</v>
      </c>
      <c r="J47" s="6" t="s">
        <v>718</v>
      </c>
      <c r="K47" s="6" t="s">
        <v>740</v>
      </c>
      <c r="T47" s="6" t="s">
        <v>1407</v>
      </c>
      <c r="U47" s="6" t="s">
        <v>1405</v>
      </c>
      <c r="V47" s="6" t="s">
        <v>718</v>
      </c>
      <c r="W47" s="6" t="s">
        <v>718</v>
      </c>
      <c r="X47" s="6" t="s">
        <v>869</v>
      </c>
      <c r="Y47" s="6" t="s">
        <v>718</v>
      </c>
      <c r="Z47" s="6" t="s">
        <v>718</v>
      </c>
      <c r="AA47" s="6" t="s">
        <v>718</v>
      </c>
      <c r="AE47" s="6" t="s">
        <v>718</v>
      </c>
      <c r="AF47" s="6" t="s">
        <v>718</v>
      </c>
      <c r="AG47" s="6" t="s">
        <v>1453</v>
      </c>
    </row>
    <row r="48" spans="1:33" x14ac:dyDescent="0.3">
      <c r="A48" s="6" t="s">
        <v>1059</v>
      </c>
      <c r="B48" s="6" t="s">
        <v>99</v>
      </c>
      <c r="C48" s="6" t="s">
        <v>847</v>
      </c>
      <c r="D48" s="6" t="s">
        <v>912</v>
      </c>
      <c r="E48" s="6" t="s">
        <v>718</v>
      </c>
      <c r="F48" s="6" t="s">
        <v>718</v>
      </c>
      <c r="G48" s="6" t="s">
        <v>718</v>
      </c>
      <c r="H48" s="6" t="s">
        <v>718</v>
      </c>
      <c r="I48" s="6" t="s">
        <v>718</v>
      </c>
      <c r="J48" s="6" t="s">
        <v>718</v>
      </c>
      <c r="K48" s="6" t="s">
        <v>741</v>
      </c>
      <c r="T48" s="6" t="s">
        <v>1407</v>
      </c>
      <c r="U48" s="6" t="s">
        <v>1405</v>
      </c>
      <c r="V48" s="6" t="s">
        <v>718</v>
      </c>
      <c r="W48" s="6" t="s">
        <v>718</v>
      </c>
      <c r="X48" s="6" t="s">
        <v>869</v>
      </c>
      <c r="Y48" s="6" t="s">
        <v>718</v>
      </c>
      <c r="Z48" s="6" t="s">
        <v>718</v>
      </c>
      <c r="AA48" s="6" t="s">
        <v>718</v>
      </c>
      <c r="AE48" s="6" t="s">
        <v>718</v>
      </c>
      <c r="AF48" s="6" t="s">
        <v>718</v>
      </c>
      <c r="AG48" s="6" t="s">
        <v>1454</v>
      </c>
    </row>
    <row r="49" spans="1:33" x14ac:dyDescent="0.3">
      <c r="A49" s="6" t="s">
        <v>1060</v>
      </c>
      <c r="B49" s="6" t="s">
        <v>99</v>
      </c>
      <c r="C49" s="6" t="s">
        <v>847</v>
      </c>
      <c r="D49" s="6" t="s">
        <v>913</v>
      </c>
      <c r="E49" s="6" t="s">
        <v>718</v>
      </c>
      <c r="F49" s="6" t="s">
        <v>718</v>
      </c>
      <c r="G49" s="6" t="s">
        <v>718</v>
      </c>
      <c r="H49" s="6" t="s">
        <v>718</v>
      </c>
      <c r="I49" s="6" t="s">
        <v>718</v>
      </c>
      <c r="J49" s="6" t="s">
        <v>718</v>
      </c>
      <c r="K49" s="6" t="s">
        <v>742</v>
      </c>
      <c r="T49" s="6" t="s">
        <v>1407</v>
      </c>
      <c r="U49" s="6" t="s">
        <v>1405</v>
      </c>
      <c r="V49" s="6" t="s">
        <v>718</v>
      </c>
      <c r="W49" s="6" t="s">
        <v>718</v>
      </c>
      <c r="X49" s="6" t="s">
        <v>869</v>
      </c>
      <c r="Y49" s="6" t="s">
        <v>718</v>
      </c>
      <c r="Z49" s="6" t="s">
        <v>718</v>
      </c>
      <c r="AA49" s="6" t="s">
        <v>718</v>
      </c>
      <c r="AE49" s="6" t="s">
        <v>718</v>
      </c>
      <c r="AF49" s="6" t="s">
        <v>718</v>
      </c>
      <c r="AG49" s="6" t="s">
        <v>1455</v>
      </c>
    </row>
    <row r="50" spans="1:33" x14ac:dyDescent="0.3">
      <c r="A50" s="6" t="s">
        <v>1061</v>
      </c>
      <c r="B50" s="6" t="s">
        <v>99</v>
      </c>
      <c r="C50" s="6" t="s">
        <v>847</v>
      </c>
      <c r="D50" s="6" t="s">
        <v>914</v>
      </c>
      <c r="E50" s="6" t="s">
        <v>718</v>
      </c>
      <c r="F50" s="6" t="s">
        <v>718</v>
      </c>
      <c r="G50" s="6" t="s">
        <v>718</v>
      </c>
      <c r="H50" s="6" t="s">
        <v>718</v>
      </c>
      <c r="I50" s="6" t="s">
        <v>718</v>
      </c>
      <c r="J50" s="6" t="s">
        <v>718</v>
      </c>
      <c r="K50" s="6" t="s">
        <v>743</v>
      </c>
      <c r="T50" s="6" t="s">
        <v>1407</v>
      </c>
      <c r="U50" s="6" t="s">
        <v>1405</v>
      </c>
      <c r="V50" s="6" t="s">
        <v>718</v>
      </c>
      <c r="W50" s="6" t="s">
        <v>718</v>
      </c>
      <c r="X50" s="6" t="s">
        <v>869</v>
      </c>
      <c r="Y50" s="6" t="s">
        <v>718</v>
      </c>
      <c r="Z50" s="6" t="s">
        <v>718</v>
      </c>
      <c r="AA50" s="6" t="s">
        <v>718</v>
      </c>
      <c r="AE50" s="6" t="s">
        <v>718</v>
      </c>
      <c r="AF50" s="6" t="s">
        <v>718</v>
      </c>
      <c r="AG50" s="6" t="s">
        <v>1456</v>
      </c>
    </row>
    <row r="51" spans="1:33" x14ac:dyDescent="0.3">
      <c r="A51" s="6" t="s">
        <v>1062</v>
      </c>
      <c r="B51" s="6" t="s">
        <v>99</v>
      </c>
      <c r="C51" s="6" t="s">
        <v>847</v>
      </c>
      <c r="D51" s="6" t="s">
        <v>915</v>
      </c>
      <c r="E51" s="6" t="s">
        <v>718</v>
      </c>
      <c r="F51" s="6" t="s">
        <v>718</v>
      </c>
      <c r="G51" s="6" t="s">
        <v>718</v>
      </c>
      <c r="H51" s="6" t="s">
        <v>718</v>
      </c>
      <c r="I51" s="6" t="s">
        <v>718</v>
      </c>
      <c r="J51" s="6" t="s">
        <v>718</v>
      </c>
      <c r="K51" s="6" t="s">
        <v>745</v>
      </c>
      <c r="T51" s="6" t="s">
        <v>1407</v>
      </c>
      <c r="U51" s="6" t="s">
        <v>1405</v>
      </c>
      <c r="V51" s="6" t="s">
        <v>718</v>
      </c>
      <c r="W51" s="6" t="s">
        <v>718</v>
      </c>
      <c r="X51" s="6" t="s">
        <v>869</v>
      </c>
      <c r="Y51" s="6" t="s">
        <v>718</v>
      </c>
      <c r="Z51" s="6" t="s">
        <v>307</v>
      </c>
      <c r="AA51" s="6" t="s">
        <v>718</v>
      </c>
      <c r="AE51" s="6" t="s">
        <v>718</v>
      </c>
      <c r="AF51" s="6" t="s">
        <v>718</v>
      </c>
      <c r="AG51" s="6" t="s">
        <v>1457</v>
      </c>
    </row>
    <row r="52" spans="1:33" x14ac:dyDescent="0.3">
      <c r="A52" s="6" t="s">
        <v>1063</v>
      </c>
      <c r="B52" s="6" t="s">
        <v>99</v>
      </c>
      <c r="C52" s="6" t="s">
        <v>847</v>
      </c>
      <c r="D52" s="6" t="s">
        <v>916</v>
      </c>
      <c r="E52" s="6" t="s">
        <v>718</v>
      </c>
      <c r="F52" s="6" t="s">
        <v>718</v>
      </c>
      <c r="G52" s="6" t="s">
        <v>718</v>
      </c>
      <c r="H52" s="6" t="s">
        <v>718</v>
      </c>
      <c r="I52" s="6" t="s">
        <v>718</v>
      </c>
      <c r="J52" s="6" t="s">
        <v>718</v>
      </c>
      <c r="K52" s="6" t="s">
        <v>746</v>
      </c>
      <c r="T52" s="6" t="s">
        <v>1407</v>
      </c>
      <c r="U52" s="6" t="s">
        <v>1405</v>
      </c>
      <c r="V52" s="6" t="s">
        <v>718</v>
      </c>
      <c r="W52" s="6" t="s">
        <v>718</v>
      </c>
      <c r="X52" s="6" t="s">
        <v>869</v>
      </c>
      <c r="Y52" s="6" t="s">
        <v>718</v>
      </c>
      <c r="Z52" s="6" t="s">
        <v>718</v>
      </c>
      <c r="AA52" s="6" t="s">
        <v>718</v>
      </c>
      <c r="AE52" s="6" t="s">
        <v>718</v>
      </c>
      <c r="AF52" s="6" t="s">
        <v>718</v>
      </c>
      <c r="AG52" s="6" t="s">
        <v>1458</v>
      </c>
    </row>
    <row r="53" spans="1:33" x14ac:dyDescent="0.3">
      <c r="A53" s="6" t="s">
        <v>1064</v>
      </c>
      <c r="B53" s="6" t="s">
        <v>99</v>
      </c>
      <c r="C53" s="6" t="s">
        <v>847</v>
      </c>
      <c r="D53" s="6" t="s">
        <v>917</v>
      </c>
      <c r="E53" s="6" t="s">
        <v>718</v>
      </c>
      <c r="F53" s="6" t="s">
        <v>718</v>
      </c>
      <c r="G53" s="6" t="s">
        <v>718</v>
      </c>
      <c r="H53" s="6" t="s">
        <v>718</v>
      </c>
      <c r="I53" s="6" t="s">
        <v>718</v>
      </c>
      <c r="J53" s="6" t="s">
        <v>718</v>
      </c>
      <c r="K53" s="6" t="s">
        <v>747</v>
      </c>
      <c r="T53" s="6" t="s">
        <v>1407</v>
      </c>
      <c r="U53" s="6" t="s">
        <v>1405</v>
      </c>
      <c r="V53" s="6" t="s">
        <v>718</v>
      </c>
      <c r="W53" s="6" t="s">
        <v>718</v>
      </c>
      <c r="X53" s="6" t="s">
        <v>869</v>
      </c>
      <c r="Y53" s="6" t="s">
        <v>718</v>
      </c>
      <c r="Z53" s="6" t="s">
        <v>307</v>
      </c>
      <c r="AA53" s="6" t="s">
        <v>718</v>
      </c>
      <c r="AE53" s="6" t="s">
        <v>718</v>
      </c>
      <c r="AF53" s="6" t="s">
        <v>718</v>
      </c>
      <c r="AG53" s="6" t="s">
        <v>1459</v>
      </c>
    </row>
    <row r="54" spans="1:33" x14ac:dyDescent="0.3">
      <c r="A54" s="6" t="s">
        <v>1065</v>
      </c>
      <c r="B54" s="6" t="s">
        <v>99</v>
      </c>
      <c r="C54" s="6" t="s">
        <v>847</v>
      </c>
      <c r="D54" s="6" t="s">
        <v>918</v>
      </c>
      <c r="E54" s="6" t="s">
        <v>718</v>
      </c>
      <c r="F54" s="6" t="s">
        <v>718</v>
      </c>
      <c r="G54" s="6" t="s">
        <v>718</v>
      </c>
      <c r="H54" s="6" t="s">
        <v>718</v>
      </c>
      <c r="I54" s="6" t="s">
        <v>718</v>
      </c>
      <c r="J54" s="6" t="s">
        <v>718</v>
      </c>
      <c r="K54" s="6" t="s">
        <v>748</v>
      </c>
      <c r="T54" s="6" t="s">
        <v>1407</v>
      </c>
      <c r="U54" s="6" t="s">
        <v>1405</v>
      </c>
      <c r="V54" s="6" t="s">
        <v>718</v>
      </c>
      <c r="W54" s="6" t="s">
        <v>718</v>
      </c>
      <c r="X54" s="6" t="s">
        <v>869</v>
      </c>
      <c r="Y54" s="6" t="s">
        <v>718</v>
      </c>
      <c r="Z54" s="6" t="s">
        <v>718</v>
      </c>
      <c r="AA54" s="6" t="s">
        <v>718</v>
      </c>
      <c r="AE54" s="6" t="s">
        <v>718</v>
      </c>
      <c r="AF54" s="6" t="s">
        <v>718</v>
      </c>
      <c r="AG54" s="6" t="s">
        <v>1460</v>
      </c>
    </row>
    <row r="55" spans="1:33" x14ac:dyDescent="0.3">
      <c r="A55" s="6" t="s">
        <v>1066</v>
      </c>
      <c r="B55" s="6" t="s">
        <v>99</v>
      </c>
      <c r="C55" s="6" t="s">
        <v>847</v>
      </c>
      <c r="D55" s="6" t="s">
        <v>919</v>
      </c>
      <c r="E55" s="6" t="s">
        <v>718</v>
      </c>
      <c r="F55" s="6" t="s">
        <v>718</v>
      </c>
      <c r="G55" s="6" t="s">
        <v>718</v>
      </c>
      <c r="H55" s="6" t="s">
        <v>718</v>
      </c>
      <c r="I55" s="6" t="s">
        <v>718</v>
      </c>
      <c r="J55" s="6" t="s">
        <v>718</v>
      </c>
      <c r="K55" s="6" t="s">
        <v>749</v>
      </c>
      <c r="T55" s="6" t="s">
        <v>1407</v>
      </c>
      <c r="U55" s="6" t="s">
        <v>1405</v>
      </c>
      <c r="V55" s="6" t="s">
        <v>718</v>
      </c>
      <c r="W55" s="6" t="s">
        <v>718</v>
      </c>
      <c r="X55" s="6" t="s">
        <v>869</v>
      </c>
      <c r="Y55" s="6" t="s">
        <v>718</v>
      </c>
      <c r="Z55" s="6" t="s">
        <v>307</v>
      </c>
      <c r="AA55" s="6" t="s">
        <v>718</v>
      </c>
      <c r="AE55" s="6" t="s">
        <v>718</v>
      </c>
      <c r="AF55" s="6" t="s">
        <v>718</v>
      </c>
      <c r="AG55" s="6" t="s">
        <v>1461</v>
      </c>
    </row>
    <row r="56" spans="1:33" x14ac:dyDescent="0.3">
      <c r="A56" s="6" t="s">
        <v>1067</v>
      </c>
      <c r="B56" s="6" t="s">
        <v>99</v>
      </c>
      <c r="C56" s="6" t="s">
        <v>847</v>
      </c>
      <c r="D56" s="6" t="s">
        <v>920</v>
      </c>
      <c r="E56" s="6" t="s">
        <v>718</v>
      </c>
      <c r="F56" s="6" t="s">
        <v>718</v>
      </c>
      <c r="G56" s="6" t="s">
        <v>718</v>
      </c>
      <c r="H56" s="6" t="s">
        <v>718</v>
      </c>
      <c r="I56" s="6" t="s">
        <v>718</v>
      </c>
      <c r="J56" s="6" t="s">
        <v>718</v>
      </c>
      <c r="K56" s="6" t="s">
        <v>750</v>
      </c>
      <c r="T56" s="6" t="s">
        <v>1407</v>
      </c>
      <c r="U56" s="6" t="s">
        <v>1405</v>
      </c>
      <c r="V56" s="6" t="s">
        <v>718</v>
      </c>
      <c r="W56" s="6" t="s">
        <v>718</v>
      </c>
      <c r="X56" s="6" t="s">
        <v>869</v>
      </c>
      <c r="Y56" s="6" t="s">
        <v>718</v>
      </c>
      <c r="Z56" s="6" t="s">
        <v>718</v>
      </c>
      <c r="AA56" s="6" t="s">
        <v>718</v>
      </c>
      <c r="AE56" s="6" t="s">
        <v>718</v>
      </c>
      <c r="AF56" s="6" t="s">
        <v>718</v>
      </c>
      <c r="AG56" s="6" t="s">
        <v>1462</v>
      </c>
    </row>
    <row r="57" spans="1:33" x14ac:dyDescent="0.3">
      <c r="A57" s="6" t="s">
        <v>1068</v>
      </c>
      <c r="B57" s="6" t="s">
        <v>99</v>
      </c>
      <c r="C57" s="6" t="s">
        <v>847</v>
      </c>
      <c r="D57" s="6" t="s">
        <v>921</v>
      </c>
      <c r="E57" s="6" t="s">
        <v>718</v>
      </c>
      <c r="F57" s="6" t="s">
        <v>718</v>
      </c>
      <c r="G57" s="6" t="s">
        <v>718</v>
      </c>
      <c r="H57" s="6" t="s">
        <v>718</v>
      </c>
      <c r="I57" s="6" t="s">
        <v>718</v>
      </c>
      <c r="J57" s="6" t="s">
        <v>718</v>
      </c>
      <c r="K57" s="6" t="s">
        <v>798</v>
      </c>
      <c r="T57" s="6" t="s">
        <v>1407</v>
      </c>
      <c r="U57" s="6" t="s">
        <v>1405</v>
      </c>
      <c r="V57" s="6" t="s">
        <v>718</v>
      </c>
      <c r="W57" s="6" t="s">
        <v>718</v>
      </c>
      <c r="X57" s="6" t="s">
        <v>869</v>
      </c>
      <c r="Y57" s="6" t="s">
        <v>718</v>
      </c>
      <c r="Z57" s="6" t="s">
        <v>718</v>
      </c>
      <c r="AA57" s="6" t="s">
        <v>718</v>
      </c>
      <c r="AE57" s="6" t="s">
        <v>718</v>
      </c>
      <c r="AF57" s="6" t="s">
        <v>718</v>
      </c>
      <c r="AG57" s="6" t="s">
        <v>1463</v>
      </c>
    </row>
    <row r="58" spans="1:33" x14ac:dyDescent="0.3">
      <c r="A58" s="6" t="s">
        <v>1069</v>
      </c>
      <c r="B58" s="6" t="s">
        <v>99</v>
      </c>
      <c r="C58" s="6" t="s">
        <v>847</v>
      </c>
      <c r="D58" s="6" t="s">
        <v>922</v>
      </c>
      <c r="E58" s="6" t="s">
        <v>718</v>
      </c>
      <c r="F58" s="6" t="s">
        <v>718</v>
      </c>
      <c r="G58" s="6" t="s">
        <v>718</v>
      </c>
      <c r="H58" s="6" t="s">
        <v>718</v>
      </c>
      <c r="I58" s="6" t="s">
        <v>718</v>
      </c>
      <c r="J58" s="6" t="s">
        <v>718</v>
      </c>
      <c r="K58" s="6" t="s">
        <v>799</v>
      </c>
      <c r="T58" s="6" t="s">
        <v>1407</v>
      </c>
      <c r="U58" s="6" t="s">
        <v>1405</v>
      </c>
      <c r="V58" s="6" t="s">
        <v>718</v>
      </c>
      <c r="W58" s="6" t="s">
        <v>718</v>
      </c>
      <c r="X58" s="6" t="s">
        <v>869</v>
      </c>
      <c r="Y58" s="6" t="s">
        <v>718</v>
      </c>
      <c r="Z58" s="6" t="s">
        <v>718</v>
      </c>
      <c r="AA58" s="6" t="s">
        <v>718</v>
      </c>
      <c r="AE58" s="6" t="s">
        <v>718</v>
      </c>
      <c r="AF58" s="6" t="s">
        <v>718</v>
      </c>
      <c r="AG58" s="6" t="s">
        <v>1464</v>
      </c>
    </row>
    <row r="59" spans="1:33" x14ac:dyDescent="0.3">
      <c r="A59" s="6" t="s">
        <v>1070</v>
      </c>
      <c r="B59" s="6" t="s">
        <v>99</v>
      </c>
      <c r="C59" s="6" t="s">
        <v>847</v>
      </c>
      <c r="D59" s="6" t="s">
        <v>923</v>
      </c>
      <c r="E59" s="6" t="s">
        <v>718</v>
      </c>
      <c r="F59" s="6" t="s">
        <v>718</v>
      </c>
      <c r="G59" s="6" t="s">
        <v>718</v>
      </c>
      <c r="H59" s="6" t="s">
        <v>718</v>
      </c>
      <c r="I59" s="6" t="s">
        <v>718</v>
      </c>
      <c r="J59" s="6" t="s">
        <v>718</v>
      </c>
      <c r="K59" s="6" t="s">
        <v>753</v>
      </c>
      <c r="T59" s="6" t="s">
        <v>1407</v>
      </c>
      <c r="U59" s="6" t="s">
        <v>1405</v>
      </c>
      <c r="V59" s="6" t="s">
        <v>718</v>
      </c>
      <c r="W59" s="6" t="s">
        <v>718</v>
      </c>
      <c r="X59" s="6" t="s">
        <v>869</v>
      </c>
      <c r="Y59" s="6" t="s">
        <v>718</v>
      </c>
      <c r="Z59" s="6" t="s">
        <v>718</v>
      </c>
      <c r="AA59" s="6" t="s">
        <v>718</v>
      </c>
      <c r="AE59" s="6" t="s">
        <v>718</v>
      </c>
      <c r="AF59" s="6" t="s">
        <v>718</v>
      </c>
      <c r="AG59" s="6" t="s">
        <v>1465</v>
      </c>
    </row>
    <row r="60" spans="1:33" x14ac:dyDescent="0.3">
      <c r="A60" s="6" t="s">
        <v>1071</v>
      </c>
      <c r="B60" s="6" t="s">
        <v>99</v>
      </c>
      <c r="C60" s="6" t="s">
        <v>847</v>
      </c>
      <c r="D60" s="6" t="s">
        <v>924</v>
      </c>
      <c r="E60" s="6" t="s">
        <v>718</v>
      </c>
      <c r="F60" s="6" t="s">
        <v>718</v>
      </c>
      <c r="G60" s="6" t="s">
        <v>718</v>
      </c>
      <c r="H60" s="6" t="s">
        <v>718</v>
      </c>
      <c r="I60" s="6" t="s">
        <v>718</v>
      </c>
      <c r="J60" s="6" t="s">
        <v>718</v>
      </c>
      <c r="K60" s="6" t="s">
        <v>754</v>
      </c>
      <c r="T60" s="6" t="s">
        <v>1407</v>
      </c>
      <c r="U60" s="6" t="s">
        <v>1405</v>
      </c>
      <c r="V60" s="6" t="s">
        <v>718</v>
      </c>
      <c r="W60" s="6" t="s">
        <v>718</v>
      </c>
      <c r="X60" s="6" t="s">
        <v>869</v>
      </c>
      <c r="Y60" s="6" t="s">
        <v>718</v>
      </c>
      <c r="Z60" s="6" t="s">
        <v>718</v>
      </c>
      <c r="AA60" s="6" t="s">
        <v>718</v>
      </c>
      <c r="AE60" s="6" t="s">
        <v>718</v>
      </c>
      <c r="AF60" s="6" t="s">
        <v>718</v>
      </c>
      <c r="AG60" s="6" t="s">
        <v>1466</v>
      </c>
    </row>
    <row r="61" spans="1:33" x14ac:dyDescent="0.3">
      <c r="A61" s="6" t="s">
        <v>1072</v>
      </c>
      <c r="B61" s="6" t="s">
        <v>99</v>
      </c>
      <c r="C61" s="6" t="s">
        <v>847</v>
      </c>
      <c r="D61" s="6" t="s">
        <v>925</v>
      </c>
      <c r="E61" s="6" t="s">
        <v>718</v>
      </c>
      <c r="F61" s="6" t="s">
        <v>718</v>
      </c>
      <c r="G61" s="6" t="s">
        <v>718</v>
      </c>
      <c r="H61" s="6" t="s">
        <v>718</v>
      </c>
      <c r="I61" s="6" t="s">
        <v>718</v>
      </c>
      <c r="J61" s="6" t="s">
        <v>718</v>
      </c>
      <c r="K61" s="6" t="s">
        <v>834</v>
      </c>
      <c r="T61" s="6" t="s">
        <v>1407</v>
      </c>
      <c r="U61" s="6" t="s">
        <v>1405</v>
      </c>
      <c r="V61" s="6" t="s">
        <v>718</v>
      </c>
      <c r="W61" s="6" t="s">
        <v>718</v>
      </c>
      <c r="X61" s="6" t="s">
        <v>869</v>
      </c>
      <c r="Y61" s="6" t="s">
        <v>718</v>
      </c>
      <c r="Z61" s="6" t="s">
        <v>718</v>
      </c>
      <c r="AA61" s="6" t="s">
        <v>718</v>
      </c>
      <c r="AE61" s="6" t="s">
        <v>718</v>
      </c>
      <c r="AF61" s="6" t="s">
        <v>718</v>
      </c>
      <c r="AG61" s="6" t="s">
        <v>1467</v>
      </c>
    </row>
    <row r="62" spans="1:33" x14ac:dyDescent="0.3">
      <c r="A62" s="6" t="s">
        <v>1073</v>
      </c>
      <c r="B62" s="6" t="s">
        <v>99</v>
      </c>
      <c r="C62" s="6" t="s">
        <v>847</v>
      </c>
      <c r="D62" s="6" t="s">
        <v>926</v>
      </c>
      <c r="E62" s="6" t="s">
        <v>718</v>
      </c>
      <c r="F62" s="6" t="s">
        <v>718</v>
      </c>
      <c r="G62" s="6" t="s">
        <v>718</v>
      </c>
      <c r="H62" s="6" t="s">
        <v>718</v>
      </c>
      <c r="I62" s="6" t="s">
        <v>718</v>
      </c>
      <c r="J62" s="6" t="s">
        <v>718</v>
      </c>
      <c r="K62" s="6" t="s">
        <v>756</v>
      </c>
      <c r="T62" s="6" t="s">
        <v>1407</v>
      </c>
      <c r="U62" s="6" t="s">
        <v>1405</v>
      </c>
      <c r="V62" s="6" t="s">
        <v>718</v>
      </c>
      <c r="W62" s="6" t="s">
        <v>718</v>
      </c>
      <c r="X62" s="6" t="s">
        <v>869</v>
      </c>
      <c r="Y62" s="6" t="s">
        <v>718</v>
      </c>
      <c r="Z62" s="6" t="s">
        <v>718</v>
      </c>
      <c r="AA62" s="6" t="s">
        <v>718</v>
      </c>
      <c r="AE62" s="6" t="s">
        <v>718</v>
      </c>
      <c r="AF62" s="6" t="s">
        <v>718</v>
      </c>
      <c r="AG62" s="6" t="s">
        <v>1468</v>
      </c>
    </row>
    <row r="63" spans="1:33" x14ac:dyDescent="0.3">
      <c r="A63" s="6" t="s">
        <v>1074</v>
      </c>
      <c r="B63" s="6" t="s">
        <v>99</v>
      </c>
      <c r="C63" s="6" t="s">
        <v>847</v>
      </c>
      <c r="D63" s="6" t="s">
        <v>927</v>
      </c>
      <c r="E63" s="6" t="s">
        <v>718</v>
      </c>
      <c r="F63" s="6" t="s">
        <v>718</v>
      </c>
      <c r="G63" s="6" t="s">
        <v>718</v>
      </c>
      <c r="H63" s="6" t="s">
        <v>718</v>
      </c>
      <c r="I63" s="6" t="s">
        <v>718</v>
      </c>
      <c r="J63" s="6" t="s">
        <v>718</v>
      </c>
      <c r="K63" s="6" t="s">
        <v>757</v>
      </c>
      <c r="T63" s="6" t="s">
        <v>1407</v>
      </c>
      <c r="U63" s="6" t="s">
        <v>1405</v>
      </c>
      <c r="V63" s="6" t="s">
        <v>718</v>
      </c>
      <c r="W63" s="6" t="s">
        <v>718</v>
      </c>
      <c r="X63" s="6" t="s">
        <v>869</v>
      </c>
      <c r="Y63" s="6" t="s">
        <v>718</v>
      </c>
      <c r="Z63" s="6" t="s">
        <v>307</v>
      </c>
      <c r="AA63" s="6" t="s">
        <v>718</v>
      </c>
      <c r="AE63" s="6" t="s">
        <v>718</v>
      </c>
      <c r="AF63" s="6" t="s">
        <v>718</v>
      </c>
      <c r="AG63" s="6" t="s">
        <v>1469</v>
      </c>
    </row>
    <row r="64" spans="1:33" x14ac:dyDescent="0.3">
      <c r="A64" s="6" t="s">
        <v>1075</v>
      </c>
      <c r="B64" s="6" t="s">
        <v>99</v>
      </c>
      <c r="C64" s="6" t="s">
        <v>847</v>
      </c>
      <c r="D64" s="6" t="s">
        <v>928</v>
      </c>
      <c r="E64" s="6" t="s">
        <v>718</v>
      </c>
      <c r="F64" s="6" t="s">
        <v>718</v>
      </c>
      <c r="G64" s="6" t="s">
        <v>718</v>
      </c>
      <c r="H64" s="6" t="s">
        <v>718</v>
      </c>
      <c r="I64" s="6" t="s">
        <v>718</v>
      </c>
      <c r="J64" s="6" t="s">
        <v>718</v>
      </c>
      <c r="K64" s="6" t="s">
        <v>758</v>
      </c>
      <c r="T64" s="6" t="s">
        <v>1407</v>
      </c>
      <c r="U64" s="6" t="s">
        <v>1405</v>
      </c>
      <c r="V64" s="6" t="s">
        <v>718</v>
      </c>
      <c r="W64" s="6" t="s">
        <v>718</v>
      </c>
      <c r="X64" s="6" t="s">
        <v>869</v>
      </c>
      <c r="Y64" s="6" t="s">
        <v>718</v>
      </c>
      <c r="Z64" s="6" t="s">
        <v>307</v>
      </c>
      <c r="AA64" s="6" t="s">
        <v>718</v>
      </c>
      <c r="AE64" s="6" t="s">
        <v>718</v>
      </c>
      <c r="AF64" s="6" t="s">
        <v>718</v>
      </c>
      <c r="AG64" s="6" t="s">
        <v>1470</v>
      </c>
    </row>
    <row r="65" spans="1:33" x14ac:dyDescent="0.3">
      <c r="A65" s="6" t="s">
        <v>1076</v>
      </c>
      <c r="B65" s="6" t="s">
        <v>99</v>
      </c>
      <c r="C65" s="6" t="s">
        <v>847</v>
      </c>
      <c r="D65" s="6" t="s">
        <v>929</v>
      </c>
      <c r="E65" s="6" t="s">
        <v>718</v>
      </c>
      <c r="F65" s="6" t="s">
        <v>718</v>
      </c>
      <c r="G65" s="6" t="s">
        <v>718</v>
      </c>
      <c r="H65" s="6" t="s">
        <v>718</v>
      </c>
      <c r="I65" s="6" t="s">
        <v>718</v>
      </c>
      <c r="J65" s="6" t="s">
        <v>718</v>
      </c>
      <c r="K65" s="6" t="s">
        <v>759</v>
      </c>
      <c r="T65" s="6" t="s">
        <v>1407</v>
      </c>
      <c r="U65" s="6" t="s">
        <v>1405</v>
      </c>
      <c r="V65" s="6" t="s">
        <v>718</v>
      </c>
      <c r="W65" s="6" t="s">
        <v>718</v>
      </c>
      <c r="X65" s="6" t="s">
        <v>869</v>
      </c>
      <c r="Y65" s="6" t="s">
        <v>718</v>
      </c>
      <c r="Z65" s="6" t="s">
        <v>307</v>
      </c>
      <c r="AA65" s="6" t="s">
        <v>718</v>
      </c>
      <c r="AE65" s="6" t="s">
        <v>718</v>
      </c>
      <c r="AF65" s="6" t="s">
        <v>718</v>
      </c>
      <c r="AG65" s="6" t="s">
        <v>1471</v>
      </c>
    </row>
    <row r="66" spans="1:33" x14ac:dyDescent="0.3">
      <c r="A66" s="6" t="s">
        <v>1077</v>
      </c>
      <c r="B66" s="6" t="s">
        <v>99</v>
      </c>
      <c r="C66" s="6" t="s">
        <v>847</v>
      </c>
      <c r="D66" s="6" t="s">
        <v>930</v>
      </c>
      <c r="E66" s="6" t="s">
        <v>718</v>
      </c>
      <c r="F66" s="6" t="s">
        <v>718</v>
      </c>
      <c r="G66" s="6" t="s">
        <v>718</v>
      </c>
      <c r="H66" s="6" t="s">
        <v>718</v>
      </c>
      <c r="I66" s="6" t="s">
        <v>718</v>
      </c>
      <c r="J66" s="6" t="s">
        <v>718</v>
      </c>
      <c r="K66" s="6" t="s">
        <v>760</v>
      </c>
      <c r="T66" s="6" t="s">
        <v>1407</v>
      </c>
      <c r="U66" s="6" t="s">
        <v>1405</v>
      </c>
      <c r="V66" s="6" t="s">
        <v>718</v>
      </c>
      <c r="W66" s="6" t="s">
        <v>718</v>
      </c>
      <c r="X66" s="6" t="s">
        <v>869</v>
      </c>
      <c r="Y66" s="6" t="s">
        <v>718</v>
      </c>
      <c r="Z66" s="6" t="s">
        <v>307</v>
      </c>
      <c r="AA66" s="6" t="s">
        <v>718</v>
      </c>
      <c r="AE66" s="6" t="s">
        <v>718</v>
      </c>
      <c r="AF66" s="6" t="s">
        <v>718</v>
      </c>
      <c r="AG66" s="6" t="s">
        <v>1472</v>
      </c>
    </row>
    <row r="67" spans="1:33" x14ac:dyDescent="0.3">
      <c r="A67" s="6" t="s">
        <v>1078</v>
      </c>
      <c r="B67" s="6" t="s">
        <v>99</v>
      </c>
      <c r="C67" s="6" t="s">
        <v>847</v>
      </c>
      <c r="D67" s="6" t="s">
        <v>931</v>
      </c>
      <c r="E67" s="6" t="s">
        <v>718</v>
      </c>
      <c r="F67" s="6" t="s">
        <v>718</v>
      </c>
      <c r="G67" s="6" t="s">
        <v>718</v>
      </c>
      <c r="H67" s="6" t="s">
        <v>718</v>
      </c>
      <c r="I67" s="6" t="s">
        <v>718</v>
      </c>
      <c r="J67" s="6" t="s">
        <v>718</v>
      </c>
      <c r="K67" s="6" t="s">
        <v>761</v>
      </c>
      <c r="T67" s="6" t="s">
        <v>1407</v>
      </c>
      <c r="U67" s="6" t="s">
        <v>1405</v>
      </c>
      <c r="V67" s="6" t="s">
        <v>718</v>
      </c>
      <c r="W67" s="6" t="s">
        <v>718</v>
      </c>
      <c r="X67" s="6" t="s">
        <v>869</v>
      </c>
      <c r="Y67" s="6" t="s">
        <v>718</v>
      </c>
      <c r="Z67" s="6" t="s">
        <v>718</v>
      </c>
      <c r="AA67" s="6" t="s">
        <v>718</v>
      </c>
      <c r="AE67" s="6" t="s">
        <v>718</v>
      </c>
      <c r="AF67" s="6" t="s">
        <v>718</v>
      </c>
      <c r="AG67" s="6" t="s">
        <v>1473</v>
      </c>
    </row>
    <row r="68" spans="1:33" x14ac:dyDescent="0.3">
      <c r="A68" s="6" t="s">
        <v>1079</v>
      </c>
      <c r="B68" s="6" t="s">
        <v>99</v>
      </c>
      <c r="C68" s="6" t="s">
        <v>847</v>
      </c>
      <c r="D68" s="6" t="s">
        <v>932</v>
      </c>
      <c r="E68" s="6" t="s">
        <v>718</v>
      </c>
      <c r="F68" s="6" t="s">
        <v>718</v>
      </c>
      <c r="G68" s="6" t="s">
        <v>718</v>
      </c>
      <c r="H68" s="6" t="s">
        <v>718</v>
      </c>
      <c r="I68" s="6" t="s">
        <v>718</v>
      </c>
      <c r="J68" s="6" t="s">
        <v>718</v>
      </c>
      <c r="K68" s="6" t="s">
        <v>792</v>
      </c>
      <c r="T68" s="6" t="s">
        <v>1407</v>
      </c>
      <c r="U68" s="6" t="s">
        <v>1405</v>
      </c>
      <c r="V68" s="6" t="s">
        <v>718</v>
      </c>
      <c r="W68" s="6" t="s">
        <v>718</v>
      </c>
      <c r="X68" s="6" t="s">
        <v>869</v>
      </c>
      <c r="Y68" s="6" t="s">
        <v>718</v>
      </c>
      <c r="Z68" s="6" t="s">
        <v>718</v>
      </c>
      <c r="AA68" s="6" t="s">
        <v>718</v>
      </c>
      <c r="AE68" s="6" t="s">
        <v>718</v>
      </c>
      <c r="AF68" s="6" t="s">
        <v>718</v>
      </c>
      <c r="AG68" s="6" t="s">
        <v>1474</v>
      </c>
    </row>
    <row r="69" spans="1:33" x14ac:dyDescent="0.3">
      <c r="A69" s="6" t="s">
        <v>1080</v>
      </c>
      <c r="B69" s="6" t="s">
        <v>99</v>
      </c>
      <c r="C69" s="6" t="s">
        <v>847</v>
      </c>
      <c r="D69" s="6" t="s">
        <v>933</v>
      </c>
      <c r="E69" s="6" t="s">
        <v>718</v>
      </c>
      <c r="F69" s="6" t="s">
        <v>718</v>
      </c>
      <c r="G69" s="6" t="s">
        <v>718</v>
      </c>
      <c r="H69" s="6" t="s">
        <v>718</v>
      </c>
      <c r="I69" s="6" t="s">
        <v>718</v>
      </c>
      <c r="J69" s="6" t="s">
        <v>718</v>
      </c>
      <c r="K69" s="6" t="s">
        <v>794</v>
      </c>
      <c r="T69" s="6" t="s">
        <v>1407</v>
      </c>
      <c r="U69" s="6" t="s">
        <v>1405</v>
      </c>
      <c r="V69" s="6" t="s">
        <v>718</v>
      </c>
      <c r="W69" s="6" t="s">
        <v>718</v>
      </c>
      <c r="X69" s="6" t="s">
        <v>869</v>
      </c>
      <c r="Y69" s="6" t="s">
        <v>718</v>
      </c>
      <c r="Z69" s="6" t="s">
        <v>718</v>
      </c>
      <c r="AA69" s="6" t="s">
        <v>718</v>
      </c>
      <c r="AE69" s="6" t="s">
        <v>718</v>
      </c>
      <c r="AF69" s="6" t="s">
        <v>718</v>
      </c>
      <c r="AG69" s="6" t="s">
        <v>1475</v>
      </c>
    </row>
    <row r="70" spans="1:33" x14ac:dyDescent="0.3">
      <c r="A70" s="6" t="s">
        <v>1081</v>
      </c>
      <c r="B70" s="6" t="s">
        <v>99</v>
      </c>
      <c r="C70" s="6" t="s">
        <v>847</v>
      </c>
      <c r="D70" s="6" t="s">
        <v>934</v>
      </c>
      <c r="E70" s="6" t="s">
        <v>718</v>
      </c>
      <c r="F70" s="6" t="s">
        <v>718</v>
      </c>
      <c r="G70" s="6" t="s">
        <v>718</v>
      </c>
      <c r="H70" s="6" t="s">
        <v>718</v>
      </c>
      <c r="I70" s="6" t="s">
        <v>718</v>
      </c>
      <c r="J70" s="6" t="s">
        <v>718</v>
      </c>
      <c r="K70" s="6" t="s">
        <v>762</v>
      </c>
      <c r="T70" s="6" t="s">
        <v>1407</v>
      </c>
      <c r="U70" s="6" t="s">
        <v>1405</v>
      </c>
      <c r="V70" s="6" t="s">
        <v>718</v>
      </c>
      <c r="W70" s="6" t="s">
        <v>718</v>
      </c>
      <c r="X70" s="6" t="s">
        <v>869</v>
      </c>
      <c r="Y70" s="6" t="s">
        <v>718</v>
      </c>
      <c r="Z70" s="6" t="s">
        <v>718</v>
      </c>
      <c r="AA70" s="6" t="s">
        <v>718</v>
      </c>
      <c r="AE70" s="6" t="s">
        <v>718</v>
      </c>
      <c r="AF70" s="6" t="s">
        <v>718</v>
      </c>
      <c r="AG70" s="6" t="s">
        <v>1476</v>
      </c>
    </row>
    <row r="71" spans="1:33" x14ac:dyDescent="0.3">
      <c r="A71" s="6" t="s">
        <v>1082</v>
      </c>
      <c r="B71" s="6" t="s">
        <v>99</v>
      </c>
      <c r="C71" s="6" t="s">
        <v>847</v>
      </c>
      <c r="D71" s="6" t="s">
        <v>935</v>
      </c>
      <c r="E71" s="6" t="s">
        <v>718</v>
      </c>
      <c r="F71" s="6" t="s">
        <v>718</v>
      </c>
      <c r="G71" s="6" t="s">
        <v>718</v>
      </c>
      <c r="H71" s="6" t="s">
        <v>718</v>
      </c>
      <c r="I71" s="6" t="s">
        <v>718</v>
      </c>
      <c r="J71" s="6" t="s">
        <v>718</v>
      </c>
      <c r="K71" s="6" t="s">
        <v>763</v>
      </c>
      <c r="T71" s="6" t="s">
        <v>1407</v>
      </c>
      <c r="U71" s="6" t="s">
        <v>1405</v>
      </c>
      <c r="V71" s="6" t="s">
        <v>718</v>
      </c>
      <c r="W71" s="6" t="s">
        <v>718</v>
      </c>
      <c r="X71" s="6" t="s">
        <v>869</v>
      </c>
      <c r="Y71" s="6" t="s">
        <v>718</v>
      </c>
      <c r="Z71" s="6" t="s">
        <v>718</v>
      </c>
      <c r="AA71" s="6" t="s">
        <v>718</v>
      </c>
      <c r="AE71" s="6" t="s">
        <v>718</v>
      </c>
      <c r="AF71" s="6" t="s">
        <v>718</v>
      </c>
      <c r="AG71" s="6" t="s">
        <v>1477</v>
      </c>
    </row>
    <row r="72" spans="1:33" x14ac:dyDescent="0.3">
      <c r="A72" s="6" t="s">
        <v>1083</v>
      </c>
      <c r="B72" s="6" t="s">
        <v>99</v>
      </c>
      <c r="C72" s="6" t="s">
        <v>847</v>
      </c>
      <c r="D72" s="6" t="s">
        <v>936</v>
      </c>
      <c r="E72" s="6" t="s">
        <v>718</v>
      </c>
      <c r="F72" s="6" t="s">
        <v>718</v>
      </c>
      <c r="G72" s="6" t="s">
        <v>718</v>
      </c>
      <c r="H72" s="6" t="s">
        <v>718</v>
      </c>
      <c r="I72" s="6" t="s">
        <v>718</v>
      </c>
      <c r="J72" s="6" t="s">
        <v>718</v>
      </c>
      <c r="K72" s="6" t="s">
        <v>764</v>
      </c>
      <c r="T72" s="6" t="s">
        <v>1407</v>
      </c>
      <c r="U72" s="6" t="s">
        <v>1405</v>
      </c>
      <c r="V72" s="6" t="s">
        <v>718</v>
      </c>
      <c r="W72" s="6" t="s">
        <v>718</v>
      </c>
      <c r="X72" s="6" t="s">
        <v>869</v>
      </c>
      <c r="Y72" s="6" t="s">
        <v>718</v>
      </c>
      <c r="Z72" s="6" t="s">
        <v>718</v>
      </c>
      <c r="AA72" s="6" t="s">
        <v>718</v>
      </c>
      <c r="AE72" s="6" t="s">
        <v>718</v>
      </c>
      <c r="AF72" s="6" t="s">
        <v>718</v>
      </c>
      <c r="AG72" s="6" t="s">
        <v>1478</v>
      </c>
    </row>
    <row r="73" spans="1:33" x14ac:dyDescent="0.3">
      <c r="A73" s="6" t="s">
        <v>1084</v>
      </c>
      <c r="B73" s="6" t="s">
        <v>99</v>
      </c>
      <c r="C73" s="6" t="s">
        <v>847</v>
      </c>
      <c r="D73" s="6" t="s">
        <v>937</v>
      </c>
      <c r="E73" s="6" t="s">
        <v>718</v>
      </c>
      <c r="F73" s="6" t="s">
        <v>718</v>
      </c>
      <c r="G73" s="6" t="s">
        <v>718</v>
      </c>
      <c r="H73" s="6" t="s">
        <v>718</v>
      </c>
      <c r="I73" s="6" t="s">
        <v>718</v>
      </c>
      <c r="J73" s="6" t="s">
        <v>718</v>
      </c>
      <c r="K73" s="6" t="s">
        <v>765</v>
      </c>
      <c r="T73" s="6" t="s">
        <v>1407</v>
      </c>
      <c r="U73" s="6" t="s">
        <v>1405</v>
      </c>
      <c r="V73" s="6" t="s">
        <v>718</v>
      </c>
      <c r="W73" s="6" t="s">
        <v>718</v>
      </c>
      <c r="X73" s="6" t="s">
        <v>869</v>
      </c>
      <c r="Y73" s="6" t="s">
        <v>718</v>
      </c>
      <c r="Z73" s="6" t="s">
        <v>718</v>
      </c>
      <c r="AA73" s="6" t="s">
        <v>718</v>
      </c>
      <c r="AE73" s="6" t="s">
        <v>718</v>
      </c>
      <c r="AF73" s="6" t="s">
        <v>718</v>
      </c>
      <c r="AG73" s="6" t="s">
        <v>1479</v>
      </c>
    </row>
    <row r="74" spans="1:33" x14ac:dyDescent="0.3">
      <c r="A74" s="6" t="s">
        <v>1085</v>
      </c>
      <c r="B74" s="6" t="s">
        <v>99</v>
      </c>
      <c r="C74" s="6" t="s">
        <v>847</v>
      </c>
      <c r="D74" s="6" t="s">
        <v>938</v>
      </c>
      <c r="E74" s="6" t="s">
        <v>718</v>
      </c>
      <c r="F74" s="6" t="s">
        <v>718</v>
      </c>
      <c r="G74" s="6" t="s">
        <v>718</v>
      </c>
      <c r="H74" s="6" t="s">
        <v>718</v>
      </c>
      <c r="I74" s="6" t="s">
        <v>718</v>
      </c>
      <c r="J74" s="6" t="s">
        <v>718</v>
      </c>
      <c r="K74" s="6" t="s">
        <v>766</v>
      </c>
      <c r="T74" s="6" t="s">
        <v>1407</v>
      </c>
      <c r="U74" s="6" t="s">
        <v>1405</v>
      </c>
      <c r="V74" s="6" t="s">
        <v>718</v>
      </c>
      <c r="W74" s="6" t="s">
        <v>718</v>
      </c>
      <c r="X74" s="6" t="s">
        <v>869</v>
      </c>
      <c r="Y74" s="6" t="s">
        <v>718</v>
      </c>
      <c r="Z74" s="6" t="s">
        <v>718</v>
      </c>
      <c r="AA74" s="6" t="s">
        <v>718</v>
      </c>
      <c r="AE74" s="6" t="s">
        <v>718</v>
      </c>
      <c r="AF74" s="6" t="s">
        <v>718</v>
      </c>
      <c r="AG74" s="6" t="s">
        <v>1480</v>
      </c>
    </row>
    <row r="75" spans="1:33" x14ac:dyDescent="0.3">
      <c r="A75" s="6" t="s">
        <v>1086</v>
      </c>
      <c r="B75" s="6" t="s">
        <v>99</v>
      </c>
      <c r="C75" s="6" t="s">
        <v>847</v>
      </c>
      <c r="D75" s="6" t="s">
        <v>939</v>
      </c>
      <c r="E75" s="6" t="s">
        <v>718</v>
      </c>
      <c r="F75" s="6" t="s">
        <v>718</v>
      </c>
      <c r="G75" s="6" t="s">
        <v>718</v>
      </c>
      <c r="H75" s="6" t="s">
        <v>718</v>
      </c>
      <c r="I75" s="6" t="s">
        <v>718</v>
      </c>
      <c r="J75" s="6" t="s">
        <v>718</v>
      </c>
      <c r="K75" s="6" t="s">
        <v>767</v>
      </c>
      <c r="T75" s="6" t="s">
        <v>1407</v>
      </c>
      <c r="U75" s="6" t="s">
        <v>1405</v>
      </c>
      <c r="V75" s="6" t="s">
        <v>718</v>
      </c>
      <c r="W75" s="6" t="s">
        <v>718</v>
      </c>
      <c r="X75" s="6" t="s">
        <v>869</v>
      </c>
      <c r="Y75" s="6" t="s">
        <v>718</v>
      </c>
      <c r="Z75" s="6" t="s">
        <v>718</v>
      </c>
      <c r="AA75" s="6" t="s">
        <v>718</v>
      </c>
      <c r="AE75" s="6" t="s">
        <v>718</v>
      </c>
      <c r="AF75" s="6" t="s">
        <v>718</v>
      </c>
      <c r="AG75" s="6" t="s">
        <v>1481</v>
      </c>
    </row>
    <row r="76" spans="1:33" x14ac:dyDescent="0.3">
      <c r="A76" s="6" t="s">
        <v>1087</v>
      </c>
      <c r="B76" s="6" t="s">
        <v>99</v>
      </c>
      <c r="C76" s="6" t="s">
        <v>847</v>
      </c>
      <c r="D76" s="6" t="s">
        <v>940</v>
      </c>
      <c r="E76" s="6" t="s">
        <v>718</v>
      </c>
      <c r="F76" s="6" t="s">
        <v>718</v>
      </c>
      <c r="G76" s="6" t="s">
        <v>718</v>
      </c>
      <c r="H76" s="6" t="s">
        <v>718</v>
      </c>
      <c r="I76" s="6" t="s">
        <v>718</v>
      </c>
      <c r="J76" s="6" t="s">
        <v>718</v>
      </c>
      <c r="K76" s="6" t="s">
        <v>768</v>
      </c>
      <c r="T76" s="6" t="s">
        <v>1407</v>
      </c>
      <c r="U76" s="6" t="s">
        <v>1405</v>
      </c>
      <c r="V76" s="6" t="s">
        <v>718</v>
      </c>
      <c r="W76" s="6" t="s">
        <v>718</v>
      </c>
      <c r="X76" s="6" t="s">
        <v>869</v>
      </c>
      <c r="Y76" s="6" t="s">
        <v>718</v>
      </c>
      <c r="Z76" s="6" t="s">
        <v>718</v>
      </c>
      <c r="AA76" s="6" t="s">
        <v>718</v>
      </c>
      <c r="AE76" s="6" t="s">
        <v>718</v>
      </c>
      <c r="AF76" s="6" t="s">
        <v>718</v>
      </c>
      <c r="AG76" s="6" t="s">
        <v>1482</v>
      </c>
    </row>
    <row r="77" spans="1:33" x14ac:dyDescent="0.3">
      <c r="A77" s="6" t="s">
        <v>1088</v>
      </c>
      <c r="B77" s="6" t="s">
        <v>99</v>
      </c>
      <c r="C77" s="6" t="s">
        <v>847</v>
      </c>
      <c r="D77" s="6" t="s">
        <v>941</v>
      </c>
      <c r="E77" s="6" t="s">
        <v>718</v>
      </c>
      <c r="F77" s="6" t="s">
        <v>718</v>
      </c>
      <c r="G77" s="6" t="s">
        <v>718</v>
      </c>
      <c r="H77" s="6" t="s">
        <v>718</v>
      </c>
      <c r="I77" s="6" t="s">
        <v>718</v>
      </c>
      <c r="J77" s="6" t="s">
        <v>718</v>
      </c>
      <c r="K77" s="6" t="s">
        <v>769</v>
      </c>
      <c r="T77" s="6" t="s">
        <v>1407</v>
      </c>
      <c r="U77" s="6" t="s">
        <v>1405</v>
      </c>
      <c r="V77" s="6" t="s">
        <v>718</v>
      </c>
      <c r="W77" s="6" t="s">
        <v>718</v>
      </c>
      <c r="X77" s="6" t="s">
        <v>869</v>
      </c>
      <c r="Y77" s="6" t="s">
        <v>718</v>
      </c>
      <c r="Z77" s="6" t="s">
        <v>718</v>
      </c>
      <c r="AA77" s="6" t="s">
        <v>718</v>
      </c>
      <c r="AE77" s="6" t="s">
        <v>718</v>
      </c>
      <c r="AF77" s="6" t="s">
        <v>718</v>
      </c>
      <c r="AG77" s="6" t="s">
        <v>1483</v>
      </c>
    </row>
    <row r="78" spans="1:33" x14ac:dyDescent="0.3">
      <c r="A78" s="6" t="s">
        <v>1089</v>
      </c>
      <c r="B78" s="6" t="s">
        <v>99</v>
      </c>
      <c r="C78" s="6" t="s">
        <v>847</v>
      </c>
      <c r="D78" s="6" t="s">
        <v>942</v>
      </c>
      <c r="E78" s="6" t="s">
        <v>718</v>
      </c>
      <c r="F78" s="6" t="s">
        <v>718</v>
      </c>
      <c r="G78" s="6" t="s">
        <v>718</v>
      </c>
      <c r="H78" s="6" t="s">
        <v>718</v>
      </c>
      <c r="I78" s="6" t="s">
        <v>718</v>
      </c>
      <c r="J78" s="6" t="s">
        <v>718</v>
      </c>
      <c r="K78" s="6" t="s">
        <v>770</v>
      </c>
      <c r="T78" s="6" t="s">
        <v>1407</v>
      </c>
      <c r="U78" s="6" t="s">
        <v>1405</v>
      </c>
      <c r="V78" s="6" t="s">
        <v>718</v>
      </c>
      <c r="W78" s="6" t="s">
        <v>718</v>
      </c>
      <c r="X78" s="6" t="s">
        <v>869</v>
      </c>
      <c r="Y78" s="6" t="s">
        <v>718</v>
      </c>
      <c r="Z78" s="6" t="s">
        <v>718</v>
      </c>
      <c r="AA78" s="6" t="s">
        <v>718</v>
      </c>
      <c r="AE78" s="6" t="s">
        <v>718</v>
      </c>
      <c r="AF78" s="6" t="s">
        <v>718</v>
      </c>
      <c r="AG78" s="6" t="s">
        <v>1484</v>
      </c>
    </row>
    <row r="79" spans="1:33" x14ac:dyDescent="0.3">
      <c r="A79" s="6" t="s">
        <v>1090</v>
      </c>
      <c r="B79" s="6" t="s">
        <v>99</v>
      </c>
      <c r="C79" s="6" t="s">
        <v>847</v>
      </c>
      <c r="D79" s="6" t="s">
        <v>943</v>
      </c>
      <c r="E79" s="6" t="s">
        <v>718</v>
      </c>
      <c r="F79" s="6" t="s">
        <v>718</v>
      </c>
      <c r="G79" s="6" t="s">
        <v>718</v>
      </c>
      <c r="H79" s="6" t="s">
        <v>718</v>
      </c>
      <c r="I79" s="6" t="s">
        <v>718</v>
      </c>
      <c r="J79" s="6" t="s">
        <v>718</v>
      </c>
      <c r="K79" s="6" t="s">
        <v>771</v>
      </c>
      <c r="T79" s="6" t="s">
        <v>1407</v>
      </c>
      <c r="U79" s="6" t="s">
        <v>1405</v>
      </c>
      <c r="V79" s="6" t="s">
        <v>718</v>
      </c>
      <c r="W79" s="6" t="s">
        <v>718</v>
      </c>
      <c r="X79" s="6" t="s">
        <v>869</v>
      </c>
      <c r="Y79" s="6" t="s">
        <v>718</v>
      </c>
      <c r="Z79" s="6" t="s">
        <v>718</v>
      </c>
      <c r="AA79" s="6" t="s">
        <v>718</v>
      </c>
      <c r="AE79" s="6" t="s">
        <v>718</v>
      </c>
      <c r="AF79" s="6" t="s">
        <v>718</v>
      </c>
      <c r="AG79" s="6" t="s">
        <v>1485</v>
      </c>
    </row>
    <row r="80" spans="1:33" x14ac:dyDescent="0.3">
      <c r="A80" s="6" t="s">
        <v>1091</v>
      </c>
      <c r="B80" s="6" t="s">
        <v>99</v>
      </c>
      <c r="C80" s="6" t="s">
        <v>847</v>
      </c>
      <c r="D80" s="6" t="s">
        <v>944</v>
      </c>
      <c r="E80" s="6" t="s">
        <v>718</v>
      </c>
      <c r="F80" s="6" t="s">
        <v>718</v>
      </c>
      <c r="G80" s="6" t="s">
        <v>718</v>
      </c>
      <c r="H80" s="6" t="s">
        <v>718</v>
      </c>
      <c r="I80" s="6" t="s">
        <v>718</v>
      </c>
      <c r="J80" s="6" t="s">
        <v>718</v>
      </c>
      <c r="K80" s="6" t="s">
        <v>772</v>
      </c>
      <c r="T80" s="6" t="s">
        <v>1407</v>
      </c>
      <c r="U80" s="6" t="s">
        <v>1405</v>
      </c>
      <c r="V80" s="6" t="s">
        <v>718</v>
      </c>
      <c r="W80" s="6" t="s">
        <v>718</v>
      </c>
      <c r="X80" s="6" t="s">
        <v>869</v>
      </c>
      <c r="Y80" s="6" t="s">
        <v>718</v>
      </c>
      <c r="Z80" s="6" t="s">
        <v>718</v>
      </c>
      <c r="AA80" s="6" t="s">
        <v>718</v>
      </c>
      <c r="AE80" s="6" t="s">
        <v>718</v>
      </c>
      <c r="AF80" s="6" t="s">
        <v>718</v>
      </c>
      <c r="AG80" s="6" t="s">
        <v>1486</v>
      </c>
    </row>
    <row r="81" spans="1:33" x14ac:dyDescent="0.3">
      <c r="A81" s="6" t="s">
        <v>1092</v>
      </c>
      <c r="B81" s="6" t="s">
        <v>99</v>
      </c>
      <c r="C81" s="6" t="s">
        <v>847</v>
      </c>
      <c r="D81" s="6" t="s">
        <v>945</v>
      </c>
      <c r="E81" s="6" t="s">
        <v>718</v>
      </c>
      <c r="F81" s="6" t="s">
        <v>718</v>
      </c>
      <c r="G81" s="6" t="s">
        <v>718</v>
      </c>
      <c r="H81" s="6" t="s">
        <v>718</v>
      </c>
      <c r="I81" s="6" t="s">
        <v>718</v>
      </c>
      <c r="J81" s="6" t="s">
        <v>718</v>
      </c>
      <c r="K81" s="6" t="s">
        <v>773</v>
      </c>
      <c r="T81" s="6" t="s">
        <v>1407</v>
      </c>
      <c r="U81" s="6" t="s">
        <v>1405</v>
      </c>
      <c r="V81" s="6" t="s">
        <v>718</v>
      </c>
      <c r="W81" s="6" t="s">
        <v>718</v>
      </c>
      <c r="X81" s="6" t="s">
        <v>869</v>
      </c>
      <c r="Y81" s="6" t="s">
        <v>718</v>
      </c>
      <c r="Z81" s="6" t="s">
        <v>307</v>
      </c>
      <c r="AA81" s="6" t="s">
        <v>718</v>
      </c>
      <c r="AE81" s="6" t="s">
        <v>718</v>
      </c>
      <c r="AF81" s="6" t="s">
        <v>718</v>
      </c>
      <c r="AG81" s="6" t="s">
        <v>1487</v>
      </c>
    </row>
    <row r="82" spans="1:33" x14ac:dyDescent="0.3">
      <c r="A82" s="6" t="s">
        <v>1093</v>
      </c>
      <c r="B82" s="6" t="s">
        <v>99</v>
      </c>
      <c r="C82" s="6" t="s">
        <v>847</v>
      </c>
      <c r="D82" s="6" t="s">
        <v>946</v>
      </c>
      <c r="E82" s="6" t="s">
        <v>718</v>
      </c>
      <c r="F82" s="6" t="s">
        <v>718</v>
      </c>
      <c r="G82" s="6" t="s">
        <v>718</v>
      </c>
      <c r="H82" s="6" t="s">
        <v>718</v>
      </c>
      <c r="I82" s="6" t="s">
        <v>718</v>
      </c>
      <c r="J82" s="6" t="s">
        <v>718</v>
      </c>
      <c r="K82" s="6" t="s">
        <v>774</v>
      </c>
      <c r="T82" s="6" t="s">
        <v>1407</v>
      </c>
      <c r="U82" s="6" t="s">
        <v>1405</v>
      </c>
      <c r="V82" s="6" t="s">
        <v>718</v>
      </c>
      <c r="W82" s="6" t="s">
        <v>718</v>
      </c>
      <c r="X82" s="6" t="s">
        <v>869</v>
      </c>
      <c r="Y82" s="6" t="s">
        <v>718</v>
      </c>
      <c r="Z82" s="6" t="s">
        <v>307</v>
      </c>
      <c r="AA82" s="6" t="s">
        <v>718</v>
      </c>
      <c r="AE82" s="6" t="s">
        <v>718</v>
      </c>
      <c r="AF82" s="6" t="s">
        <v>718</v>
      </c>
      <c r="AG82" s="6" t="s">
        <v>1488</v>
      </c>
    </row>
    <row r="83" spans="1:33" x14ac:dyDescent="0.3">
      <c r="A83" s="6" t="s">
        <v>1094</v>
      </c>
      <c r="B83" s="6" t="s">
        <v>99</v>
      </c>
      <c r="C83" s="6" t="s">
        <v>847</v>
      </c>
      <c r="D83" s="6" t="s">
        <v>947</v>
      </c>
      <c r="E83" s="6" t="s">
        <v>718</v>
      </c>
      <c r="F83" s="6" t="s">
        <v>718</v>
      </c>
      <c r="G83" s="6" t="s">
        <v>718</v>
      </c>
      <c r="H83" s="6" t="s">
        <v>718</v>
      </c>
      <c r="I83" s="6" t="s">
        <v>718</v>
      </c>
      <c r="J83" s="6" t="s">
        <v>718</v>
      </c>
      <c r="K83" s="6" t="s">
        <v>775</v>
      </c>
      <c r="T83" s="6" t="s">
        <v>1407</v>
      </c>
      <c r="U83" s="6" t="s">
        <v>1405</v>
      </c>
      <c r="V83" s="6" t="s">
        <v>718</v>
      </c>
      <c r="W83" s="6" t="s">
        <v>718</v>
      </c>
      <c r="X83" s="6" t="s">
        <v>869</v>
      </c>
      <c r="Y83" s="6" t="s">
        <v>718</v>
      </c>
      <c r="Z83" s="6" t="s">
        <v>307</v>
      </c>
      <c r="AA83" s="6" t="s">
        <v>718</v>
      </c>
      <c r="AE83" s="6" t="s">
        <v>718</v>
      </c>
      <c r="AF83" s="6" t="s">
        <v>718</v>
      </c>
      <c r="AG83" s="6" t="s">
        <v>1489</v>
      </c>
    </row>
    <row r="84" spans="1:33" x14ac:dyDescent="0.3">
      <c r="A84" s="6" t="s">
        <v>1095</v>
      </c>
      <c r="B84" s="6" t="s">
        <v>99</v>
      </c>
      <c r="C84" s="6" t="s">
        <v>847</v>
      </c>
      <c r="D84" s="6" t="s">
        <v>948</v>
      </c>
      <c r="E84" s="6" t="s">
        <v>718</v>
      </c>
      <c r="F84" s="6" t="s">
        <v>718</v>
      </c>
      <c r="G84" s="6" t="s">
        <v>718</v>
      </c>
      <c r="H84" s="6" t="s">
        <v>718</v>
      </c>
      <c r="I84" s="6" t="s">
        <v>718</v>
      </c>
      <c r="J84" s="6" t="s">
        <v>718</v>
      </c>
      <c r="K84" s="6" t="s">
        <v>799</v>
      </c>
      <c r="T84" s="6" t="s">
        <v>1407</v>
      </c>
      <c r="U84" s="6" t="s">
        <v>1405</v>
      </c>
      <c r="V84" s="6" t="s">
        <v>718</v>
      </c>
      <c r="W84" s="6" t="s">
        <v>718</v>
      </c>
      <c r="X84" s="6" t="s">
        <v>869</v>
      </c>
      <c r="Y84" s="6" t="s">
        <v>718</v>
      </c>
      <c r="Z84" s="6" t="s">
        <v>307</v>
      </c>
      <c r="AA84" s="6" t="s">
        <v>718</v>
      </c>
      <c r="AE84" s="6" t="s">
        <v>718</v>
      </c>
      <c r="AF84" s="6" t="s">
        <v>718</v>
      </c>
      <c r="AG84" s="6" t="s">
        <v>1490</v>
      </c>
    </row>
    <row r="85" spans="1:33" x14ac:dyDescent="0.3">
      <c r="A85" s="6" t="s">
        <v>1096</v>
      </c>
      <c r="B85" s="6" t="s">
        <v>99</v>
      </c>
      <c r="C85" s="6" t="s">
        <v>847</v>
      </c>
      <c r="D85" s="6" t="s">
        <v>949</v>
      </c>
      <c r="E85" s="6" t="s">
        <v>718</v>
      </c>
      <c r="F85" s="6" t="s">
        <v>718</v>
      </c>
      <c r="G85" s="6" t="s">
        <v>718</v>
      </c>
      <c r="H85" s="6" t="s">
        <v>718</v>
      </c>
      <c r="I85" s="6" t="s">
        <v>718</v>
      </c>
      <c r="J85" s="6" t="s">
        <v>718</v>
      </c>
      <c r="K85" s="6" t="s">
        <v>800</v>
      </c>
      <c r="T85" s="6" t="s">
        <v>1407</v>
      </c>
      <c r="U85" s="6" t="s">
        <v>1405</v>
      </c>
      <c r="V85" s="6" t="s">
        <v>718</v>
      </c>
      <c r="W85" s="6" t="s">
        <v>718</v>
      </c>
      <c r="X85" s="6" t="s">
        <v>869</v>
      </c>
      <c r="Y85" s="6" t="s">
        <v>718</v>
      </c>
      <c r="Z85" s="6" t="s">
        <v>307</v>
      </c>
      <c r="AA85" s="6" t="s">
        <v>718</v>
      </c>
      <c r="AE85" s="6" t="s">
        <v>718</v>
      </c>
      <c r="AF85" s="6" t="s">
        <v>718</v>
      </c>
      <c r="AG85" s="6" t="s">
        <v>1491</v>
      </c>
    </row>
    <row r="86" spans="1:33" x14ac:dyDescent="0.3">
      <c r="A86" s="6" t="s">
        <v>1097</v>
      </c>
      <c r="B86" s="6" t="s">
        <v>99</v>
      </c>
      <c r="C86" s="6" t="s">
        <v>847</v>
      </c>
      <c r="D86" s="6" t="s">
        <v>950</v>
      </c>
      <c r="E86" s="6" t="s">
        <v>718</v>
      </c>
      <c r="F86" s="6" t="s">
        <v>718</v>
      </c>
      <c r="G86" s="6" t="s">
        <v>718</v>
      </c>
      <c r="H86" s="6" t="s">
        <v>718</v>
      </c>
      <c r="I86" s="6" t="s">
        <v>718</v>
      </c>
      <c r="J86" s="6" t="s">
        <v>718</v>
      </c>
      <c r="K86" s="6" t="s">
        <v>777</v>
      </c>
      <c r="T86" s="6" t="s">
        <v>1407</v>
      </c>
      <c r="U86" s="6" t="s">
        <v>1405</v>
      </c>
      <c r="V86" s="6" t="s">
        <v>718</v>
      </c>
      <c r="W86" s="6" t="s">
        <v>718</v>
      </c>
      <c r="X86" s="6" t="s">
        <v>869</v>
      </c>
      <c r="Y86" s="6" t="s">
        <v>718</v>
      </c>
      <c r="Z86" s="6" t="s">
        <v>307</v>
      </c>
      <c r="AA86" s="6" t="s">
        <v>718</v>
      </c>
      <c r="AE86" s="6" t="s">
        <v>718</v>
      </c>
      <c r="AF86" s="6" t="s">
        <v>718</v>
      </c>
      <c r="AG86" s="6" t="s">
        <v>1492</v>
      </c>
    </row>
    <row r="87" spans="1:33" x14ac:dyDescent="0.3">
      <c r="A87" s="6" t="s">
        <v>1098</v>
      </c>
      <c r="B87" s="6" t="s">
        <v>99</v>
      </c>
      <c r="C87" s="6" t="s">
        <v>847</v>
      </c>
      <c r="D87" s="6" t="s">
        <v>951</v>
      </c>
      <c r="E87" s="6" t="s">
        <v>718</v>
      </c>
      <c r="F87" s="6" t="s">
        <v>718</v>
      </c>
      <c r="G87" s="6" t="s">
        <v>718</v>
      </c>
      <c r="H87" s="6" t="s">
        <v>718</v>
      </c>
      <c r="I87" s="6" t="s">
        <v>718</v>
      </c>
      <c r="J87" s="6" t="s">
        <v>718</v>
      </c>
      <c r="K87" s="6" t="s">
        <v>778</v>
      </c>
      <c r="T87" s="6" t="s">
        <v>1407</v>
      </c>
      <c r="U87" s="6" t="s">
        <v>1405</v>
      </c>
      <c r="V87" s="6" t="s">
        <v>718</v>
      </c>
      <c r="W87" s="6" t="s">
        <v>718</v>
      </c>
      <c r="X87" s="6" t="s">
        <v>869</v>
      </c>
      <c r="Y87" s="6" t="s">
        <v>718</v>
      </c>
      <c r="Z87" s="6" t="s">
        <v>307</v>
      </c>
      <c r="AA87" s="6" t="s">
        <v>718</v>
      </c>
      <c r="AE87" s="6" t="s">
        <v>718</v>
      </c>
      <c r="AF87" s="6" t="s">
        <v>718</v>
      </c>
      <c r="AG87" s="6" t="s">
        <v>1493</v>
      </c>
    </row>
    <row r="88" spans="1:33" x14ac:dyDescent="0.3">
      <c r="A88" s="6" t="s">
        <v>1099</v>
      </c>
      <c r="B88" s="6" t="s">
        <v>99</v>
      </c>
      <c r="C88" s="6" t="s">
        <v>847</v>
      </c>
      <c r="D88" s="6" t="s">
        <v>952</v>
      </c>
      <c r="E88" s="6" t="s">
        <v>718</v>
      </c>
      <c r="F88" s="6" t="s">
        <v>718</v>
      </c>
      <c r="G88" s="6" t="s">
        <v>718</v>
      </c>
      <c r="H88" s="6" t="s">
        <v>718</v>
      </c>
      <c r="I88" s="6" t="s">
        <v>718</v>
      </c>
      <c r="J88" s="6" t="s">
        <v>718</v>
      </c>
      <c r="K88" s="6" t="s">
        <v>779</v>
      </c>
      <c r="T88" s="6" t="s">
        <v>1407</v>
      </c>
      <c r="U88" s="6" t="s">
        <v>1405</v>
      </c>
      <c r="V88" s="6" t="s">
        <v>718</v>
      </c>
      <c r="W88" s="6" t="s">
        <v>718</v>
      </c>
      <c r="X88" s="6" t="s">
        <v>869</v>
      </c>
      <c r="Y88" s="6" t="s">
        <v>718</v>
      </c>
      <c r="Z88" s="6" t="s">
        <v>307</v>
      </c>
      <c r="AA88" s="6" t="s">
        <v>718</v>
      </c>
      <c r="AE88" s="6" t="s">
        <v>718</v>
      </c>
      <c r="AF88" s="6" t="s">
        <v>718</v>
      </c>
      <c r="AG88" s="6" t="s">
        <v>1494</v>
      </c>
    </row>
    <row r="89" spans="1:33" x14ac:dyDescent="0.3">
      <c r="A89" s="6" t="s">
        <v>1100</v>
      </c>
      <c r="B89" s="6" t="s">
        <v>99</v>
      </c>
      <c r="C89" s="6" t="s">
        <v>847</v>
      </c>
      <c r="D89" s="6" t="s">
        <v>953</v>
      </c>
      <c r="E89" s="6" t="s">
        <v>718</v>
      </c>
      <c r="F89" s="6" t="s">
        <v>718</v>
      </c>
      <c r="G89" s="6" t="s">
        <v>718</v>
      </c>
      <c r="H89" s="6" t="s">
        <v>718</v>
      </c>
      <c r="I89" s="6" t="s">
        <v>718</v>
      </c>
      <c r="J89" s="6" t="s">
        <v>718</v>
      </c>
      <c r="K89" s="6" t="s">
        <v>792</v>
      </c>
      <c r="T89" s="6" t="s">
        <v>1407</v>
      </c>
      <c r="U89" s="6" t="s">
        <v>1405</v>
      </c>
      <c r="V89" s="6" t="s">
        <v>718</v>
      </c>
      <c r="W89" s="6" t="s">
        <v>718</v>
      </c>
      <c r="X89" s="6" t="s">
        <v>869</v>
      </c>
      <c r="Y89" s="6" t="s">
        <v>718</v>
      </c>
      <c r="Z89" s="6" t="s">
        <v>307</v>
      </c>
      <c r="AA89" s="6" t="s">
        <v>718</v>
      </c>
      <c r="AE89" s="6" t="s">
        <v>718</v>
      </c>
      <c r="AF89" s="6" t="s">
        <v>718</v>
      </c>
      <c r="AG89" s="6" t="s">
        <v>1495</v>
      </c>
    </row>
    <row r="90" spans="1:33" x14ac:dyDescent="0.3">
      <c r="A90" s="6" t="s">
        <v>1101</v>
      </c>
      <c r="B90" s="6" t="s">
        <v>99</v>
      </c>
      <c r="C90" s="6" t="s">
        <v>847</v>
      </c>
      <c r="D90" s="6" t="s">
        <v>954</v>
      </c>
      <c r="E90" s="6" t="s">
        <v>718</v>
      </c>
      <c r="F90" s="6" t="s">
        <v>718</v>
      </c>
      <c r="G90" s="6" t="s">
        <v>718</v>
      </c>
      <c r="H90" s="6" t="s">
        <v>718</v>
      </c>
      <c r="I90" s="6" t="s">
        <v>718</v>
      </c>
      <c r="J90" s="6" t="s">
        <v>718</v>
      </c>
      <c r="K90" s="6" t="s">
        <v>796</v>
      </c>
      <c r="T90" s="6" t="s">
        <v>1407</v>
      </c>
      <c r="U90" s="6" t="s">
        <v>1405</v>
      </c>
      <c r="V90" s="6" t="s">
        <v>718</v>
      </c>
      <c r="W90" s="6" t="s">
        <v>718</v>
      </c>
      <c r="X90" s="6" t="s">
        <v>869</v>
      </c>
      <c r="Y90" s="6" t="s">
        <v>718</v>
      </c>
      <c r="Z90" s="6" t="s">
        <v>307</v>
      </c>
      <c r="AA90" s="6" t="s">
        <v>718</v>
      </c>
      <c r="AE90" s="6" t="s">
        <v>718</v>
      </c>
      <c r="AF90" s="6" t="s">
        <v>718</v>
      </c>
      <c r="AG90" s="6" t="s">
        <v>1496</v>
      </c>
    </row>
    <row r="91" spans="1:33" x14ac:dyDescent="0.3">
      <c r="A91" s="6" t="s">
        <v>1102</v>
      </c>
      <c r="B91" s="6" t="s">
        <v>99</v>
      </c>
      <c r="C91" s="6" t="s">
        <v>847</v>
      </c>
      <c r="D91" s="6" t="s">
        <v>955</v>
      </c>
      <c r="E91" s="6" t="s">
        <v>718</v>
      </c>
      <c r="F91" s="6" t="s">
        <v>718</v>
      </c>
      <c r="G91" s="6" t="s">
        <v>718</v>
      </c>
      <c r="H91" s="6" t="s">
        <v>718</v>
      </c>
      <c r="I91" s="6" t="s">
        <v>718</v>
      </c>
      <c r="J91" s="6" t="s">
        <v>718</v>
      </c>
      <c r="K91" s="6" t="s">
        <v>780</v>
      </c>
      <c r="T91" s="6" t="s">
        <v>1407</v>
      </c>
      <c r="U91" s="6" t="s">
        <v>1405</v>
      </c>
      <c r="V91" s="6" t="s">
        <v>718</v>
      </c>
      <c r="W91" s="6" t="s">
        <v>718</v>
      </c>
      <c r="X91" s="6" t="s">
        <v>869</v>
      </c>
      <c r="Y91" s="6" t="s">
        <v>718</v>
      </c>
      <c r="Z91" s="6" t="s">
        <v>307</v>
      </c>
      <c r="AA91" s="6" t="s">
        <v>718</v>
      </c>
      <c r="AE91" s="6" t="s">
        <v>718</v>
      </c>
      <c r="AF91" s="6" t="s">
        <v>718</v>
      </c>
      <c r="AG91" s="6" t="s">
        <v>1497</v>
      </c>
    </row>
    <row r="92" spans="1:33" x14ac:dyDescent="0.3">
      <c r="A92" s="6" t="s">
        <v>1103</v>
      </c>
      <c r="B92" s="6" t="s">
        <v>99</v>
      </c>
      <c r="C92" s="6" t="s">
        <v>847</v>
      </c>
      <c r="D92" s="6" t="s">
        <v>956</v>
      </c>
      <c r="E92" s="6" t="s">
        <v>718</v>
      </c>
      <c r="F92" s="6" t="s">
        <v>718</v>
      </c>
      <c r="G92" s="6" t="s">
        <v>718</v>
      </c>
      <c r="H92" s="6" t="s">
        <v>718</v>
      </c>
      <c r="I92" s="6" t="s">
        <v>718</v>
      </c>
      <c r="J92" s="6" t="s">
        <v>718</v>
      </c>
      <c r="K92" s="6" t="s">
        <v>781</v>
      </c>
      <c r="T92" s="6" t="s">
        <v>1407</v>
      </c>
      <c r="U92" s="6" t="s">
        <v>1405</v>
      </c>
      <c r="V92" s="6" t="s">
        <v>718</v>
      </c>
      <c r="W92" s="6" t="s">
        <v>718</v>
      </c>
      <c r="X92" s="6" t="s">
        <v>869</v>
      </c>
      <c r="Y92" s="6" t="s">
        <v>718</v>
      </c>
      <c r="Z92" s="6" t="s">
        <v>307</v>
      </c>
      <c r="AA92" s="6" t="s">
        <v>718</v>
      </c>
      <c r="AE92" s="6" t="s">
        <v>718</v>
      </c>
      <c r="AF92" s="6" t="s">
        <v>718</v>
      </c>
      <c r="AG92" s="6" t="s">
        <v>1498</v>
      </c>
    </row>
    <row r="93" spans="1:33" x14ac:dyDescent="0.3">
      <c r="A93" s="6" t="s">
        <v>1104</v>
      </c>
      <c r="B93" s="6" t="s">
        <v>99</v>
      </c>
      <c r="C93" s="6" t="s">
        <v>847</v>
      </c>
      <c r="D93" s="6" t="s">
        <v>957</v>
      </c>
      <c r="E93" s="6" t="s">
        <v>718</v>
      </c>
      <c r="F93" s="6" t="s">
        <v>718</v>
      </c>
      <c r="G93" s="6" t="s">
        <v>718</v>
      </c>
      <c r="H93" s="6" t="s">
        <v>718</v>
      </c>
      <c r="I93" s="6" t="s">
        <v>718</v>
      </c>
      <c r="J93" s="6" t="s">
        <v>718</v>
      </c>
      <c r="K93" s="6" t="s">
        <v>782</v>
      </c>
      <c r="T93" s="6" t="s">
        <v>1407</v>
      </c>
      <c r="U93" s="6" t="s">
        <v>1405</v>
      </c>
      <c r="V93" s="6" t="s">
        <v>718</v>
      </c>
      <c r="W93" s="6" t="s">
        <v>718</v>
      </c>
      <c r="X93" s="6" t="s">
        <v>869</v>
      </c>
      <c r="Y93" s="6" t="s">
        <v>718</v>
      </c>
      <c r="Z93" s="6" t="s">
        <v>307</v>
      </c>
      <c r="AA93" s="6" t="s">
        <v>718</v>
      </c>
      <c r="AE93" s="6" t="s">
        <v>718</v>
      </c>
      <c r="AF93" s="6" t="s">
        <v>718</v>
      </c>
      <c r="AG93" s="6" t="s">
        <v>1499</v>
      </c>
    </row>
    <row r="94" spans="1:33" x14ac:dyDescent="0.3">
      <c r="A94" s="6" t="s">
        <v>1105</v>
      </c>
      <c r="B94" s="6" t="s">
        <v>99</v>
      </c>
      <c r="C94" s="6" t="s">
        <v>847</v>
      </c>
      <c r="D94" s="6" t="s">
        <v>958</v>
      </c>
      <c r="E94" s="6" t="s">
        <v>718</v>
      </c>
      <c r="F94" s="6" t="s">
        <v>718</v>
      </c>
      <c r="G94" s="6" t="s">
        <v>718</v>
      </c>
      <c r="H94" s="6" t="s">
        <v>718</v>
      </c>
      <c r="I94" s="6" t="s">
        <v>718</v>
      </c>
      <c r="J94" s="6" t="s">
        <v>718</v>
      </c>
      <c r="K94" s="6" t="s">
        <v>783</v>
      </c>
      <c r="T94" s="6" t="s">
        <v>1407</v>
      </c>
      <c r="U94" s="6" t="s">
        <v>1405</v>
      </c>
      <c r="V94" s="6" t="s">
        <v>718</v>
      </c>
      <c r="W94" s="6" t="s">
        <v>718</v>
      </c>
      <c r="X94" s="6" t="s">
        <v>869</v>
      </c>
      <c r="Y94" s="6" t="s">
        <v>718</v>
      </c>
      <c r="Z94" s="6" t="s">
        <v>307</v>
      </c>
      <c r="AA94" s="6" t="s">
        <v>718</v>
      </c>
      <c r="AE94" s="6" t="s">
        <v>718</v>
      </c>
      <c r="AF94" s="6" t="s">
        <v>718</v>
      </c>
      <c r="AG94" s="6" t="s">
        <v>1500</v>
      </c>
    </row>
    <row r="95" spans="1:33" x14ac:dyDescent="0.3">
      <c r="A95" s="6" t="s">
        <v>1106</v>
      </c>
      <c r="B95" s="6" t="s">
        <v>85</v>
      </c>
      <c r="C95" s="6" t="s">
        <v>847</v>
      </c>
      <c r="D95" s="6" t="s">
        <v>959</v>
      </c>
      <c r="E95" s="6" t="s">
        <v>718</v>
      </c>
      <c r="F95" s="6" t="s">
        <v>718</v>
      </c>
      <c r="G95" s="6" t="s">
        <v>718</v>
      </c>
      <c r="H95" s="6" t="s">
        <v>718</v>
      </c>
      <c r="I95" s="6" t="s">
        <v>718</v>
      </c>
      <c r="J95" s="6" t="s">
        <v>718</v>
      </c>
      <c r="K95" s="6" t="s">
        <v>835</v>
      </c>
      <c r="T95" s="6" t="s">
        <v>1407</v>
      </c>
      <c r="U95" s="6" t="s">
        <v>1405</v>
      </c>
      <c r="V95" s="6" t="s">
        <v>718</v>
      </c>
      <c r="W95" s="6" t="s">
        <v>718</v>
      </c>
      <c r="X95" s="6" t="s">
        <v>869</v>
      </c>
      <c r="Y95" s="6" t="s">
        <v>718</v>
      </c>
      <c r="Z95" s="6" t="s">
        <v>718</v>
      </c>
      <c r="AA95" s="6" t="s">
        <v>718</v>
      </c>
      <c r="AE95" s="6" t="s">
        <v>718</v>
      </c>
      <c r="AF95" s="6" t="s">
        <v>718</v>
      </c>
      <c r="AG95" s="6" t="s">
        <v>1501</v>
      </c>
    </row>
    <row r="96" spans="1:33" x14ac:dyDescent="0.3">
      <c r="A96" s="6" t="s">
        <v>1107</v>
      </c>
      <c r="B96" s="6" t="s">
        <v>99</v>
      </c>
      <c r="C96" s="6" t="s">
        <v>847</v>
      </c>
      <c r="D96" s="6" t="s">
        <v>960</v>
      </c>
      <c r="E96" s="6" t="s">
        <v>718</v>
      </c>
      <c r="F96" s="6" t="s">
        <v>718</v>
      </c>
      <c r="G96" s="6" t="s">
        <v>718</v>
      </c>
      <c r="H96" s="6" t="s">
        <v>718</v>
      </c>
      <c r="I96" s="6" t="s">
        <v>718</v>
      </c>
      <c r="J96" s="6" t="s">
        <v>718</v>
      </c>
      <c r="K96" s="6" t="s">
        <v>836</v>
      </c>
      <c r="T96" s="6" t="s">
        <v>1407</v>
      </c>
      <c r="U96" s="6" t="s">
        <v>1405</v>
      </c>
      <c r="V96" s="6" t="s">
        <v>718</v>
      </c>
      <c r="W96" s="6" t="s">
        <v>718</v>
      </c>
      <c r="X96" s="6" t="s">
        <v>869</v>
      </c>
      <c r="Y96" s="6" t="s">
        <v>718</v>
      </c>
      <c r="Z96" s="6" t="s">
        <v>308</v>
      </c>
      <c r="AA96" s="6" t="s">
        <v>718</v>
      </c>
      <c r="AE96" s="6" t="s">
        <v>718</v>
      </c>
      <c r="AF96" s="6" t="s">
        <v>718</v>
      </c>
      <c r="AG96" s="6" t="s">
        <v>1502</v>
      </c>
    </row>
    <row r="97" spans="1:33" x14ac:dyDescent="0.3">
      <c r="A97" s="6" t="s">
        <v>1108</v>
      </c>
      <c r="B97" s="6" t="s">
        <v>99</v>
      </c>
      <c r="C97" s="6" t="s">
        <v>847</v>
      </c>
      <c r="D97" s="6" t="s">
        <v>961</v>
      </c>
      <c r="E97" s="6" t="s">
        <v>718</v>
      </c>
      <c r="F97" s="6" t="s">
        <v>718</v>
      </c>
      <c r="G97" s="6" t="s">
        <v>718</v>
      </c>
      <c r="H97" s="6" t="s">
        <v>718</v>
      </c>
      <c r="I97" s="6" t="s">
        <v>718</v>
      </c>
      <c r="J97" s="6" t="s">
        <v>718</v>
      </c>
      <c r="K97" s="6" t="s">
        <v>786</v>
      </c>
      <c r="T97" s="6" t="s">
        <v>1407</v>
      </c>
      <c r="U97" s="6" t="s">
        <v>1405</v>
      </c>
      <c r="V97" s="6" t="s">
        <v>718</v>
      </c>
      <c r="W97" s="6" t="s">
        <v>718</v>
      </c>
      <c r="X97" s="6" t="s">
        <v>869</v>
      </c>
      <c r="Y97" s="6" t="s">
        <v>718</v>
      </c>
      <c r="Z97" s="6" t="s">
        <v>308</v>
      </c>
      <c r="AA97" s="6" t="s">
        <v>718</v>
      </c>
      <c r="AE97" s="6" t="s">
        <v>718</v>
      </c>
      <c r="AF97" s="6" t="s">
        <v>718</v>
      </c>
      <c r="AG97" s="6" t="s">
        <v>1503</v>
      </c>
    </row>
    <row r="98" spans="1:33" x14ac:dyDescent="0.3">
      <c r="A98" s="6" t="s">
        <v>1109</v>
      </c>
      <c r="B98" s="6" t="s">
        <v>99</v>
      </c>
      <c r="C98" s="6" t="s">
        <v>847</v>
      </c>
      <c r="D98" s="6" t="s">
        <v>962</v>
      </c>
      <c r="E98" s="6" t="s">
        <v>718</v>
      </c>
      <c r="F98" s="6" t="s">
        <v>718</v>
      </c>
      <c r="G98" s="6" t="s">
        <v>718</v>
      </c>
      <c r="H98" s="6" t="s">
        <v>718</v>
      </c>
      <c r="I98" s="6" t="s">
        <v>718</v>
      </c>
      <c r="J98" s="6" t="s">
        <v>718</v>
      </c>
      <c r="K98" s="6" t="s">
        <v>788</v>
      </c>
      <c r="T98" s="6" t="s">
        <v>1407</v>
      </c>
      <c r="U98" s="6" t="s">
        <v>1405</v>
      </c>
      <c r="V98" s="6" t="s">
        <v>718</v>
      </c>
      <c r="W98" s="6" t="s">
        <v>718</v>
      </c>
      <c r="X98" s="6" t="s">
        <v>869</v>
      </c>
      <c r="Y98" s="6" t="s">
        <v>718</v>
      </c>
      <c r="Z98" s="6" t="s">
        <v>308</v>
      </c>
      <c r="AA98" s="6" t="s">
        <v>718</v>
      </c>
      <c r="AE98" s="6" t="s">
        <v>718</v>
      </c>
      <c r="AF98" s="6" t="s">
        <v>718</v>
      </c>
      <c r="AG98" s="6" t="s">
        <v>1504</v>
      </c>
    </row>
    <row r="99" spans="1:33" x14ac:dyDescent="0.3">
      <c r="A99" s="6" t="s">
        <v>1110</v>
      </c>
      <c r="B99" s="6" t="s">
        <v>99</v>
      </c>
      <c r="C99" s="6" t="s">
        <v>847</v>
      </c>
      <c r="D99" s="6" t="s">
        <v>963</v>
      </c>
      <c r="E99" s="6" t="s">
        <v>718</v>
      </c>
      <c r="F99" s="6" t="s">
        <v>718</v>
      </c>
      <c r="G99" s="6" t="s">
        <v>718</v>
      </c>
      <c r="H99" s="6" t="s">
        <v>718</v>
      </c>
      <c r="I99" s="6" t="s">
        <v>718</v>
      </c>
      <c r="J99" s="6" t="s">
        <v>718</v>
      </c>
      <c r="K99" s="6" t="s">
        <v>790</v>
      </c>
      <c r="T99" s="6" t="s">
        <v>1407</v>
      </c>
      <c r="U99" s="6" t="s">
        <v>1405</v>
      </c>
      <c r="V99" s="6" t="s">
        <v>718</v>
      </c>
      <c r="W99" s="6" t="s">
        <v>718</v>
      </c>
      <c r="X99" s="6" t="s">
        <v>869</v>
      </c>
      <c r="Y99" s="6" t="s">
        <v>718</v>
      </c>
      <c r="Z99" s="6" t="s">
        <v>308</v>
      </c>
      <c r="AA99" s="6" t="s">
        <v>718</v>
      </c>
      <c r="AE99" s="6" t="s">
        <v>718</v>
      </c>
      <c r="AF99" s="6" t="s">
        <v>718</v>
      </c>
      <c r="AG99" s="6" t="s">
        <v>1505</v>
      </c>
    </row>
    <row r="100" spans="1:33" s="109" customFormat="1" x14ac:dyDescent="0.3">
      <c r="A100" s="6" t="s">
        <v>1111</v>
      </c>
      <c r="B100" s="6" t="s">
        <v>99</v>
      </c>
      <c r="C100" s="6" t="s">
        <v>847</v>
      </c>
      <c r="D100" s="6" t="s">
        <v>964</v>
      </c>
      <c r="E100" s="6" t="s">
        <v>718</v>
      </c>
      <c r="F100" s="6" t="s">
        <v>718</v>
      </c>
      <c r="G100" s="6" t="s">
        <v>718</v>
      </c>
      <c r="H100" s="6" t="s">
        <v>718</v>
      </c>
      <c r="I100" s="6" t="s">
        <v>718</v>
      </c>
      <c r="J100" s="6" t="s">
        <v>718</v>
      </c>
      <c r="K100" s="6" t="s">
        <v>837</v>
      </c>
      <c r="L100" s="6"/>
      <c r="M100" s="6"/>
      <c r="N100" s="6"/>
      <c r="O100" s="6"/>
      <c r="P100" s="6"/>
      <c r="Q100" s="6"/>
      <c r="R100" s="6"/>
      <c r="S100" s="6"/>
      <c r="T100" s="6" t="s">
        <v>1407</v>
      </c>
      <c r="U100" s="6" t="s">
        <v>1405</v>
      </c>
      <c r="V100" s="6" t="s">
        <v>718</v>
      </c>
      <c r="W100" s="6" t="s">
        <v>718</v>
      </c>
      <c r="X100" s="6" t="s">
        <v>869</v>
      </c>
      <c r="Y100" s="6" t="s">
        <v>718</v>
      </c>
      <c r="Z100" s="6" t="s">
        <v>308</v>
      </c>
      <c r="AA100" s="6" t="s">
        <v>718</v>
      </c>
      <c r="AB100" s="6"/>
      <c r="AC100" s="6"/>
      <c r="AD100" s="6"/>
      <c r="AE100" s="6" t="s">
        <v>718</v>
      </c>
      <c r="AF100" s="6" t="s">
        <v>718</v>
      </c>
      <c r="AG100" s="6" t="s">
        <v>1506</v>
      </c>
    </row>
    <row r="15708" spans="1:52" s="105" customFormat="1" x14ac:dyDescent="0.3">
      <c r="A15708" s="6"/>
      <c r="B15708" s="6"/>
      <c r="C15708" s="6"/>
      <c r="D15708" s="6"/>
      <c r="E15708" s="6"/>
      <c r="F15708" s="6"/>
      <c r="G15708" s="6"/>
      <c r="H15708" s="6"/>
      <c r="I15708" s="6"/>
      <c r="J15708" s="6"/>
      <c r="K15708" s="6"/>
      <c r="L15708" s="6"/>
      <c r="M15708" s="6"/>
      <c r="N15708" s="6"/>
      <c r="O15708" s="6"/>
      <c r="P15708" s="6"/>
      <c r="Q15708" s="6"/>
      <c r="R15708" s="6"/>
      <c r="S15708" s="6"/>
      <c r="T15708" s="6"/>
      <c r="U15708" s="6"/>
      <c r="V15708" s="6"/>
      <c r="W15708" s="6"/>
      <c r="X15708" s="6"/>
      <c r="Y15708" s="6"/>
      <c r="Z15708" s="6"/>
      <c r="AA15708" s="6"/>
      <c r="AB15708" s="6"/>
      <c r="AC15708" s="6"/>
      <c r="AD15708" s="6"/>
      <c r="AE15708" s="6"/>
      <c r="AF15708" s="6"/>
      <c r="AG15708" s="6"/>
      <c r="AH15708" s="110"/>
      <c r="AI15708" s="110"/>
      <c r="AJ15708" s="110"/>
      <c r="AK15708" s="110"/>
      <c r="AL15708" s="110"/>
      <c r="AM15708" s="110"/>
      <c r="AN15708" s="110"/>
      <c r="AO15708" s="110"/>
      <c r="AP15708" s="110"/>
      <c r="AQ15708" s="110"/>
      <c r="AR15708" s="110"/>
      <c r="AS15708" s="110"/>
      <c r="AT15708" s="110"/>
      <c r="AU15708" s="110"/>
      <c r="AV15708" s="110"/>
      <c r="AW15708" s="110"/>
      <c r="AX15708" s="110"/>
      <c r="AY15708" s="110"/>
      <c r="AZ15708" s="110"/>
    </row>
  </sheetData>
  <autoFilter ref="A1:AZ38745" xr:uid="{E90E639C-9341-4799-8B53-D26FD3669B7E}"/>
  <printOptions gridLines="1"/>
  <pageMargins left="0" right="0" top="0" bottom="0" header="0" footer="0"/>
  <pageSetup paperSize="8" scale="3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08513" r:id="rId4" name="Button 1">
              <controlPr defaultSize="0" print="0" autoFill="0" autoPict="0" macro="[0]!FindInFile">
                <anchor moveWithCells="1" sizeWithCells="1">
                  <from>
                    <xdr:col>3</xdr:col>
                    <xdr:colOff>1851660</xdr:colOff>
                    <xdr:row>0</xdr:row>
                    <xdr:rowOff>22860</xdr:rowOff>
                  </from>
                  <to>
                    <xdr:col>3</xdr:col>
                    <xdr:colOff>2369820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5" tint="0.39997558519241921"/>
    <pageSetUpPr fitToPage="1"/>
  </sheetPr>
  <dimension ref="A1:AC100"/>
  <sheetViews>
    <sheetView topLeftCell="D1" zoomScale="85" zoomScaleNormal="85" workbookViewId="0">
      <pane ySplit="1" topLeftCell="A83" activePane="bottomLeft" state="frozen"/>
      <selection activeCell="C13" sqref="C13"/>
      <selection pane="bottomLeft" activeCell="C13" sqref="C13"/>
    </sheetView>
  </sheetViews>
  <sheetFormatPr defaultColWidth="9.109375" defaultRowHeight="14.4" x14ac:dyDescent="0.3"/>
  <cols>
    <col min="1" max="2" width="47.88671875" style="6" bestFit="1" customWidth="1"/>
    <col min="3" max="3" width="68.5546875" style="6" bestFit="1" customWidth="1"/>
    <col min="4" max="4" width="47.88671875" style="6" bestFit="1" customWidth="1"/>
    <col min="5" max="5" width="18.44140625" style="6" bestFit="1" customWidth="1"/>
    <col min="6" max="6" width="13.88671875" style="6" bestFit="1" customWidth="1"/>
    <col min="7" max="7" width="16" style="6" bestFit="1" customWidth="1"/>
    <col min="8" max="8" width="10.6640625" style="6" bestFit="1" customWidth="1"/>
    <col min="9" max="9" width="14.5546875" style="6" bestFit="1" customWidth="1"/>
    <col min="10" max="10" width="68.5546875" style="6" bestFit="1" customWidth="1"/>
    <col min="11" max="11" width="12.88671875" style="6" bestFit="1" customWidth="1"/>
    <col min="12" max="12" width="9.33203125" style="6" bestFit="1" customWidth="1"/>
    <col min="13" max="20" width="12.33203125" style="6" bestFit="1" customWidth="1"/>
    <col min="21" max="21" width="11.33203125" style="6" bestFit="1" customWidth="1"/>
    <col min="22" max="22" width="15" style="6" bestFit="1" customWidth="1"/>
    <col min="23" max="23" width="10.5546875" style="6" bestFit="1" customWidth="1"/>
    <col min="24" max="24" width="14.33203125" style="6" bestFit="1" customWidth="1"/>
    <col min="25" max="25" width="12.44140625" style="6" bestFit="1" customWidth="1"/>
    <col min="26" max="26" width="10" style="6" bestFit="1" customWidth="1"/>
    <col min="27" max="27" width="9.6640625" style="6" bestFit="1" customWidth="1"/>
    <col min="28" max="28" width="8" style="6" bestFit="1" customWidth="1"/>
    <col min="29" max="29" width="13.33203125" style="6" bestFit="1" customWidth="1"/>
    <col min="30" max="16384" width="9.109375" style="6"/>
  </cols>
  <sheetData>
    <row r="1" spans="1:29" x14ac:dyDescent="0.3">
      <c r="A1" s="68" t="s">
        <v>31</v>
      </c>
      <c r="B1" s="68" t="s">
        <v>0</v>
      </c>
      <c r="C1" s="68" t="s">
        <v>32</v>
      </c>
      <c r="D1" s="68" t="s">
        <v>33</v>
      </c>
      <c r="E1" s="68" t="s">
        <v>34</v>
      </c>
      <c r="F1" s="68" t="s">
        <v>35</v>
      </c>
      <c r="G1" s="68" t="s">
        <v>36</v>
      </c>
      <c r="H1" s="68" t="s">
        <v>37</v>
      </c>
      <c r="I1" s="68" t="s">
        <v>38</v>
      </c>
      <c r="J1" s="68" t="s">
        <v>10</v>
      </c>
      <c r="K1" s="68" t="s">
        <v>39</v>
      </c>
      <c r="L1" s="68" t="s">
        <v>40</v>
      </c>
      <c r="M1" s="68" t="s">
        <v>23</v>
      </c>
      <c r="N1" s="68" t="s">
        <v>24</v>
      </c>
      <c r="O1" s="68" t="s">
        <v>25</v>
      </c>
      <c r="P1" s="68" t="s">
        <v>26</v>
      </c>
      <c r="Q1" s="68" t="s">
        <v>27</v>
      </c>
      <c r="R1" s="68" t="s">
        <v>28</v>
      </c>
      <c r="S1" s="68" t="s">
        <v>29</v>
      </c>
      <c r="T1" s="68" t="s">
        <v>30</v>
      </c>
      <c r="U1" s="68" t="s">
        <v>19</v>
      </c>
      <c r="V1" s="68" t="s">
        <v>18</v>
      </c>
      <c r="W1" s="68" t="s">
        <v>41</v>
      </c>
      <c r="X1" s="68" t="s">
        <v>42</v>
      </c>
      <c r="Y1" s="68" t="s">
        <v>11</v>
      </c>
      <c r="Z1" s="68" t="s">
        <v>12</v>
      </c>
      <c r="AA1" s="68" t="s">
        <v>20</v>
      </c>
      <c r="AB1" s="68" t="s">
        <v>21</v>
      </c>
      <c r="AC1" s="68" t="s">
        <v>22</v>
      </c>
    </row>
    <row r="2" spans="1:29" x14ac:dyDescent="0.3">
      <c r="A2" s="6" t="s">
        <v>982</v>
      </c>
      <c r="B2" s="6" t="s">
        <v>982</v>
      </c>
      <c r="C2" s="6" t="s">
        <v>357</v>
      </c>
      <c r="D2" s="6" t="s">
        <v>982</v>
      </c>
      <c r="E2" s="6" t="s">
        <v>848</v>
      </c>
      <c r="F2" s="6" t="s">
        <v>719</v>
      </c>
      <c r="G2" s="6" t="s">
        <v>850</v>
      </c>
      <c r="H2" s="6" t="s">
        <v>842</v>
      </c>
      <c r="I2" s="6" t="s">
        <v>849</v>
      </c>
      <c r="J2" s="6" t="s">
        <v>357</v>
      </c>
      <c r="M2" s="6" t="s">
        <v>869</v>
      </c>
      <c r="U2" s="6" t="s">
        <v>1407</v>
      </c>
      <c r="AA2" s="6" t="s">
        <v>1405</v>
      </c>
      <c r="AB2" s="6" t="s">
        <v>718</v>
      </c>
    </row>
    <row r="3" spans="1:29" x14ac:dyDescent="0.3">
      <c r="A3" s="6" t="s">
        <v>994</v>
      </c>
      <c r="B3" s="6" t="s">
        <v>994</v>
      </c>
      <c r="C3" s="6" t="s">
        <v>345</v>
      </c>
      <c r="D3" s="6" t="s">
        <v>994</v>
      </c>
      <c r="E3" s="6" t="s">
        <v>848</v>
      </c>
      <c r="F3" s="6" t="s">
        <v>308</v>
      </c>
      <c r="G3" s="6" t="s">
        <v>850</v>
      </c>
      <c r="H3" s="6" t="s">
        <v>842</v>
      </c>
      <c r="I3" s="6" t="s">
        <v>849</v>
      </c>
      <c r="J3" s="6" t="s">
        <v>345</v>
      </c>
      <c r="M3" s="6" t="s">
        <v>869</v>
      </c>
      <c r="U3" s="6" t="s">
        <v>1407</v>
      </c>
      <c r="AA3" s="6" t="s">
        <v>1405</v>
      </c>
      <c r="AB3" s="6" t="s">
        <v>718</v>
      </c>
    </row>
    <row r="4" spans="1:29" x14ac:dyDescent="0.3">
      <c r="A4" s="6" t="s">
        <v>995</v>
      </c>
      <c r="B4" s="6" t="s">
        <v>995</v>
      </c>
      <c r="C4" s="6" t="s">
        <v>359</v>
      </c>
      <c r="D4" s="6" t="s">
        <v>995</v>
      </c>
      <c r="E4" s="6" t="s">
        <v>848</v>
      </c>
      <c r="F4" s="6" t="s">
        <v>308</v>
      </c>
      <c r="G4" s="6" t="s">
        <v>850</v>
      </c>
      <c r="H4" s="6" t="s">
        <v>842</v>
      </c>
      <c r="I4" s="6" t="s">
        <v>849</v>
      </c>
      <c r="J4" s="6" t="s">
        <v>359</v>
      </c>
      <c r="M4" s="6" t="s">
        <v>869</v>
      </c>
      <c r="U4" s="6" t="s">
        <v>1407</v>
      </c>
      <c r="AA4" s="6" t="s">
        <v>1405</v>
      </c>
      <c r="AB4" s="6" t="s">
        <v>718</v>
      </c>
    </row>
    <row r="5" spans="1:29" x14ac:dyDescent="0.3">
      <c r="A5" s="17" t="s">
        <v>1008</v>
      </c>
      <c r="B5" s="17" t="s">
        <v>1008</v>
      </c>
      <c r="C5" s="17" t="s">
        <v>726</v>
      </c>
      <c r="D5" s="17" t="s">
        <v>1008</v>
      </c>
      <c r="E5" s="17" t="s">
        <v>848</v>
      </c>
      <c r="F5" s="17" t="s">
        <v>307</v>
      </c>
      <c r="G5" s="17" t="s">
        <v>850</v>
      </c>
      <c r="H5" s="17" t="s">
        <v>842</v>
      </c>
      <c r="I5" s="17" t="s">
        <v>849</v>
      </c>
      <c r="J5" s="17" t="s">
        <v>726</v>
      </c>
      <c r="K5" s="17"/>
      <c r="L5" s="17"/>
      <c r="M5" s="17" t="s">
        <v>869</v>
      </c>
      <c r="N5" s="17"/>
      <c r="O5" s="17"/>
      <c r="P5" s="17"/>
      <c r="Q5" s="17"/>
      <c r="R5" s="17"/>
      <c r="S5" s="17"/>
      <c r="T5" s="17"/>
      <c r="U5" s="17" t="s">
        <v>1407</v>
      </c>
      <c r="V5" s="17"/>
      <c r="W5" s="17"/>
      <c r="X5" s="17"/>
      <c r="Y5" s="17"/>
      <c r="Z5" s="17"/>
      <c r="AA5" s="17" t="s">
        <v>1405</v>
      </c>
      <c r="AB5" s="17" t="s">
        <v>718</v>
      </c>
      <c r="AC5" s="17"/>
    </row>
    <row r="6" spans="1:29" x14ac:dyDescent="0.3">
      <c r="A6" s="6" t="s">
        <v>1034</v>
      </c>
      <c r="B6" s="6" t="s">
        <v>1034</v>
      </c>
      <c r="C6" s="6" t="s">
        <v>423</v>
      </c>
      <c r="D6" s="6" t="s">
        <v>1034</v>
      </c>
      <c r="E6" s="6" t="s">
        <v>848</v>
      </c>
      <c r="F6" s="6" t="s">
        <v>307</v>
      </c>
      <c r="G6" s="6" t="s">
        <v>850</v>
      </c>
      <c r="H6" s="6" t="s">
        <v>842</v>
      </c>
      <c r="I6" s="6" t="s">
        <v>849</v>
      </c>
      <c r="J6" s="6" t="s">
        <v>423</v>
      </c>
      <c r="M6" s="6" t="s">
        <v>869</v>
      </c>
      <c r="U6" s="6" t="s">
        <v>1407</v>
      </c>
      <c r="AA6" s="6" t="s">
        <v>1405</v>
      </c>
      <c r="AB6" s="6" t="s">
        <v>718</v>
      </c>
    </row>
    <row r="7" spans="1:29" x14ac:dyDescent="0.3">
      <c r="A7" s="6" t="s">
        <v>1037</v>
      </c>
      <c r="B7" s="6" t="s">
        <v>1037</v>
      </c>
      <c r="C7" s="6" t="s">
        <v>364</v>
      </c>
      <c r="D7" s="6" t="s">
        <v>1037</v>
      </c>
      <c r="E7" s="6" t="s">
        <v>848</v>
      </c>
      <c r="F7" s="6" t="s">
        <v>307</v>
      </c>
      <c r="G7" s="6" t="s">
        <v>850</v>
      </c>
      <c r="H7" s="6" t="s">
        <v>842</v>
      </c>
      <c r="I7" s="6" t="s">
        <v>849</v>
      </c>
      <c r="J7" s="6" t="s">
        <v>364</v>
      </c>
      <c r="M7" s="6" t="s">
        <v>869</v>
      </c>
      <c r="U7" s="6" t="s">
        <v>1407</v>
      </c>
      <c r="AA7" s="6" t="s">
        <v>1405</v>
      </c>
      <c r="AB7" s="6" t="s">
        <v>718</v>
      </c>
    </row>
    <row r="8" spans="1:29" x14ac:dyDescent="0.3">
      <c r="A8" s="6" t="s">
        <v>1039</v>
      </c>
      <c r="B8" s="6" t="s">
        <v>1039</v>
      </c>
      <c r="C8" s="6" t="s">
        <v>424</v>
      </c>
      <c r="D8" s="6" t="s">
        <v>1039</v>
      </c>
      <c r="E8" s="6" t="s">
        <v>848</v>
      </c>
      <c r="F8" s="6" t="s">
        <v>307</v>
      </c>
      <c r="G8" s="6" t="s">
        <v>850</v>
      </c>
      <c r="H8" s="6" t="s">
        <v>842</v>
      </c>
      <c r="I8" s="6" t="s">
        <v>849</v>
      </c>
      <c r="J8" s="6" t="s">
        <v>424</v>
      </c>
      <c r="M8" s="6" t="s">
        <v>869</v>
      </c>
      <c r="U8" s="6" t="s">
        <v>1407</v>
      </c>
      <c r="AA8" s="6" t="s">
        <v>1405</v>
      </c>
      <c r="AB8" s="6" t="s">
        <v>718</v>
      </c>
    </row>
    <row r="9" spans="1:29" x14ac:dyDescent="0.3">
      <c r="A9" s="6" t="s">
        <v>1040</v>
      </c>
      <c r="B9" s="6" t="s">
        <v>1040</v>
      </c>
      <c r="C9" s="6" t="s">
        <v>425</v>
      </c>
      <c r="D9" s="6" t="s">
        <v>1040</v>
      </c>
      <c r="E9" s="6" t="s">
        <v>848</v>
      </c>
      <c r="F9" s="6" t="s">
        <v>307</v>
      </c>
      <c r="G9" s="6" t="s">
        <v>850</v>
      </c>
      <c r="H9" s="6" t="s">
        <v>842</v>
      </c>
      <c r="I9" s="6" t="s">
        <v>849</v>
      </c>
      <c r="J9" s="6" t="s">
        <v>425</v>
      </c>
      <c r="M9" s="6" t="s">
        <v>869</v>
      </c>
      <c r="U9" s="6" t="s">
        <v>1407</v>
      </c>
      <c r="AA9" s="6" t="s">
        <v>1405</v>
      </c>
      <c r="AB9" s="6" t="s">
        <v>718</v>
      </c>
    </row>
    <row r="10" spans="1:29" x14ac:dyDescent="0.3">
      <c r="A10" s="6" t="s">
        <v>1042</v>
      </c>
      <c r="B10" s="6" t="s">
        <v>1042</v>
      </c>
      <c r="C10" s="6" t="s">
        <v>426</v>
      </c>
      <c r="D10" s="6" t="s">
        <v>1042</v>
      </c>
      <c r="E10" s="6" t="s">
        <v>848</v>
      </c>
      <c r="F10" s="6" t="s">
        <v>307</v>
      </c>
      <c r="G10" s="6" t="s">
        <v>850</v>
      </c>
      <c r="H10" s="6" t="s">
        <v>842</v>
      </c>
      <c r="I10" s="6" t="s">
        <v>849</v>
      </c>
      <c r="J10" s="6" t="s">
        <v>426</v>
      </c>
      <c r="M10" s="6" t="s">
        <v>869</v>
      </c>
      <c r="U10" s="6" t="s">
        <v>1407</v>
      </c>
      <c r="AA10" s="6" t="s">
        <v>1405</v>
      </c>
      <c r="AB10" s="6" t="s">
        <v>718</v>
      </c>
    </row>
    <row r="11" spans="1:29" x14ac:dyDescent="0.3">
      <c r="A11" s="6" t="s">
        <v>1050</v>
      </c>
      <c r="B11" s="6" t="s">
        <v>1050</v>
      </c>
      <c r="C11" s="6" t="s">
        <v>730</v>
      </c>
      <c r="D11" s="6" t="s">
        <v>1050</v>
      </c>
      <c r="E11" s="6" t="s">
        <v>848</v>
      </c>
      <c r="F11" s="6" t="s">
        <v>308</v>
      </c>
      <c r="G11" s="6" t="s">
        <v>850</v>
      </c>
      <c r="H11" s="6" t="s">
        <v>842</v>
      </c>
      <c r="I11" s="6" t="s">
        <v>849</v>
      </c>
      <c r="J11" s="6" t="s">
        <v>730</v>
      </c>
      <c r="M11" s="6" t="s">
        <v>869</v>
      </c>
      <c r="U11" s="6" t="s">
        <v>1407</v>
      </c>
      <c r="AA11" s="6" t="s">
        <v>1405</v>
      </c>
      <c r="AB11" s="6" t="s">
        <v>718</v>
      </c>
    </row>
    <row r="12" spans="1:29" x14ac:dyDescent="0.3">
      <c r="A12" s="6" t="s">
        <v>1051</v>
      </c>
      <c r="B12" s="6" t="s">
        <v>1051</v>
      </c>
      <c r="C12" s="6" t="s">
        <v>732</v>
      </c>
      <c r="D12" s="6" t="s">
        <v>1051</v>
      </c>
      <c r="E12" s="6" t="s">
        <v>848</v>
      </c>
      <c r="F12" s="6" t="s">
        <v>308</v>
      </c>
      <c r="G12" s="6" t="s">
        <v>850</v>
      </c>
      <c r="H12" s="6" t="s">
        <v>842</v>
      </c>
      <c r="I12" s="6" t="s">
        <v>849</v>
      </c>
      <c r="J12" s="6" t="s">
        <v>732</v>
      </c>
      <c r="M12" s="6" t="s">
        <v>869</v>
      </c>
      <c r="U12" s="6" t="s">
        <v>1407</v>
      </c>
      <c r="AA12" s="6" t="s">
        <v>1405</v>
      </c>
      <c r="AB12" s="6" t="s">
        <v>718</v>
      </c>
    </row>
    <row r="13" spans="1:29" x14ac:dyDescent="0.3">
      <c r="A13" s="6" t="s">
        <v>1053</v>
      </c>
      <c r="B13" s="6" t="s">
        <v>1053</v>
      </c>
      <c r="C13" s="6" t="s">
        <v>734</v>
      </c>
      <c r="D13" s="6" t="s">
        <v>1053</v>
      </c>
      <c r="E13" s="6" t="s">
        <v>848</v>
      </c>
      <c r="F13" s="6" t="s">
        <v>308</v>
      </c>
      <c r="G13" s="6" t="s">
        <v>850</v>
      </c>
      <c r="H13" s="6" t="s">
        <v>842</v>
      </c>
      <c r="I13" s="6" t="s">
        <v>849</v>
      </c>
      <c r="J13" s="6" t="s">
        <v>734</v>
      </c>
      <c r="M13" s="6" t="s">
        <v>869</v>
      </c>
      <c r="U13" s="6" t="s">
        <v>1407</v>
      </c>
      <c r="AA13" s="6" t="s">
        <v>1405</v>
      </c>
      <c r="AB13" s="6" t="s">
        <v>718</v>
      </c>
    </row>
    <row r="14" spans="1:29" x14ac:dyDescent="0.3">
      <c r="A14" s="6" t="s">
        <v>1054</v>
      </c>
      <c r="B14" s="6" t="s">
        <v>1054</v>
      </c>
      <c r="C14" s="6" t="s">
        <v>735</v>
      </c>
      <c r="D14" s="6" t="s">
        <v>1054</v>
      </c>
      <c r="E14" s="6" t="s">
        <v>848</v>
      </c>
      <c r="F14" s="6" t="s">
        <v>308</v>
      </c>
      <c r="G14" s="6" t="s">
        <v>850</v>
      </c>
      <c r="H14" s="6" t="s">
        <v>842</v>
      </c>
      <c r="I14" s="6" t="s">
        <v>849</v>
      </c>
      <c r="J14" s="6" t="s">
        <v>735</v>
      </c>
      <c r="M14" s="6" t="s">
        <v>869</v>
      </c>
      <c r="U14" s="6" t="s">
        <v>1407</v>
      </c>
      <c r="AA14" s="6" t="s">
        <v>1405</v>
      </c>
      <c r="AB14" s="6" t="s">
        <v>718</v>
      </c>
    </row>
    <row r="15" spans="1:29" x14ac:dyDescent="0.3">
      <c r="A15" s="6" t="s">
        <v>1062</v>
      </c>
      <c r="B15" s="6" t="s">
        <v>1062</v>
      </c>
      <c r="C15" s="6" t="s">
        <v>745</v>
      </c>
      <c r="D15" s="6" t="s">
        <v>1062</v>
      </c>
      <c r="E15" s="6" t="s">
        <v>848</v>
      </c>
      <c r="F15" s="6" t="s">
        <v>307</v>
      </c>
      <c r="G15" s="6" t="s">
        <v>850</v>
      </c>
      <c r="H15" s="6" t="s">
        <v>842</v>
      </c>
      <c r="I15" s="6" t="s">
        <v>849</v>
      </c>
      <c r="J15" s="6" t="s">
        <v>745</v>
      </c>
      <c r="M15" s="6" t="s">
        <v>869</v>
      </c>
      <c r="U15" s="6" t="s">
        <v>1407</v>
      </c>
      <c r="AA15" s="6" t="s">
        <v>1405</v>
      </c>
      <c r="AB15" s="6" t="s">
        <v>718</v>
      </c>
    </row>
    <row r="16" spans="1:29" x14ac:dyDescent="0.3">
      <c r="A16" s="6" t="s">
        <v>1064</v>
      </c>
      <c r="B16" s="6" t="s">
        <v>1064</v>
      </c>
      <c r="C16" s="6" t="s">
        <v>747</v>
      </c>
      <c r="D16" s="6" t="s">
        <v>1064</v>
      </c>
      <c r="E16" s="6" t="s">
        <v>848</v>
      </c>
      <c r="F16" s="6" t="s">
        <v>307</v>
      </c>
      <c r="G16" s="6" t="s">
        <v>850</v>
      </c>
      <c r="H16" s="6" t="s">
        <v>842</v>
      </c>
      <c r="I16" s="6" t="s">
        <v>849</v>
      </c>
      <c r="J16" s="6" t="s">
        <v>747</v>
      </c>
      <c r="M16" s="6" t="s">
        <v>869</v>
      </c>
      <c r="U16" s="6" t="s">
        <v>1407</v>
      </c>
      <c r="AA16" s="6" t="s">
        <v>1405</v>
      </c>
      <c r="AB16" s="6" t="s">
        <v>718</v>
      </c>
    </row>
    <row r="17" spans="1:28" x14ac:dyDescent="0.3">
      <c r="A17" s="6" t="s">
        <v>1066</v>
      </c>
      <c r="B17" s="6" t="s">
        <v>1066</v>
      </c>
      <c r="C17" s="6" t="s">
        <v>749</v>
      </c>
      <c r="D17" s="6" t="s">
        <v>1066</v>
      </c>
      <c r="E17" s="6" t="s">
        <v>848</v>
      </c>
      <c r="F17" s="6" t="s">
        <v>307</v>
      </c>
      <c r="G17" s="6" t="s">
        <v>850</v>
      </c>
      <c r="H17" s="6" t="s">
        <v>842</v>
      </c>
      <c r="I17" s="6" t="s">
        <v>849</v>
      </c>
      <c r="J17" s="6" t="s">
        <v>749</v>
      </c>
      <c r="M17" s="6" t="s">
        <v>869</v>
      </c>
      <c r="U17" s="6" t="s">
        <v>1407</v>
      </c>
      <c r="AA17" s="6" t="s">
        <v>1405</v>
      </c>
      <c r="AB17" s="6" t="s">
        <v>718</v>
      </c>
    </row>
    <row r="18" spans="1:28" x14ac:dyDescent="0.3">
      <c r="A18" s="6" t="s">
        <v>1074</v>
      </c>
      <c r="B18" s="6" t="s">
        <v>1074</v>
      </c>
      <c r="C18" s="6" t="s">
        <v>757</v>
      </c>
      <c r="D18" s="6" t="s">
        <v>1074</v>
      </c>
      <c r="E18" s="6" t="s">
        <v>848</v>
      </c>
      <c r="F18" s="6" t="s">
        <v>307</v>
      </c>
      <c r="G18" s="6" t="s">
        <v>850</v>
      </c>
      <c r="H18" s="6" t="s">
        <v>842</v>
      </c>
      <c r="I18" s="6" t="s">
        <v>849</v>
      </c>
      <c r="J18" s="6" t="s">
        <v>757</v>
      </c>
      <c r="M18" s="6" t="s">
        <v>869</v>
      </c>
      <c r="U18" s="6" t="s">
        <v>1407</v>
      </c>
      <c r="AA18" s="6" t="s">
        <v>1405</v>
      </c>
      <c r="AB18" s="6" t="s">
        <v>718</v>
      </c>
    </row>
    <row r="19" spans="1:28" x14ac:dyDescent="0.3">
      <c r="A19" s="6" t="s">
        <v>1075</v>
      </c>
      <c r="B19" s="6" t="s">
        <v>1075</v>
      </c>
      <c r="C19" s="6" t="s">
        <v>758</v>
      </c>
      <c r="D19" s="6" t="s">
        <v>1075</v>
      </c>
      <c r="E19" s="6" t="s">
        <v>848</v>
      </c>
      <c r="F19" s="6" t="s">
        <v>307</v>
      </c>
      <c r="G19" s="6" t="s">
        <v>850</v>
      </c>
      <c r="H19" s="6" t="s">
        <v>842</v>
      </c>
      <c r="I19" s="6" t="s">
        <v>849</v>
      </c>
      <c r="J19" s="6" t="s">
        <v>758</v>
      </c>
      <c r="M19" s="6" t="s">
        <v>869</v>
      </c>
      <c r="U19" s="6" t="s">
        <v>1407</v>
      </c>
      <c r="AA19" s="6" t="s">
        <v>1405</v>
      </c>
      <c r="AB19" s="6" t="s">
        <v>718</v>
      </c>
    </row>
    <row r="20" spans="1:28" x14ac:dyDescent="0.3">
      <c r="A20" s="6" t="s">
        <v>1076</v>
      </c>
      <c r="B20" s="6" t="s">
        <v>1076</v>
      </c>
      <c r="C20" s="6" t="s">
        <v>759</v>
      </c>
      <c r="D20" s="6" t="s">
        <v>1076</v>
      </c>
      <c r="E20" s="6" t="s">
        <v>848</v>
      </c>
      <c r="F20" s="6" t="s">
        <v>307</v>
      </c>
      <c r="G20" s="6" t="s">
        <v>850</v>
      </c>
      <c r="H20" s="6" t="s">
        <v>842</v>
      </c>
      <c r="I20" s="6" t="s">
        <v>849</v>
      </c>
      <c r="J20" s="6" t="s">
        <v>759</v>
      </c>
      <c r="M20" s="6" t="s">
        <v>869</v>
      </c>
      <c r="U20" s="6" t="s">
        <v>1407</v>
      </c>
      <c r="AA20" s="6" t="s">
        <v>1405</v>
      </c>
      <c r="AB20" s="6" t="s">
        <v>718</v>
      </c>
    </row>
    <row r="21" spans="1:28" x14ac:dyDescent="0.3">
      <c r="A21" s="6" t="s">
        <v>1077</v>
      </c>
      <c r="B21" s="6" t="s">
        <v>1077</v>
      </c>
      <c r="C21" s="6" t="s">
        <v>760</v>
      </c>
      <c r="D21" s="6" t="s">
        <v>1077</v>
      </c>
      <c r="E21" s="6" t="s">
        <v>848</v>
      </c>
      <c r="F21" s="6" t="s">
        <v>307</v>
      </c>
      <c r="G21" s="6" t="s">
        <v>850</v>
      </c>
      <c r="H21" s="6" t="s">
        <v>842</v>
      </c>
      <c r="I21" s="6" t="s">
        <v>849</v>
      </c>
      <c r="J21" s="6" t="s">
        <v>760</v>
      </c>
      <c r="M21" s="6" t="s">
        <v>869</v>
      </c>
      <c r="U21" s="6" t="s">
        <v>1407</v>
      </c>
      <c r="AA21" s="6" t="s">
        <v>1405</v>
      </c>
      <c r="AB21" s="6" t="s">
        <v>718</v>
      </c>
    </row>
    <row r="22" spans="1:28" x14ac:dyDescent="0.3">
      <c r="A22" s="6" t="s">
        <v>1092</v>
      </c>
      <c r="B22" s="6" t="s">
        <v>1092</v>
      </c>
      <c r="C22" s="6" t="s">
        <v>773</v>
      </c>
      <c r="D22" s="6" t="s">
        <v>1092</v>
      </c>
      <c r="E22" s="6" t="s">
        <v>848</v>
      </c>
      <c r="F22" s="6" t="s">
        <v>307</v>
      </c>
      <c r="G22" s="6" t="s">
        <v>850</v>
      </c>
      <c r="H22" s="6" t="s">
        <v>842</v>
      </c>
      <c r="I22" s="6" t="s">
        <v>849</v>
      </c>
      <c r="J22" s="6" t="s">
        <v>773</v>
      </c>
      <c r="M22" s="6" t="s">
        <v>869</v>
      </c>
      <c r="U22" s="6" t="s">
        <v>1407</v>
      </c>
      <c r="AA22" s="6" t="s">
        <v>1405</v>
      </c>
      <c r="AB22" s="6" t="s">
        <v>718</v>
      </c>
    </row>
    <row r="23" spans="1:28" x14ac:dyDescent="0.3">
      <c r="A23" s="6" t="s">
        <v>1093</v>
      </c>
      <c r="B23" s="6" t="s">
        <v>1093</v>
      </c>
      <c r="C23" s="6" t="s">
        <v>774</v>
      </c>
      <c r="D23" s="6" t="s">
        <v>1093</v>
      </c>
      <c r="E23" s="6" t="s">
        <v>848</v>
      </c>
      <c r="F23" s="6" t="s">
        <v>307</v>
      </c>
      <c r="G23" s="6" t="s">
        <v>850</v>
      </c>
      <c r="H23" s="6" t="s">
        <v>842</v>
      </c>
      <c r="I23" s="6" t="s">
        <v>849</v>
      </c>
      <c r="J23" s="6" t="s">
        <v>774</v>
      </c>
      <c r="M23" s="6" t="s">
        <v>869</v>
      </c>
      <c r="U23" s="6" t="s">
        <v>1407</v>
      </c>
      <c r="AA23" s="6" t="s">
        <v>1405</v>
      </c>
      <c r="AB23" s="6" t="s">
        <v>718</v>
      </c>
    </row>
    <row r="24" spans="1:28" x14ac:dyDescent="0.3">
      <c r="A24" s="6" t="s">
        <v>1094</v>
      </c>
      <c r="B24" s="6" t="s">
        <v>1094</v>
      </c>
      <c r="C24" s="6" t="s">
        <v>775</v>
      </c>
      <c r="D24" s="6" t="s">
        <v>1094</v>
      </c>
      <c r="E24" s="6" t="s">
        <v>848</v>
      </c>
      <c r="F24" s="6" t="s">
        <v>307</v>
      </c>
      <c r="G24" s="6" t="s">
        <v>850</v>
      </c>
      <c r="H24" s="6" t="s">
        <v>842</v>
      </c>
      <c r="I24" s="6" t="s">
        <v>849</v>
      </c>
      <c r="J24" s="6" t="s">
        <v>775</v>
      </c>
      <c r="M24" s="6" t="s">
        <v>869</v>
      </c>
      <c r="U24" s="6" t="s">
        <v>1407</v>
      </c>
      <c r="AA24" s="6" t="s">
        <v>1405</v>
      </c>
      <c r="AB24" s="6" t="s">
        <v>718</v>
      </c>
    </row>
    <row r="25" spans="1:28" x14ac:dyDescent="0.3">
      <c r="A25" s="6" t="s">
        <v>1095</v>
      </c>
      <c r="B25" s="6" t="s">
        <v>1095</v>
      </c>
      <c r="C25" s="6" t="s">
        <v>799</v>
      </c>
      <c r="D25" s="6" t="s">
        <v>1095</v>
      </c>
      <c r="E25" s="6" t="s">
        <v>848</v>
      </c>
      <c r="F25" s="6" t="s">
        <v>307</v>
      </c>
      <c r="G25" s="6" t="s">
        <v>850</v>
      </c>
      <c r="H25" s="6" t="s">
        <v>842</v>
      </c>
      <c r="I25" s="6" t="s">
        <v>849</v>
      </c>
      <c r="J25" s="6" t="s">
        <v>799</v>
      </c>
      <c r="M25" s="6" t="s">
        <v>869</v>
      </c>
      <c r="U25" s="6" t="s">
        <v>1407</v>
      </c>
      <c r="AA25" s="6" t="s">
        <v>1405</v>
      </c>
      <c r="AB25" s="6" t="s">
        <v>718</v>
      </c>
    </row>
    <row r="26" spans="1:28" x14ac:dyDescent="0.3">
      <c r="A26" s="6" t="s">
        <v>1096</v>
      </c>
      <c r="B26" s="6" t="s">
        <v>1096</v>
      </c>
      <c r="C26" s="6" t="s">
        <v>800</v>
      </c>
      <c r="D26" s="6" t="s">
        <v>1096</v>
      </c>
      <c r="E26" s="6" t="s">
        <v>848</v>
      </c>
      <c r="F26" s="6" t="s">
        <v>307</v>
      </c>
      <c r="G26" s="6" t="s">
        <v>850</v>
      </c>
      <c r="H26" s="6" t="s">
        <v>842</v>
      </c>
      <c r="I26" s="6" t="s">
        <v>849</v>
      </c>
      <c r="J26" s="6" t="s">
        <v>800</v>
      </c>
      <c r="M26" s="6" t="s">
        <v>869</v>
      </c>
      <c r="U26" s="6" t="s">
        <v>1407</v>
      </c>
      <c r="AA26" s="6" t="s">
        <v>1405</v>
      </c>
      <c r="AB26" s="6" t="s">
        <v>718</v>
      </c>
    </row>
    <row r="27" spans="1:28" x14ac:dyDescent="0.3">
      <c r="A27" s="6" t="s">
        <v>1097</v>
      </c>
      <c r="B27" s="6" t="s">
        <v>1097</v>
      </c>
      <c r="C27" s="6" t="s">
        <v>777</v>
      </c>
      <c r="D27" s="6" t="s">
        <v>1097</v>
      </c>
      <c r="E27" s="6" t="s">
        <v>848</v>
      </c>
      <c r="F27" s="6" t="s">
        <v>307</v>
      </c>
      <c r="G27" s="6" t="s">
        <v>850</v>
      </c>
      <c r="H27" s="6" t="s">
        <v>842</v>
      </c>
      <c r="I27" s="6" t="s">
        <v>849</v>
      </c>
      <c r="J27" s="6" t="s">
        <v>777</v>
      </c>
      <c r="M27" s="6" t="s">
        <v>869</v>
      </c>
      <c r="U27" s="6" t="s">
        <v>1407</v>
      </c>
      <c r="AA27" s="6" t="s">
        <v>1405</v>
      </c>
      <c r="AB27" s="6" t="s">
        <v>718</v>
      </c>
    </row>
    <row r="28" spans="1:28" x14ac:dyDescent="0.3">
      <c r="A28" s="6" t="s">
        <v>1098</v>
      </c>
      <c r="B28" s="6" t="s">
        <v>1098</v>
      </c>
      <c r="C28" s="6" t="s">
        <v>778</v>
      </c>
      <c r="D28" s="6" t="s">
        <v>1098</v>
      </c>
      <c r="E28" s="6" t="s">
        <v>848</v>
      </c>
      <c r="F28" s="6" t="s">
        <v>307</v>
      </c>
      <c r="G28" s="6" t="s">
        <v>850</v>
      </c>
      <c r="H28" s="6" t="s">
        <v>842</v>
      </c>
      <c r="I28" s="6" t="s">
        <v>849</v>
      </c>
      <c r="J28" s="6" t="s">
        <v>778</v>
      </c>
      <c r="M28" s="6" t="s">
        <v>869</v>
      </c>
      <c r="U28" s="6" t="s">
        <v>1407</v>
      </c>
      <c r="AA28" s="6" t="s">
        <v>1405</v>
      </c>
      <c r="AB28" s="6" t="s">
        <v>718</v>
      </c>
    </row>
    <row r="29" spans="1:28" x14ac:dyDescent="0.3">
      <c r="A29" s="6" t="s">
        <v>1099</v>
      </c>
      <c r="B29" s="6" t="s">
        <v>1099</v>
      </c>
      <c r="C29" s="6" t="s">
        <v>779</v>
      </c>
      <c r="D29" s="6" t="s">
        <v>1099</v>
      </c>
      <c r="E29" s="6" t="s">
        <v>848</v>
      </c>
      <c r="F29" s="6" t="s">
        <v>307</v>
      </c>
      <c r="G29" s="6" t="s">
        <v>850</v>
      </c>
      <c r="H29" s="6" t="s">
        <v>842</v>
      </c>
      <c r="I29" s="6" t="s">
        <v>849</v>
      </c>
      <c r="J29" s="6" t="s">
        <v>779</v>
      </c>
      <c r="M29" s="6" t="s">
        <v>869</v>
      </c>
      <c r="U29" s="6" t="s">
        <v>1407</v>
      </c>
      <c r="AA29" s="6" t="s">
        <v>1405</v>
      </c>
      <c r="AB29" s="6" t="s">
        <v>718</v>
      </c>
    </row>
    <row r="30" spans="1:28" x14ac:dyDescent="0.3">
      <c r="A30" s="6" t="s">
        <v>1100</v>
      </c>
      <c r="B30" s="6" t="s">
        <v>1100</v>
      </c>
      <c r="C30" s="6" t="s">
        <v>792</v>
      </c>
      <c r="D30" s="6" t="s">
        <v>1100</v>
      </c>
      <c r="E30" s="6" t="s">
        <v>848</v>
      </c>
      <c r="F30" s="6" t="s">
        <v>307</v>
      </c>
      <c r="G30" s="6" t="s">
        <v>850</v>
      </c>
      <c r="H30" s="6" t="s">
        <v>842</v>
      </c>
      <c r="I30" s="6" t="s">
        <v>849</v>
      </c>
      <c r="J30" s="6" t="s">
        <v>792</v>
      </c>
      <c r="M30" s="6" t="s">
        <v>869</v>
      </c>
      <c r="U30" s="6" t="s">
        <v>1407</v>
      </c>
      <c r="AA30" s="6" t="s">
        <v>1405</v>
      </c>
      <c r="AB30" s="6" t="s">
        <v>718</v>
      </c>
    </row>
    <row r="31" spans="1:28" x14ac:dyDescent="0.3">
      <c r="A31" s="6" t="s">
        <v>1101</v>
      </c>
      <c r="B31" s="6" t="s">
        <v>1101</v>
      </c>
      <c r="C31" s="6" t="s">
        <v>796</v>
      </c>
      <c r="D31" s="6" t="s">
        <v>1101</v>
      </c>
      <c r="E31" s="6" t="s">
        <v>848</v>
      </c>
      <c r="F31" s="6" t="s">
        <v>307</v>
      </c>
      <c r="G31" s="6" t="s">
        <v>850</v>
      </c>
      <c r="H31" s="6" t="s">
        <v>842</v>
      </c>
      <c r="I31" s="6" t="s">
        <v>849</v>
      </c>
      <c r="J31" s="6" t="s">
        <v>796</v>
      </c>
      <c r="M31" s="6" t="s">
        <v>869</v>
      </c>
      <c r="U31" s="6" t="s">
        <v>1407</v>
      </c>
      <c r="AA31" s="6" t="s">
        <v>1405</v>
      </c>
      <c r="AB31" s="6" t="s">
        <v>718</v>
      </c>
    </row>
    <row r="32" spans="1:28" x14ac:dyDescent="0.3">
      <c r="A32" s="6" t="s">
        <v>1102</v>
      </c>
      <c r="B32" s="6" t="s">
        <v>1102</v>
      </c>
      <c r="C32" s="6" t="s">
        <v>780</v>
      </c>
      <c r="D32" s="6" t="s">
        <v>1102</v>
      </c>
      <c r="E32" s="6" t="s">
        <v>848</v>
      </c>
      <c r="F32" s="6" t="s">
        <v>307</v>
      </c>
      <c r="G32" s="6" t="s">
        <v>850</v>
      </c>
      <c r="H32" s="6" t="s">
        <v>842</v>
      </c>
      <c r="I32" s="6" t="s">
        <v>849</v>
      </c>
      <c r="J32" s="6" t="s">
        <v>780</v>
      </c>
      <c r="M32" s="6" t="s">
        <v>869</v>
      </c>
      <c r="U32" s="6" t="s">
        <v>1407</v>
      </c>
      <c r="AA32" s="6" t="s">
        <v>1405</v>
      </c>
      <c r="AB32" s="6" t="s">
        <v>718</v>
      </c>
    </row>
    <row r="33" spans="1:28" x14ac:dyDescent="0.3">
      <c r="A33" s="6" t="s">
        <v>1103</v>
      </c>
      <c r="B33" s="6" t="s">
        <v>1103</v>
      </c>
      <c r="C33" s="6" t="s">
        <v>781</v>
      </c>
      <c r="D33" s="6" t="s">
        <v>1103</v>
      </c>
      <c r="E33" s="6" t="s">
        <v>848</v>
      </c>
      <c r="F33" s="6" t="s">
        <v>307</v>
      </c>
      <c r="G33" s="6" t="s">
        <v>850</v>
      </c>
      <c r="H33" s="6" t="s">
        <v>842</v>
      </c>
      <c r="I33" s="6" t="s">
        <v>849</v>
      </c>
      <c r="J33" s="6" t="s">
        <v>781</v>
      </c>
      <c r="M33" s="6" t="s">
        <v>869</v>
      </c>
      <c r="U33" s="6" t="s">
        <v>1407</v>
      </c>
      <c r="AA33" s="6" t="s">
        <v>1405</v>
      </c>
      <c r="AB33" s="6" t="s">
        <v>718</v>
      </c>
    </row>
    <row r="34" spans="1:28" x14ac:dyDescent="0.3">
      <c r="A34" s="6" t="s">
        <v>1104</v>
      </c>
      <c r="B34" s="6" t="s">
        <v>1104</v>
      </c>
      <c r="C34" s="6" t="s">
        <v>782</v>
      </c>
      <c r="D34" s="6" t="s">
        <v>1104</v>
      </c>
      <c r="E34" s="6" t="s">
        <v>848</v>
      </c>
      <c r="F34" s="6" t="s">
        <v>307</v>
      </c>
      <c r="G34" s="6" t="s">
        <v>850</v>
      </c>
      <c r="H34" s="6" t="s">
        <v>842</v>
      </c>
      <c r="I34" s="6" t="s">
        <v>849</v>
      </c>
      <c r="J34" s="6" t="s">
        <v>782</v>
      </c>
      <c r="M34" s="6" t="s">
        <v>869</v>
      </c>
      <c r="U34" s="6" t="s">
        <v>1407</v>
      </c>
      <c r="AA34" s="6" t="s">
        <v>1405</v>
      </c>
      <c r="AB34" s="6" t="s">
        <v>718</v>
      </c>
    </row>
    <row r="35" spans="1:28" x14ac:dyDescent="0.3">
      <c r="A35" s="6" t="s">
        <v>1105</v>
      </c>
      <c r="B35" s="6" t="s">
        <v>1105</v>
      </c>
      <c r="C35" s="6" t="s">
        <v>783</v>
      </c>
      <c r="D35" s="6" t="s">
        <v>1105</v>
      </c>
      <c r="E35" s="6" t="s">
        <v>848</v>
      </c>
      <c r="F35" s="6" t="s">
        <v>307</v>
      </c>
      <c r="G35" s="6" t="s">
        <v>850</v>
      </c>
      <c r="H35" s="6" t="s">
        <v>842</v>
      </c>
      <c r="I35" s="6" t="s">
        <v>849</v>
      </c>
      <c r="J35" s="6" t="s">
        <v>783</v>
      </c>
      <c r="M35" s="6" t="s">
        <v>869</v>
      </c>
      <c r="U35" s="6" t="s">
        <v>1407</v>
      </c>
      <c r="AA35" s="6" t="s">
        <v>1405</v>
      </c>
      <c r="AB35" s="6" t="s">
        <v>718</v>
      </c>
    </row>
    <row r="36" spans="1:28" x14ac:dyDescent="0.3">
      <c r="A36" s="6" t="s">
        <v>1107</v>
      </c>
      <c r="B36" s="6" t="s">
        <v>1107</v>
      </c>
      <c r="C36" s="6" t="s">
        <v>836</v>
      </c>
      <c r="D36" s="6" t="s">
        <v>1107</v>
      </c>
      <c r="E36" s="6" t="s">
        <v>848</v>
      </c>
      <c r="F36" s="6" t="s">
        <v>308</v>
      </c>
      <c r="G36" s="6" t="s">
        <v>850</v>
      </c>
      <c r="H36" s="6" t="s">
        <v>842</v>
      </c>
      <c r="I36" s="6" t="s">
        <v>849</v>
      </c>
      <c r="J36" s="6" t="s">
        <v>836</v>
      </c>
      <c r="M36" s="6" t="s">
        <v>869</v>
      </c>
      <c r="U36" s="6" t="s">
        <v>1407</v>
      </c>
      <c r="AA36" s="6" t="s">
        <v>1405</v>
      </c>
      <c r="AB36" s="6" t="s">
        <v>718</v>
      </c>
    </row>
    <row r="37" spans="1:28" x14ac:dyDescent="0.3">
      <c r="A37" s="6" t="s">
        <v>1108</v>
      </c>
      <c r="B37" s="6" t="s">
        <v>1108</v>
      </c>
      <c r="C37" s="6" t="s">
        <v>786</v>
      </c>
      <c r="D37" s="6" t="s">
        <v>1108</v>
      </c>
      <c r="E37" s="6" t="s">
        <v>848</v>
      </c>
      <c r="F37" s="6" t="s">
        <v>308</v>
      </c>
      <c r="G37" s="6" t="s">
        <v>850</v>
      </c>
      <c r="H37" s="6" t="s">
        <v>842</v>
      </c>
      <c r="I37" s="6" t="s">
        <v>849</v>
      </c>
      <c r="J37" s="6" t="s">
        <v>786</v>
      </c>
      <c r="M37" s="6" t="s">
        <v>869</v>
      </c>
      <c r="U37" s="6" t="s">
        <v>1407</v>
      </c>
      <c r="AA37" s="6" t="s">
        <v>1405</v>
      </c>
      <c r="AB37" s="6" t="s">
        <v>718</v>
      </c>
    </row>
    <row r="38" spans="1:28" x14ac:dyDescent="0.3">
      <c r="A38" s="6" t="s">
        <v>1109</v>
      </c>
      <c r="B38" s="6" t="s">
        <v>1109</v>
      </c>
      <c r="C38" s="6" t="s">
        <v>788</v>
      </c>
      <c r="D38" s="6" t="s">
        <v>1109</v>
      </c>
      <c r="E38" s="6" t="s">
        <v>848</v>
      </c>
      <c r="F38" s="6" t="s">
        <v>308</v>
      </c>
      <c r="G38" s="6" t="s">
        <v>850</v>
      </c>
      <c r="H38" s="6" t="s">
        <v>842</v>
      </c>
      <c r="I38" s="6" t="s">
        <v>849</v>
      </c>
      <c r="J38" s="6" t="s">
        <v>788</v>
      </c>
      <c r="M38" s="6" t="s">
        <v>869</v>
      </c>
      <c r="U38" s="6" t="s">
        <v>1407</v>
      </c>
      <c r="AA38" s="6" t="s">
        <v>1405</v>
      </c>
      <c r="AB38" s="6" t="s">
        <v>718</v>
      </c>
    </row>
    <row r="39" spans="1:28" x14ac:dyDescent="0.3">
      <c r="A39" s="6" t="s">
        <v>1110</v>
      </c>
      <c r="B39" s="6" t="s">
        <v>1110</v>
      </c>
      <c r="C39" s="6" t="s">
        <v>790</v>
      </c>
      <c r="D39" s="6" t="s">
        <v>1110</v>
      </c>
      <c r="E39" s="6" t="s">
        <v>848</v>
      </c>
      <c r="F39" s="6" t="s">
        <v>308</v>
      </c>
      <c r="G39" s="6" t="s">
        <v>850</v>
      </c>
      <c r="H39" s="6" t="s">
        <v>842</v>
      </c>
      <c r="I39" s="6" t="s">
        <v>849</v>
      </c>
      <c r="J39" s="6" t="s">
        <v>790</v>
      </c>
      <c r="M39" s="6" t="s">
        <v>869</v>
      </c>
      <c r="U39" s="6" t="s">
        <v>1407</v>
      </c>
      <c r="AA39" s="6" t="s">
        <v>1405</v>
      </c>
      <c r="AB39" s="6" t="s">
        <v>718</v>
      </c>
    </row>
    <row r="40" spans="1:28" x14ac:dyDescent="0.3">
      <c r="A40" s="6" t="s">
        <v>1111</v>
      </c>
      <c r="B40" s="6" t="s">
        <v>1111</v>
      </c>
      <c r="C40" s="6" t="s">
        <v>837</v>
      </c>
      <c r="D40" s="6" t="s">
        <v>1111</v>
      </c>
      <c r="E40" s="6" t="s">
        <v>848</v>
      </c>
      <c r="F40" s="6" t="s">
        <v>308</v>
      </c>
      <c r="G40" s="6" t="s">
        <v>850</v>
      </c>
      <c r="H40" s="6" t="s">
        <v>842</v>
      </c>
      <c r="I40" s="6" t="s">
        <v>849</v>
      </c>
      <c r="J40" s="6" t="s">
        <v>837</v>
      </c>
      <c r="M40" s="6" t="s">
        <v>869</v>
      </c>
      <c r="U40" s="6" t="s">
        <v>1407</v>
      </c>
      <c r="AA40" s="6" t="s">
        <v>1405</v>
      </c>
      <c r="AB40" s="6" t="s">
        <v>718</v>
      </c>
    </row>
    <row r="41" spans="1:28" x14ac:dyDescent="0.3">
      <c r="A41" s="6" t="s">
        <v>1112</v>
      </c>
      <c r="B41" s="6" t="s">
        <v>1112</v>
      </c>
      <c r="C41" s="6" t="s">
        <v>828</v>
      </c>
      <c r="D41" s="6" t="s">
        <v>1112</v>
      </c>
      <c r="E41" s="6" t="s">
        <v>848</v>
      </c>
      <c r="F41" s="6" t="s">
        <v>308</v>
      </c>
      <c r="G41" s="6" t="s">
        <v>850</v>
      </c>
      <c r="H41" s="6" t="s">
        <v>842</v>
      </c>
      <c r="I41" s="6" t="s">
        <v>849</v>
      </c>
      <c r="J41" s="6" t="s">
        <v>828</v>
      </c>
      <c r="M41" s="6" t="s">
        <v>869</v>
      </c>
      <c r="U41" s="6" t="s">
        <v>1407</v>
      </c>
      <c r="AA41" s="6" t="s">
        <v>1405</v>
      </c>
      <c r="AB41" s="6" t="s">
        <v>718</v>
      </c>
    </row>
    <row r="42" spans="1:28" x14ac:dyDescent="0.3">
      <c r="A42" s="6" t="s">
        <v>1113</v>
      </c>
      <c r="B42" s="6" t="s">
        <v>1113</v>
      </c>
      <c r="C42" s="6" t="s">
        <v>829</v>
      </c>
      <c r="D42" s="6" t="s">
        <v>1113</v>
      </c>
      <c r="E42" s="6" t="s">
        <v>848</v>
      </c>
      <c r="F42" s="6" t="s">
        <v>308</v>
      </c>
      <c r="G42" s="6" t="s">
        <v>850</v>
      </c>
      <c r="H42" s="6" t="s">
        <v>842</v>
      </c>
      <c r="I42" s="6" t="s">
        <v>849</v>
      </c>
      <c r="J42" s="6" t="s">
        <v>829</v>
      </c>
      <c r="M42" s="6" t="s">
        <v>869</v>
      </c>
      <c r="U42" s="6" t="s">
        <v>1407</v>
      </c>
      <c r="AA42" s="6" t="s">
        <v>1405</v>
      </c>
      <c r="AB42" s="6" t="s">
        <v>718</v>
      </c>
    </row>
    <row r="43" spans="1:28" x14ac:dyDescent="0.3">
      <c r="A43" s="6" t="s">
        <v>1114</v>
      </c>
      <c r="B43" s="6" t="s">
        <v>1114</v>
      </c>
      <c r="C43" s="6" t="s">
        <v>659</v>
      </c>
      <c r="D43" s="6" t="s">
        <v>1114</v>
      </c>
      <c r="E43" s="6" t="s">
        <v>848</v>
      </c>
      <c r="F43" s="6" t="s">
        <v>308</v>
      </c>
      <c r="G43" s="6" t="s">
        <v>850</v>
      </c>
      <c r="H43" s="6" t="s">
        <v>842</v>
      </c>
      <c r="I43" s="6" t="s">
        <v>849</v>
      </c>
      <c r="J43" s="6" t="s">
        <v>659</v>
      </c>
      <c r="M43" s="6" t="s">
        <v>869</v>
      </c>
      <c r="U43" s="6" t="s">
        <v>1407</v>
      </c>
      <c r="AA43" s="6" t="s">
        <v>1405</v>
      </c>
      <c r="AB43" s="6" t="s">
        <v>718</v>
      </c>
    </row>
    <row r="44" spans="1:28" x14ac:dyDescent="0.3">
      <c r="A44" s="6" t="s">
        <v>1115</v>
      </c>
      <c r="B44" s="6" t="s">
        <v>1115</v>
      </c>
      <c r="C44" s="6" t="s">
        <v>660</v>
      </c>
      <c r="D44" s="6" t="s">
        <v>1115</v>
      </c>
      <c r="E44" s="6" t="s">
        <v>848</v>
      </c>
      <c r="F44" s="6" t="s">
        <v>308</v>
      </c>
      <c r="G44" s="6" t="s">
        <v>850</v>
      </c>
      <c r="H44" s="6" t="s">
        <v>842</v>
      </c>
      <c r="I44" s="6" t="s">
        <v>849</v>
      </c>
      <c r="J44" s="6" t="s">
        <v>660</v>
      </c>
      <c r="M44" s="6" t="s">
        <v>869</v>
      </c>
      <c r="U44" s="6" t="s">
        <v>1407</v>
      </c>
      <c r="AA44" s="6" t="s">
        <v>1405</v>
      </c>
      <c r="AB44" s="6" t="s">
        <v>718</v>
      </c>
    </row>
    <row r="45" spans="1:28" x14ac:dyDescent="0.3">
      <c r="A45" s="6" t="s">
        <v>1116</v>
      </c>
      <c r="B45" s="6" t="s">
        <v>1116</v>
      </c>
      <c r="C45" s="6" t="s">
        <v>661</v>
      </c>
      <c r="D45" s="6" t="s">
        <v>1116</v>
      </c>
      <c r="E45" s="6" t="s">
        <v>848</v>
      </c>
      <c r="F45" s="6" t="s">
        <v>308</v>
      </c>
      <c r="G45" s="6" t="s">
        <v>850</v>
      </c>
      <c r="H45" s="6" t="s">
        <v>842</v>
      </c>
      <c r="I45" s="6" t="s">
        <v>849</v>
      </c>
      <c r="J45" s="6" t="s">
        <v>661</v>
      </c>
      <c r="M45" s="6" t="s">
        <v>869</v>
      </c>
      <c r="U45" s="6" t="s">
        <v>1407</v>
      </c>
      <c r="AA45" s="6" t="s">
        <v>1405</v>
      </c>
      <c r="AB45" s="6" t="s">
        <v>718</v>
      </c>
    </row>
    <row r="46" spans="1:28" x14ac:dyDescent="0.3">
      <c r="A46" s="6" t="s">
        <v>1117</v>
      </c>
      <c r="B46" s="6" t="s">
        <v>1117</v>
      </c>
      <c r="C46" s="6" t="s">
        <v>662</v>
      </c>
      <c r="D46" s="6" t="s">
        <v>1117</v>
      </c>
      <c r="E46" s="6" t="s">
        <v>848</v>
      </c>
      <c r="F46" s="6" t="s">
        <v>308</v>
      </c>
      <c r="G46" s="6" t="s">
        <v>850</v>
      </c>
      <c r="H46" s="6" t="s">
        <v>842</v>
      </c>
      <c r="I46" s="6" t="s">
        <v>849</v>
      </c>
      <c r="J46" s="6" t="s">
        <v>662</v>
      </c>
      <c r="M46" s="6" t="s">
        <v>869</v>
      </c>
      <c r="U46" s="6" t="s">
        <v>1407</v>
      </c>
      <c r="AA46" s="6" t="s">
        <v>1405</v>
      </c>
      <c r="AB46" s="6" t="s">
        <v>718</v>
      </c>
    </row>
    <row r="47" spans="1:28" x14ac:dyDescent="0.3">
      <c r="A47" s="6" t="s">
        <v>1119</v>
      </c>
      <c r="B47" s="6" t="s">
        <v>1119</v>
      </c>
      <c r="C47" s="6" t="s">
        <v>663</v>
      </c>
      <c r="D47" s="6" t="s">
        <v>1119</v>
      </c>
      <c r="E47" s="6" t="s">
        <v>848</v>
      </c>
      <c r="F47" s="6" t="s">
        <v>307</v>
      </c>
      <c r="G47" s="6" t="s">
        <v>850</v>
      </c>
      <c r="H47" s="6" t="s">
        <v>842</v>
      </c>
      <c r="I47" s="6" t="s">
        <v>849</v>
      </c>
      <c r="J47" s="6" t="s">
        <v>663</v>
      </c>
      <c r="M47" s="6" t="s">
        <v>869</v>
      </c>
      <c r="U47" s="6" t="s">
        <v>1407</v>
      </c>
      <c r="AA47" s="6" t="s">
        <v>1405</v>
      </c>
      <c r="AB47" s="6" t="s">
        <v>718</v>
      </c>
    </row>
    <row r="48" spans="1:28" x14ac:dyDescent="0.3">
      <c r="A48" s="6" t="s">
        <v>1120</v>
      </c>
      <c r="B48" s="6" t="s">
        <v>1120</v>
      </c>
      <c r="C48" s="6" t="s">
        <v>664</v>
      </c>
      <c r="D48" s="6" t="s">
        <v>1120</v>
      </c>
      <c r="E48" s="6" t="s">
        <v>848</v>
      </c>
      <c r="F48" s="6" t="s">
        <v>307</v>
      </c>
      <c r="G48" s="6" t="s">
        <v>850</v>
      </c>
      <c r="H48" s="6" t="s">
        <v>842</v>
      </c>
      <c r="I48" s="6" t="s">
        <v>849</v>
      </c>
      <c r="J48" s="6" t="s">
        <v>664</v>
      </c>
      <c r="M48" s="6" t="s">
        <v>869</v>
      </c>
      <c r="U48" s="6" t="s">
        <v>1407</v>
      </c>
      <c r="AA48" s="6" t="s">
        <v>1405</v>
      </c>
      <c r="AB48" s="6" t="s">
        <v>718</v>
      </c>
    </row>
    <row r="49" spans="1:28" x14ac:dyDescent="0.3">
      <c r="A49" s="6" t="s">
        <v>1121</v>
      </c>
      <c r="B49" s="6" t="s">
        <v>1121</v>
      </c>
      <c r="C49" s="6" t="s">
        <v>665</v>
      </c>
      <c r="D49" s="6" t="s">
        <v>1121</v>
      </c>
      <c r="E49" s="6" t="s">
        <v>848</v>
      </c>
      <c r="F49" s="6" t="s">
        <v>307</v>
      </c>
      <c r="G49" s="6" t="s">
        <v>850</v>
      </c>
      <c r="H49" s="6" t="s">
        <v>842</v>
      </c>
      <c r="I49" s="6" t="s">
        <v>849</v>
      </c>
      <c r="J49" s="6" t="s">
        <v>665</v>
      </c>
      <c r="M49" s="6" t="s">
        <v>869</v>
      </c>
      <c r="U49" s="6" t="s">
        <v>1407</v>
      </c>
      <c r="AA49" s="6" t="s">
        <v>1405</v>
      </c>
      <c r="AB49" s="6" t="s">
        <v>718</v>
      </c>
    </row>
    <row r="50" spans="1:28" x14ac:dyDescent="0.3">
      <c r="A50" s="6" t="s">
        <v>1122</v>
      </c>
      <c r="B50" s="6" t="s">
        <v>1122</v>
      </c>
      <c r="C50" s="6" t="s">
        <v>666</v>
      </c>
      <c r="D50" s="6" t="s">
        <v>1122</v>
      </c>
      <c r="E50" s="6" t="s">
        <v>848</v>
      </c>
      <c r="F50" s="6" t="s">
        <v>308</v>
      </c>
      <c r="G50" s="6" t="s">
        <v>850</v>
      </c>
      <c r="H50" s="6" t="s">
        <v>842</v>
      </c>
      <c r="I50" s="6" t="s">
        <v>849</v>
      </c>
      <c r="J50" s="6" t="s">
        <v>666</v>
      </c>
      <c r="M50" s="6" t="s">
        <v>869</v>
      </c>
      <c r="U50" s="6" t="s">
        <v>1407</v>
      </c>
      <c r="AA50" s="6" t="s">
        <v>1405</v>
      </c>
      <c r="AB50" s="6" t="s">
        <v>718</v>
      </c>
    </row>
    <row r="51" spans="1:28" x14ac:dyDescent="0.3">
      <c r="A51" s="6" t="s">
        <v>1123</v>
      </c>
      <c r="B51" s="6" t="s">
        <v>1123</v>
      </c>
      <c r="C51" s="6" t="s">
        <v>667</v>
      </c>
      <c r="D51" s="6" t="s">
        <v>1123</v>
      </c>
      <c r="E51" s="6" t="s">
        <v>848</v>
      </c>
      <c r="F51" s="6" t="s">
        <v>308</v>
      </c>
      <c r="G51" s="6" t="s">
        <v>850</v>
      </c>
      <c r="H51" s="6" t="s">
        <v>842</v>
      </c>
      <c r="I51" s="6" t="s">
        <v>849</v>
      </c>
      <c r="J51" s="6" t="s">
        <v>667</v>
      </c>
      <c r="M51" s="6" t="s">
        <v>869</v>
      </c>
      <c r="U51" s="6" t="s">
        <v>1407</v>
      </c>
      <c r="AA51" s="6" t="s">
        <v>1405</v>
      </c>
      <c r="AB51" s="6" t="s">
        <v>718</v>
      </c>
    </row>
    <row r="52" spans="1:28" x14ac:dyDescent="0.3">
      <c r="A52" s="6" t="s">
        <v>1124</v>
      </c>
      <c r="B52" s="6" t="s">
        <v>1124</v>
      </c>
      <c r="C52" s="6" t="s">
        <v>668</v>
      </c>
      <c r="D52" s="6" t="s">
        <v>1124</v>
      </c>
      <c r="E52" s="6" t="s">
        <v>848</v>
      </c>
      <c r="F52" s="6" t="s">
        <v>308</v>
      </c>
      <c r="G52" s="6" t="s">
        <v>850</v>
      </c>
      <c r="H52" s="6" t="s">
        <v>842</v>
      </c>
      <c r="I52" s="6" t="s">
        <v>849</v>
      </c>
      <c r="J52" s="6" t="s">
        <v>668</v>
      </c>
      <c r="M52" s="6" t="s">
        <v>869</v>
      </c>
      <c r="U52" s="6" t="s">
        <v>1407</v>
      </c>
      <c r="AA52" s="6" t="s">
        <v>1405</v>
      </c>
      <c r="AB52" s="6" t="s">
        <v>718</v>
      </c>
    </row>
    <row r="53" spans="1:28" x14ac:dyDescent="0.3">
      <c r="A53" s="6" t="s">
        <v>1125</v>
      </c>
      <c r="B53" s="6" t="s">
        <v>1125</v>
      </c>
      <c r="C53" s="6" t="s">
        <v>669</v>
      </c>
      <c r="D53" s="6" t="s">
        <v>1125</v>
      </c>
      <c r="E53" s="6" t="s">
        <v>848</v>
      </c>
      <c r="F53" s="6" t="s">
        <v>308</v>
      </c>
      <c r="G53" s="6" t="s">
        <v>850</v>
      </c>
      <c r="H53" s="6" t="s">
        <v>842</v>
      </c>
      <c r="I53" s="6" t="s">
        <v>849</v>
      </c>
      <c r="J53" s="6" t="s">
        <v>669</v>
      </c>
      <c r="M53" s="6" t="s">
        <v>869</v>
      </c>
      <c r="U53" s="6" t="s">
        <v>1407</v>
      </c>
      <c r="AA53" s="6" t="s">
        <v>1405</v>
      </c>
      <c r="AB53" s="6" t="s">
        <v>718</v>
      </c>
    </row>
    <row r="54" spans="1:28" x14ac:dyDescent="0.3">
      <c r="A54" s="6" t="s">
        <v>1126</v>
      </c>
      <c r="B54" s="6" t="s">
        <v>1126</v>
      </c>
      <c r="C54" s="6" t="s">
        <v>670</v>
      </c>
      <c r="D54" s="6" t="s">
        <v>1126</v>
      </c>
      <c r="E54" s="6" t="s">
        <v>848</v>
      </c>
      <c r="F54" s="6" t="s">
        <v>307</v>
      </c>
      <c r="G54" s="6" t="s">
        <v>850</v>
      </c>
      <c r="H54" s="6" t="s">
        <v>842</v>
      </c>
      <c r="I54" s="6" t="s">
        <v>849</v>
      </c>
      <c r="J54" s="6" t="s">
        <v>670</v>
      </c>
      <c r="M54" s="6" t="s">
        <v>869</v>
      </c>
      <c r="U54" s="6" t="s">
        <v>1407</v>
      </c>
      <c r="AA54" s="6" t="s">
        <v>1405</v>
      </c>
      <c r="AB54" s="6" t="s">
        <v>718</v>
      </c>
    </row>
    <row r="55" spans="1:28" x14ac:dyDescent="0.3">
      <c r="A55" s="6" t="s">
        <v>1127</v>
      </c>
      <c r="B55" s="6" t="s">
        <v>1127</v>
      </c>
      <c r="C55" s="6" t="s">
        <v>671</v>
      </c>
      <c r="D55" s="6" t="s">
        <v>1127</v>
      </c>
      <c r="E55" s="6" t="s">
        <v>848</v>
      </c>
      <c r="F55" s="6" t="s">
        <v>307</v>
      </c>
      <c r="G55" s="6" t="s">
        <v>850</v>
      </c>
      <c r="H55" s="6" t="s">
        <v>842</v>
      </c>
      <c r="I55" s="6" t="s">
        <v>849</v>
      </c>
      <c r="J55" s="6" t="s">
        <v>671</v>
      </c>
      <c r="M55" s="6" t="s">
        <v>869</v>
      </c>
      <c r="U55" s="6" t="s">
        <v>1407</v>
      </c>
      <c r="AA55" s="6" t="s">
        <v>1405</v>
      </c>
      <c r="AB55" s="6" t="s">
        <v>718</v>
      </c>
    </row>
    <row r="56" spans="1:28" x14ac:dyDescent="0.3">
      <c r="A56" s="6" t="s">
        <v>1128</v>
      </c>
      <c r="B56" s="6" t="s">
        <v>1128</v>
      </c>
      <c r="C56" s="6" t="s">
        <v>672</v>
      </c>
      <c r="D56" s="6" t="s">
        <v>1128</v>
      </c>
      <c r="E56" s="6" t="s">
        <v>848</v>
      </c>
      <c r="F56" s="6" t="s">
        <v>307</v>
      </c>
      <c r="G56" s="6" t="s">
        <v>850</v>
      </c>
      <c r="H56" s="6" t="s">
        <v>842</v>
      </c>
      <c r="I56" s="6" t="s">
        <v>849</v>
      </c>
      <c r="J56" s="6" t="s">
        <v>672</v>
      </c>
      <c r="M56" s="6" t="s">
        <v>869</v>
      </c>
      <c r="U56" s="6" t="s">
        <v>1407</v>
      </c>
      <c r="AA56" s="6" t="s">
        <v>1405</v>
      </c>
      <c r="AB56" s="6" t="s">
        <v>718</v>
      </c>
    </row>
    <row r="57" spans="1:28" x14ac:dyDescent="0.3">
      <c r="A57" s="6" t="s">
        <v>1129</v>
      </c>
      <c r="B57" s="6" t="s">
        <v>1129</v>
      </c>
      <c r="C57" s="6" t="s">
        <v>652</v>
      </c>
      <c r="D57" s="6" t="s">
        <v>1129</v>
      </c>
      <c r="E57" s="6" t="s">
        <v>848</v>
      </c>
      <c r="F57" s="6" t="s">
        <v>307</v>
      </c>
      <c r="G57" s="6" t="s">
        <v>850</v>
      </c>
      <c r="H57" s="6" t="s">
        <v>842</v>
      </c>
      <c r="I57" s="6" t="s">
        <v>849</v>
      </c>
      <c r="J57" s="6" t="s">
        <v>652</v>
      </c>
      <c r="M57" s="6" t="s">
        <v>869</v>
      </c>
      <c r="U57" s="6" t="s">
        <v>1407</v>
      </c>
      <c r="AA57" s="6" t="s">
        <v>1405</v>
      </c>
      <c r="AB57" s="6" t="s">
        <v>718</v>
      </c>
    </row>
    <row r="58" spans="1:28" x14ac:dyDescent="0.3">
      <c r="A58" s="6" t="s">
        <v>1130</v>
      </c>
      <c r="B58" s="6" t="s">
        <v>1130</v>
      </c>
      <c r="C58" s="6" t="s">
        <v>653</v>
      </c>
      <c r="D58" s="6" t="s">
        <v>1130</v>
      </c>
      <c r="E58" s="6" t="s">
        <v>848</v>
      </c>
      <c r="F58" s="6" t="s">
        <v>307</v>
      </c>
      <c r="G58" s="6" t="s">
        <v>850</v>
      </c>
      <c r="H58" s="6" t="s">
        <v>842</v>
      </c>
      <c r="I58" s="6" t="s">
        <v>849</v>
      </c>
      <c r="J58" s="6" t="s">
        <v>653</v>
      </c>
      <c r="M58" s="6" t="s">
        <v>869</v>
      </c>
      <c r="U58" s="6" t="s">
        <v>1407</v>
      </c>
      <c r="AA58" s="6" t="s">
        <v>1405</v>
      </c>
      <c r="AB58" s="6" t="s">
        <v>718</v>
      </c>
    </row>
    <row r="59" spans="1:28" x14ac:dyDescent="0.3">
      <c r="A59" s="6" t="s">
        <v>1131</v>
      </c>
      <c r="B59" s="6" t="s">
        <v>1131</v>
      </c>
      <c r="C59" s="6" t="s">
        <v>654</v>
      </c>
      <c r="D59" s="6" t="s">
        <v>1131</v>
      </c>
      <c r="E59" s="6" t="s">
        <v>848</v>
      </c>
      <c r="F59" s="6" t="s">
        <v>307</v>
      </c>
      <c r="G59" s="6" t="s">
        <v>850</v>
      </c>
      <c r="H59" s="6" t="s">
        <v>842</v>
      </c>
      <c r="I59" s="6" t="s">
        <v>849</v>
      </c>
      <c r="J59" s="6" t="s">
        <v>654</v>
      </c>
      <c r="M59" s="6" t="s">
        <v>869</v>
      </c>
      <c r="U59" s="6" t="s">
        <v>1407</v>
      </c>
      <c r="AA59" s="6" t="s">
        <v>1405</v>
      </c>
      <c r="AB59" s="6" t="s">
        <v>718</v>
      </c>
    </row>
    <row r="60" spans="1:28" x14ac:dyDescent="0.3">
      <c r="A60" s="6" t="s">
        <v>1132</v>
      </c>
      <c r="B60" s="6" t="s">
        <v>1132</v>
      </c>
      <c r="C60" s="6" t="s">
        <v>651</v>
      </c>
      <c r="D60" s="6" t="s">
        <v>1132</v>
      </c>
      <c r="E60" s="6" t="s">
        <v>848</v>
      </c>
      <c r="F60" s="6" t="s">
        <v>307</v>
      </c>
      <c r="G60" s="6" t="s">
        <v>850</v>
      </c>
      <c r="H60" s="6" t="s">
        <v>842</v>
      </c>
      <c r="I60" s="6" t="s">
        <v>849</v>
      </c>
      <c r="J60" s="6" t="s">
        <v>651</v>
      </c>
      <c r="M60" s="6" t="s">
        <v>869</v>
      </c>
      <c r="U60" s="6" t="s">
        <v>1407</v>
      </c>
      <c r="AA60" s="6" t="s">
        <v>1405</v>
      </c>
      <c r="AB60" s="6" t="s">
        <v>718</v>
      </c>
    </row>
    <row r="61" spans="1:28" x14ac:dyDescent="0.3">
      <c r="A61" s="6" t="s">
        <v>1133</v>
      </c>
      <c r="B61" s="6" t="s">
        <v>1133</v>
      </c>
      <c r="C61" s="6" t="s">
        <v>655</v>
      </c>
      <c r="D61" s="6" t="s">
        <v>1133</v>
      </c>
      <c r="E61" s="6" t="s">
        <v>848</v>
      </c>
      <c r="F61" s="6" t="s">
        <v>307</v>
      </c>
      <c r="G61" s="6" t="s">
        <v>850</v>
      </c>
      <c r="H61" s="6" t="s">
        <v>842</v>
      </c>
      <c r="I61" s="6" t="s">
        <v>849</v>
      </c>
      <c r="J61" s="6" t="s">
        <v>655</v>
      </c>
      <c r="M61" s="6" t="s">
        <v>869</v>
      </c>
      <c r="U61" s="6" t="s">
        <v>1407</v>
      </c>
      <c r="AA61" s="6" t="s">
        <v>1405</v>
      </c>
      <c r="AB61" s="6" t="s">
        <v>718</v>
      </c>
    </row>
    <row r="62" spans="1:28" x14ac:dyDescent="0.3">
      <c r="A62" s="6" t="s">
        <v>1134</v>
      </c>
      <c r="B62" s="6" t="s">
        <v>1134</v>
      </c>
      <c r="C62" s="6" t="s">
        <v>656</v>
      </c>
      <c r="D62" s="6" t="s">
        <v>1134</v>
      </c>
      <c r="E62" s="6" t="s">
        <v>848</v>
      </c>
      <c r="F62" s="6" t="s">
        <v>307</v>
      </c>
      <c r="G62" s="6" t="s">
        <v>850</v>
      </c>
      <c r="H62" s="6" t="s">
        <v>842</v>
      </c>
      <c r="I62" s="6" t="s">
        <v>849</v>
      </c>
      <c r="J62" s="6" t="s">
        <v>656</v>
      </c>
      <c r="M62" s="6" t="s">
        <v>869</v>
      </c>
      <c r="U62" s="6" t="s">
        <v>1407</v>
      </c>
      <c r="AA62" s="6" t="s">
        <v>1405</v>
      </c>
      <c r="AB62" s="6" t="s">
        <v>718</v>
      </c>
    </row>
    <row r="63" spans="1:28" x14ac:dyDescent="0.3">
      <c r="A63" s="6" t="s">
        <v>1135</v>
      </c>
      <c r="B63" s="6" t="s">
        <v>1135</v>
      </c>
      <c r="C63" s="6" t="s">
        <v>657</v>
      </c>
      <c r="D63" s="6" t="s">
        <v>1135</v>
      </c>
      <c r="E63" s="6" t="s">
        <v>848</v>
      </c>
      <c r="F63" s="6" t="s">
        <v>307</v>
      </c>
      <c r="G63" s="6" t="s">
        <v>850</v>
      </c>
      <c r="H63" s="6" t="s">
        <v>842</v>
      </c>
      <c r="I63" s="6" t="s">
        <v>849</v>
      </c>
      <c r="J63" s="6" t="s">
        <v>657</v>
      </c>
      <c r="M63" s="6" t="s">
        <v>869</v>
      </c>
      <c r="U63" s="6" t="s">
        <v>1407</v>
      </c>
      <c r="AA63" s="6" t="s">
        <v>1405</v>
      </c>
      <c r="AB63" s="6" t="s">
        <v>718</v>
      </c>
    </row>
    <row r="64" spans="1:28" x14ac:dyDescent="0.3">
      <c r="A64" s="6" t="s">
        <v>1136</v>
      </c>
      <c r="B64" s="6" t="s">
        <v>1136</v>
      </c>
      <c r="C64" s="6" t="s">
        <v>658</v>
      </c>
      <c r="D64" s="6" t="s">
        <v>1136</v>
      </c>
      <c r="E64" s="6" t="s">
        <v>848</v>
      </c>
      <c r="F64" s="6" t="s">
        <v>307</v>
      </c>
      <c r="G64" s="6" t="s">
        <v>850</v>
      </c>
      <c r="H64" s="6" t="s">
        <v>842</v>
      </c>
      <c r="I64" s="6" t="s">
        <v>849</v>
      </c>
      <c r="J64" s="6" t="s">
        <v>658</v>
      </c>
      <c r="M64" s="6" t="s">
        <v>869</v>
      </c>
      <c r="U64" s="6" t="s">
        <v>1407</v>
      </c>
      <c r="AA64" s="6" t="s">
        <v>1405</v>
      </c>
      <c r="AB64" s="6" t="s">
        <v>718</v>
      </c>
    </row>
    <row r="65" spans="1:28" x14ac:dyDescent="0.3">
      <c r="A65" s="6" t="s">
        <v>1137</v>
      </c>
      <c r="B65" s="6" t="s">
        <v>1137</v>
      </c>
      <c r="C65" s="6" t="s">
        <v>637</v>
      </c>
      <c r="D65" s="6" t="s">
        <v>1137</v>
      </c>
      <c r="E65" s="6" t="s">
        <v>848</v>
      </c>
      <c r="F65" s="6" t="s">
        <v>308</v>
      </c>
      <c r="G65" s="6" t="s">
        <v>850</v>
      </c>
      <c r="H65" s="6" t="s">
        <v>842</v>
      </c>
      <c r="I65" s="6" t="s">
        <v>849</v>
      </c>
      <c r="J65" s="6" t="s">
        <v>637</v>
      </c>
      <c r="M65" s="6" t="s">
        <v>869</v>
      </c>
      <c r="U65" s="6" t="s">
        <v>1407</v>
      </c>
      <c r="AA65" s="6" t="s">
        <v>1405</v>
      </c>
      <c r="AB65" s="6" t="s">
        <v>718</v>
      </c>
    </row>
    <row r="66" spans="1:28" x14ac:dyDescent="0.3">
      <c r="A66" s="6" t="s">
        <v>1138</v>
      </c>
      <c r="B66" s="6" t="s">
        <v>1138</v>
      </c>
      <c r="C66" s="6" t="s">
        <v>638</v>
      </c>
      <c r="D66" s="6" t="s">
        <v>1138</v>
      </c>
      <c r="E66" s="6" t="s">
        <v>848</v>
      </c>
      <c r="F66" s="6" t="s">
        <v>308</v>
      </c>
      <c r="G66" s="6" t="s">
        <v>850</v>
      </c>
      <c r="H66" s="6" t="s">
        <v>842</v>
      </c>
      <c r="I66" s="6" t="s">
        <v>849</v>
      </c>
      <c r="J66" s="6" t="s">
        <v>638</v>
      </c>
      <c r="M66" s="6" t="s">
        <v>869</v>
      </c>
      <c r="U66" s="6" t="s">
        <v>1407</v>
      </c>
      <c r="AA66" s="6" t="s">
        <v>1405</v>
      </c>
      <c r="AB66" s="6" t="s">
        <v>718</v>
      </c>
    </row>
    <row r="67" spans="1:28" x14ac:dyDescent="0.3">
      <c r="A67" s="6" t="s">
        <v>1139</v>
      </c>
      <c r="B67" s="6" t="s">
        <v>1139</v>
      </c>
      <c r="C67" s="6" t="s">
        <v>639</v>
      </c>
      <c r="D67" s="6" t="s">
        <v>1139</v>
      </c>
      <c r="E67" s="6" t="s">
        <v>848</v>
      </c>
      <c r="F67" s="6" t="s">
        <v>308</v>
      </c>
      <c r="G67" s="6" t="s">
        <v>850</v>
      </c>
      <c r="H67" s="6" t="s">
        <v>842</v>
      </c>
      <c r="I67" s="6" t="s">
        <v>849</v>
      </c>
      <c r="J67" s="6" t="s">
        <v>639</v>
      </c>
      <c r="M67" s="6" t="s">
        <v>869</v>
      </c>
      <c r="U67" s="6" t="s">
        <v>1407</v>
      </c>
      <c r="AA67" s="6" t="s">
        <v>1405</v>
      </c>
      <c r="AB67" s="6" t="s">
        <v>718</v>
      </c>
    </row>
    <row r="68" spans="1:28" x14ac:dyDescent="0.3">
      <c r="A68" s="6" t="s">
        <v>1140</v>
      </c>
      <c r="B68" s="6" t="s">
        <v>1140</v>
      </c>
      <c r="C68" s="6" t="s">
        <v>640</v>
      </c>
      <c r="D68" s="6" t="s">
        <v>1140</v>
      </c>
      <c r="E68" s="6" t="s">
        <v>848</v>
      </c>
      <c r="F68" s="6" t="s">
        <v>308</v>
      </c>
      <c r="G68" s="6" t="s">
        <v>850</v>
      </c>
      <c r="H68" s="6" t="s">
        <v>842</v>
      </c>
      <c r="I68" s="6" t="s">
        <v>849</v>
      </c>
      <c r="J68" s="6" t="s">
        <v>640</v>
      </c>
      <c r="M68" s="6" t="s">
        <v>869</v>
      </c>
      <c r="U68" s="6" t="s">
        <v>1407</v>
      </c>
      <c r="AA68" s="6" t="s">
        <v>1405</v>
      </c>
      <c r="AB68" s="6" t="s">
        <v>718</v>
      </c>
    </row>
    <row r="69" spans="1:28" x14ac:dyDescent="0.3">
      <c r="A69" s="6" t="s">
        <v>1142</v>
      </c>
      <c r="B69" s="6" t="s">
        <v>1142</v>
      </c>
      <c r="C69" s="6" t="s">
        <v>641</v>
      </c>
      <c r="D69" s="6" t="s">
        <v>1142</v>
      </c>
      <c r="E69" s="6" t="s">
        <v>848</v>
      </c>
      <c r="F69" s="6" t="s">
        <v>307</v>
      </c>
      <c r="G69" s="6" t="s">
        <v>850</v>
      </c>
      <c r="H69" s="6" t="s">
        <v>842</v>
      </c>
      <c r="I69" s="6" t="s">
        <v>849</v>
      </c>
      <c r="J69" s="6" t="s">
        <v>641</v>
      </c>
      <c r="M69" s="6" t="s">
        <v>869</v>
      </c>
      <c r="U69" s="6" t="s">
        <v>1407</v>
      </c>
      <c r="AA69" s="6" t="s">
        <v>1405</v>
      </c>
      <c r="AB69" s="6" t="s">
        <v>718</v>
      </c>
    </row>
    <row r="70" spans="1:28" x14ac:dyDescent="0.3">
      <c r="A70" s="6" t="s">
        <v>1143</v>
      </c>
      <c r="B70" s="6" t="s">
        <v>1143</v>
      </c>
      <c r="C70" s="6" t="s">
        <v>642</v>
      </c>
      <c r="D70" s="6" t="s">
        <v>1143</v>
      </c>
      <c r="E70" s="6" t="s">
        <v>848</v>
      </c>
      <c r="F70" s="6" t="s">
        <v>307</v>
      </c>
      <c r="G70" s="6" t="s">
        <v>850</v>
      </c>
      <c r="H70" s="6" t="s">
        <v>842</v>
      </c>
      <c r="I70" s="6" t="s">
        <v>849</v>
      </c>
      <c r="J70" s="6" t="s">
        <v>642</v>
      </c>
      <c r="M70" s="6" t="s">
        <v>869</v>
      </c>
      <c r="U70" s="6" t="s">
        <v>1407</v>
      </c>
      <c r="AA70" s="6" t="s">
        <v>1405</v>
      </c>
      <c r="AB70" s="6" t="s">
        <v>718</v>
      </c>
    </row>
    <row r="71" spans="1:28" x14ac:dyDescent="0.3">
      <c r="A71" s="6" t="s">
        <v>1144</v>
      </c>
      <c r="B71" s="6" t="s">
        <v>1144</v>
      </c>
      <c r="C71" s="6" t="s">
        <v>643</v>
      </c>
      <c r="D71" s="6" t="s">
        <v>1144</v>
      </c>
      <c r="E71" s="6" t="s">
        <v>848</v>
      </c>
      <c r="F71" s="6" t="s">
        <v>307</v>
      </c>
      <c r="G71" s="6" t="s">
        <v>850</v>
      </c>
      <c r="H71" s="6" t="s">
        <v>842</v>
      </c>
      <c r="I71" s="6" t="s">
        <v>849</v>
      </c>
      <c r="J71" s="6" t="s">
        <v>643</v>
      </c>
      <c r="M71" s="6" t="s">
        <v>869</v>
      </c>
      <c r="U71" s="6" t="s">
        <v>1407</v>
      </c>
      <c r="AA71" s="6" t="s">
        <v>1405</v>
      </c>
      <c r="AB71" s="6" t="s">
        <v>718</v>
      </c>
    </row>
    <row r="72" spans="1:28" x14ac:dyDescent="0.3">
      <c r="A72" s="6" t="s">
        <v>1145</v>
      </c>
      <c r="B72" s="6" t="s">
        <v>1145</v>
      </c>
      <c r="C72" s="6" t="s">
        <v>644</v>
      </c>
      <c r="D72" s="6" t="s">
        <v>1145</v>
      </c>
      <c r="E72" s="6" t="s">
        <v>848</v>
      </c>
      <c r="F72" s="6" t="s">
        <v>308</v>
      </c>
      <c r="G72" s="6" t="s">
        <v>850</v>
      </c>
      <c r="H72" s="6" t="s">
        <v>842</v>
      </c>
      <c r="I72" s="6" t="s">
        <v>849</v>
      </c>
      <c r="J72" s="6" t="s">
        <v>644</v>
      </c>
      <c r="M72" s="6" t="s">
        <v>869</v>
      </c>
      <c r="U72" s="6" t="s">
        <v>1407</v>
      </c>
      <c r="AA72" s="6" t="s">
        <v>1405</v>
      </c>
      <c r="AB72" s="6" t="s">
        <v>718</v>
      </c>
    </row>
    <row r="73" spans="1:28" x14ac:dyDescent="0.3">
      <c r="A73" s="6" t="s">
        <v>1146</v>
      </c>
      <c r="B73" s="6" t="s">
        <v>1146</v>
      </c>
      <c r="C73" s="6" t="s">
        <v>645</v>
      </c>
      <c r="D73" s="6" t="s">
        <v>1146</v>
      </c>
      <c r="E73" s="6" t="s">
        <v>848</v>
      </c>
      <c r="F73" s="6" t="s">
        <v>308</v>
      </c>
      <c r="G73" s="6" t="s">
        <v>850</v>
      </c>
      <c r="H73" s="6" t="s">
        <v>842</v>
      </c>
      <c r="I73" s="6" t="s">
        <v>849</v>
      </c>
      <c r="J73" s="6" t="s">
        <v>645</v>
      </c>
      <c r="M73" s="6" t="s">
        <v>869</v>
      </c>
      <c r="U73" s="6" t="s">
        <v>1407</v>
      </c>
      <c r="AA73" s="6" t="s">
        <v>1405</v>
      </c>
      <c r="AB73" s="6" t="s">
        <v>718</v>
      </c>
    </row>
    <row r="74" spans="1:28" x14ac:dyDescent="0.3">
      <c r="A74" s="6" t="s">
        <v>1147</v>
      </c>
      <c r="B74" s="6" t="s">
        <v>1147</v>
      </c>
      <c r="C74" s="6" t="s">
        <v>646</v>
      </c>
      <c r="D74" s="6" t="s">
        <v>1147</v>
      </c>
      <c r="E74" s="6" t="s">
        <v>848</v>
      </c>
      <c r="F74" s="6" t="s">
        <v>308</v>
      </c>
      <c r="G74" s="6" t="s">
        <v>850</v>
      </c>
      <c r="H74" s="6" t="s">
        <v>842</v>
      </c>
      <c r="I74" s="6" t="s">
        <v>849</v>
      </c>
      <c r="J74" s="6" t="s">
        <v>646</v>
      </c>
      <c r="M74" s="6" t="s">
        <v>869</v>
      </c>
      <c r="U74" s="6" t="s">
        <v>1407</v>
      </c>
      <c r="AA74" s="6" t="s">
        <v>1405</v>
      </c>
      <c r="AB74" s="6" t="s">
        <v>718</v>
      </c>
    </row>
    <row r="75" spans="1:28" x14ac:dyDescent="0.3">
      <c r="A75" s="6" t="s">
        <v>1148</v>
      </c>
      <c r="B75" s="6" t="s">
        <v>1148</v>
      </c>
      <c r="C75" s="6" t="s">
        <v>647</v>
      </c>
      <c r="D75" s="6" t="s">
        <v>1148</v>
      </c>
      <c r="E75" s="6" t="s">
        <v>848</v>
      </c>
      <c r="F75" s="6" t="s">
        <v>308</v>
      </c>
      <c r="G75" s="6" t="s">
        <v>850</v>
      </c>
      <c r="H75" s="6" t="s">
        <v>842</v>
      </c>
      <c r="I75" s="6" t="s">
        <v>849</v>
      </c>
      <c r="J75" s="6" t="s">
        <v>647</v>
      </c>
      <c r="M75" s="6" t="s">
        <v>869</v>
      </c>
      <c r="U75" s="6" t="s">
        <v>1407</v>
      </c>
      <c r="AA75" s="6" t="s">
        <v>1405</v>
      </c>
      <c r="AB75" s="6" t="s">
        <v>718</v>
      </c>
    </row>
    <row r="76" spans="1:28" x14ac:dyDescent="0.3">
      <c r="A76" s="6" t="s">
        <v>1149</v>
      </c>
      <c r="B76" s="6" t="s">
        <v>1149</v>
      </c>
      <c r="C76" s="6" t="s">
        <v>648</v>
      </c>
      <c r="D76" s="6" t="s">
        <v>1149</v>
      </c>
      <c r="E76" s="6" t="s">
        <v>848</v>
      </c>
      <c r="F76" s="6" t="s">
        <v>307</v>
      </c>
      <c r="G76" s="6" t="s">
        <v>850</v>
      </c>
      <c r="H76" s="6" t="s">
        <v>842</v>
      </c>
      <c r="I76" s="6" t="s">
        <v>849</v>
      </c>
      <c r="J76" s="6" t="s">
        <v>648</v>
      </c>
      <c r="M76" s="6" t="s">
        <v>869</v>
      </c>
      <c r="U76" s="6" t="s">
        <v>1407</v>
      </c>
      <c r="AA76" s="6" t="s">
        <v>1405</v>
      </c>
      <c r="AB76" s="6" t="s">
        <v>718</v>
      </c>
    </row>
    <row r="77" spans="1:28" x14ac:dyDescent="0.3">
      <c r="A77" s="6" t="s">
        <v>1150</v>
      </c>
      <c r="B77" s="6" t="s">
        <v>1150</v>
      </c>
      <c r="C77" s="6" t="s">
        <v>649</v>
      </c>
      <c r="D77" s="6" t="s">
        <v>1150</v>
      </c>
      <c r="E77" s="6" t="s">
        <v>848</v>
      </c>
      <c r="F77" s="6" t="s">
        <v>307</v>
      </c>
      <c r="G77" s="6" t="s">
        <v>850</v>
      </c>
      <c r="H77" s="6" t="s">
        <v>842</v>
      </c>
      <c r="I77" s="6" t="s">
        <v>849</v>
      </c>
      <c r="J77" s="6" t="s">
        <v>649</v>
      </c>
      <c r="M77" s="6" t="s">
        <v>869</v>
      </c>
      <c r="U77" s="6" t="s">
        <v>1407</v>
      </c>
      <c r="AA77" s="6" t="s">
        <v>1405</v>
      </c>
      <c r="AB77" s="6" t="s">
        <v>718</v>
      </c>
    </row>
    <row r="78" spans="1:28" x14ac:dyDescent="0.3">
      <c r="A78" s="6" t="s">
        <v>1151</v>
      </c>
      <c r="B78" s="6" t="s">
        <v>1151</v>
      </c>
      <c r="C78" s="6" t="s">
        <v>650</v>
      </c>
      <c r="D78" s="6" t="s">
        <v>1151</v>
      </c>
      <c r="E78" s="6" t="s">
        <v>848</v>
      </c>
      <c r="F78" s="6" t="s">
        <v>307</v>
      </c>
      <c r="G78" s="6" t="s">
        <v>850</v>
      </c>
      <c r="H78" s="6" t="s">
        <v>842</v>
      </c>
      <c r="I78" s="6" t="s">
        <v>849</v>
      </c>
      <c r="J78" s="6" t="s">
        <v>650</v>
      </c>
      <c r="M78" s="6" t="s">
        <v>869</v>
      </c>
      <c r="U78" s="6" t="s">
        <v>1407</v>
      </c>
      <c r="AA78" s="6" t="s">
        <v>1405</v>
      </c>
      <c r="AB78" s="6" t="s">
        <v>718</v>
      </c>
    </row>
    <row r="79" spans="1:28" x14ac:dyDescent="0.3">
      <c r="A79" s="6" t="s">
        <v>1152</v>
      </c>
      <c r="B79" s="6" t="s">
        <v>1152</v>
      </c>
      <c r="C79" s="6" t="s">
        <v>630</v>
      </c>
      <c r="D79" s="6" t="s">
        <v>1152</v>
      </c>
      <c r="E79" s="6" t="s">
        <v>848</v>
      </c>
      <c r="F79" s="6" t="s">
        <v>307</v>
      </c>
      <c r="G79" s="6" t="s">
        <v>850</v>
      </c>
      <c r="H79" s="6" t="s">
        <v>842</v>
      </c>
      <c r="I79" s="6" t="s">
        <v>849</v>
      </c>
      <c r="J79" s="6" t="s">
        <v>630</v>
      </c>
      <c r="M79" s="6" t="s">
        <v>869</v>
      </c>
      <c r="U79" s="6" t="s">
        <v>1407</v>
      </c>
      <c r="AA79" s="6" t="s">
        <v>1405</v>
      </c>
      <c r="AB79" s="6" t="s">
        <v>718</v>
      </c>
    </row>
    <row r="80" spans="1:28" x14ac:dyDescent="0.3">
      <c r="A80" s="6" t="s">
        <v>1153</v>
      </c>
      <c r="B80" s="6" t="s">
        <v>1153</v>
      </c>
      <c r="C80" s="6" t="s">
        <v>631</v>
      </c>
      <c r="D80" s="6" t="s">
        <v>1153</v>
      </c>
      <c r="E80" s="6" t="s">
        <v>848</v>
      </c>
      <c r="F80" s="6" t="s">
        <v>307</v>
      </c>
      <c r="G80" s="6" t="s">
        <v>850</v>
      </c>
      <c r="H80" s="6" t="s">
        <v>842</v>
      </c>
      <c r="I80" s="6" t="s">
        <v>849</v>
      </c>
      <c r="J80" s="6" t="s">
        <v>631</v>
      </c>
      <c r="M80" s="6" t="s">
        <v>869</v>
      </c>
      <c r="U80" s="6" t="s">
        <v>1407</v>
      </c>
      <c r="AA80" s="6" t="s">
        <v>1405</v>
      </c>
      <c r="AB80" s="6" t="s">
        <v>718</v>
      </c>
    </row>
    <row r="81" spans="1:28" x14ac:dyDescent="0.3">
      <c r="A81" s="6" t="s">
        <v>1154</v>
      </c>
      <c r="B81" s="6" t="s">
        <v>1154</v>
      </c>
      <c r="C81" s="6" t="s">
        <v>632</v>
      </c>
      <c r="D81" s="6" t="s">
        <v>1154</v>
      </c>
      <c r="E81" s="6" t="s">
        <v>848</v>
      </c>
      <c r="F81" s="6" t="s">
        <v>307</v>
      </c>
      <c r="G81" s="6" t="s">
        <v>850</v>
      </c>
      <c r="H81" s="6" t="s">
        <v>842</v>
      </c>
      <c r="I81" s="6" t="s">
        <v>849</v>
      </c>
      <c r="J81" s="6" t="s">
        <v>632</v>
      </c>
      <c r="M81" s="6" t="s">
        <v>869</v>
      </c>
      <c r="U81" s="6" t="s">
        <v>1407</v>
      </c>
      <c r="AA81" s="6" t="s">
        <v>1405</v>
      </c>
      <c r="AB81" s="6" t="s">
        <v>718</v>
      </c>
    </row>
    <row r="82" spans="1:28" x14ac:dyDescent="0.3">
      <c r="A82" s="6" t="s">
        <v>1155</v>
      </c>
      <c r="B82" s="6" t="s">
        <v>1155</v>
      </c>
      <c r="C82" s="6" t="s">
        <v>629</v>
      </c>
      <c r="D82" s="6" t="s">
        <v>1155</v>
      </c>
      <c r="E82" s="6" t="s">
        <v>848</v>
      </c>
      <c r="F82" s="6" t="s">
        <v>307</v>
      </c>
      <c r="G82" s="6" t="s">
        <v>850</v>
      </c>
      <c r="H82" s="6" t="s">
        <v>842</v>
      </c>
      <c r="I82" s="6" t="s">
        <v>849</v>
      </c>
      <c r="J82" s="6" t="s">
        <v>629</v>
      </c>
      <c r="M82" s="6" t="s">
        <v>869</v>
      </c>
      <c r="U82" s="6" t="s">
        <v>1407</v>
      </c>
      <c r="AA82" s="6" t="s">
        <v>1405</v>
      </c>
      <c r="AB82" s="6" t="s">
        <v>718</v>
      </c>
    </row>
    <row r="83" spans="1:28" x14ac:dyDescent="0.3">
      <c r="A83" s="6" t="s">
        <v>1156</v>
      </c>
      <c r="B83" s="6" t="s">
        <v>1156</v>
      </c>
      <c r="C83" s="6" t="s">
        <v>633</v>
      </c>
      <c r="D83" s="6" t="s">
        <v>1156</v>
      </c>
      <c r="E83" s="6" t="s">
        <v>848</v>
      </c>
      <c r="F83" s="6" t="s">
        <v>307</v>
      </c>
      <c r="G83" s="6" t="s">
        <v>850</v>
      </c>
      <c r="H83" s="6" t="s">
        <v>842</v>
      </c>
      <c r="I83" s="6" t="s">
        <v>849</v>
      </c>
      <c r="J83" s="6" t="s">
        <v>633</v>
      </c>
      <c r="M83" s="6" t="s">
        <v>869</v>
      </c>
      <c r="U83" s="6" t="s">
        <v>1407</v>
      </c>
      <c r="AA83" s="6" t="s">
        <v>1405</v>
      </c>
      <c r="AB83" s="6" t="s">
        <v>718</v>
      </c>
    </row>
    <row r="84" spans="1:28" x14ac:dyDescent="0.3">
      <c r="A84" s="6" t="s">
        <v>1157</v>
      </c>
      <c r="B84" s="6" t="s">
        <v>1157</v>
      </c>
      <c r="C84" s="6" t="s">
        <v>634</v>
      </c>
      <c r="D84" s="6" t="s">
        <v>1157</v>
      </c>
      <c r="E84" s="6" t="s">
        <v>848</v>
      </c>
      <c r="F84" s="6" t="s">
        <v>307</v>
      </c>
      <c r="G84" s="6" t="s">
        <v>850</v>
      </c>
      <c r="H84" s="6" t="s">
        <v>842</v>
      </c>
      <c r="I84" s="6" t="s">
        <v>849</v>
      </c>
      <c r="J84" s="6" t="s">
        <v>634</v>
      </c>
      <c r="M84" s="6" t="s">
        <v>869</v>
      </c>
      <c r="U84" s="6" t="s">
        <v>1407</v>
      </c>
      <c r="AA84" s="6" t="s">
        <v>1405</v>
      </c>
      <c r="AB84" s="6" t="s">
        <v>718</v>
      </c>
    </row>
    <row r="85" spans="1:28" x14ac:dyDescent="0.3">
      <c r="A85" s="6" t="s">
        <v>1158</v>
      </c>
      <c r="B85" s="6" t="s">
        <v>1158</v>
      </c>
      <c r="C85" s="6" t="s">
        <v>635</v>
      </c>
      <c r="D85" s="6" t="s">
        <v>1158</v>
      </c>
      <c r="E85" s="6" t="s">
        <v>848</v>
      </c>
      <c r="F85" s="6" t="s">
        <v>307</v>
      </c>
      <c r="G85" s="6" t="s">
        <v>850</v>
      </c>
      <c r="H85" s="6" t="s">
        <v>842</v>
      </c>
      <c r="I85" s="6" t="s">
        <v>849</v>
      </c>
      <c r="J85" s="6" t="s">
        <v>635</v>
      </c>
      <c r="M85" s="6" t="s">
        <v>869</v>
      </c>
      <c r="U85" s="6" t="s">
        <v>1407</v>
      </c>
      <c r="AA85" s="6" t="s">
        <v>1405</v>
      </c>
      <c r="AB85" s="6" t="s">
        <v>718</v>
      </c>
    </row>
    <row r="86" spans="1:28" x14ac:dyDescent="0.3">
      <c r="A86" s="6" t="s">
        <v>1159</v>
      </c>
      <c r="B86" s="6" t="s">
        <v>1159</v>
      </c>
      <c r="C86" s="6" t="s">
        <v>636</v>
      </c>
      <c r="D86" s="6" t="s">
        <v>1159</v>
      </c>
      <c r="E86" s="6" t="s">
        <v>848</v>
      </c>
      <c r="F86" s="6" t="s">
        <v>307</v>
      </c>
      <c r="G86" s="6" t="s">
        <v>850</v>
      </c>
      <c r="H86" s="6" t="s">
        <v>842</v>
      </c>
      <c r="I86" s="6" t="s">
        <v>849</v>
      </c>
      <c r="J86" s="6" t="s">
        <v>636</v>
      </c>
      <c r="M86" s="6" t="s">
        <v>869</v>
      </c>
      <c r="U86" s="6" t="s">
        <v>1407</v>
      </c>
      <c r="AA86" s="6" t="s">
        <v>1405</v>
      </c>
      <c r="AB86" s="6" t="s">
        <v>718</v>
      </c>
    </row>
    <row r="87" spans="1:28" x14ac:dyDescent="0.3">
      <c r="A87" s="6" t="s">
        <v>1160</v>
      </c>
      <c r="B87" s="6" t="s">
        <v>1160</v>
      </c>
      <c r="C87" s="6" t="s">
        <v>621</v>
      </c>
      <c r="D87" s="6" t="s">
        <v>1160</v>
      </c>
      <c r="E87" s="6" t="s">
        <v>848</v>
      </c>
      <c r="F87" s="6" t="s">
        <v>309</v>
      </c>
      <c r="G87" s="6" t="s">
        <v>850</v>
      </c>
      <c r="H87" s="6" t="s">
        <v>842</v>
      </c>
      <c r="I87" s="6" t="s">
        <v>849</v>
      </c>
      <c r="J87" s="6" t="s">
        <v>621</v>
      </c>
      <c r="M87" s="6" t="s">
        <v>869</v>
      </c>
      <c r="U87" s="6" t="s">
        <v>1407</v>
      </c>
      <c r="AA87" s="6" t="s">
        <v>1405</v>
      </c>
      <c r="AB87" s="6" t="s">
        <v>718</v>
      </c>
    </row>
    <row r="88" spans="1:28" x14ac:dyDescent="0.3">
      <c r="A88" s="6" t="s">
        <v>1161</v>
      </c>
      <c r="B88" s="6" t="s">
        <v>1161</v>
      </c>
      <c r="C88" s="6" t="s">
        <v>622</v>
      </c>
      <c r="D88" s="6" t="s">
        <v>1161</v>
      </c>
      <c r="E88" s="6" t="s">
        <v>848</v>
      </c>
      <c r="F88" s="6" t="s">
        <v>307</v>
      </c>
      <c r="G88" s="6" t="s">
        <v>850</v>
      </c>
      <c r="H88" s="6" t="s">
        <v>842</v>
      </c>
      <c r="I88" s="6" t="s">
        <v>849</v>
      </c>
      <c r="J88" s="6" t="s">
        <v>622</v>
      </c>
      <c r="M88" s="6" t="s">
        <v>869</v>
      </c>
      <c r="U88" s="6" t="s">
        <v>1407</v>
      </c>
      <c r="AA88" s="6" t="s">
        <v>1405</v>
      </c>
      <c r="AB88" s="6" t="s">
        <v>718</v>
      </c>
    </row>
    <row r="89" spans="1:28" x14ac:dyDescent="0.3">
      <c r="A89" s="6" t="s">
        <v>1162</v>
      </c>
      <c r="B89" s="6" t="s">
        <v>1162</v>
      </c>
      <c r="C89" s="6" t="s">
        <v>830</v>
      </c>
      <c r="D89" s="6" t="s">
        <v>1162</v>
      </c>
      <c r="E89" s="6" t="s">
        <v>848</v>
      </c>
      <c r="F89" s="6" t="s">
        <v>308</v>
      </c>
      <c r="G89" s="6" t="s">
        <v>850</v>
      </c>
      <c r="H89" s="6" t="s">
        <v>842</v>
      </c>
      <c r="I89" s="6" t="s">
        <v>849</v>
      </c>
      <c r="J89" s="6" t="s">
        <v>830</v>
      </c>
      <c r="M89" s="6" t="s">
        <v>869</v>
      </c>
      <c r="U89" s="6" t="s">
        <v>1407</v>
      </c>
      <c r="AA89" s="6" t="s">
        <v>1405</v>
      </c>
      <c r="AB89" s="6" t="s">
        <v>718</v>
      </c>
    </row>
    <row r="90" spans="1:28" x14ac:dyDescent="0.3">
      <c r="A90" s="6" t="s">
        <v>1163</v>
      </c>
      <c r="B90" s="6" t="s">
        <v>1163</v>
      </c>
      <c r="C90" s="6" t="s">
        <v>831</v>
      </c>
      <c r="D90" s="6" t="s">
        <v>1163</v>
      </c>
      <c r="E90" s="6" t="s">
        <v>848</v>
      </c>
      <c r="F90" s="6" t="s">
        <v>308</v>
      </c>
      <c r="G90" s="6" t="s">
        <v>850</v>
      </c>
      <c r="H90" s="6" t="s">
        <v>842</v>
      </c>
      <c r="I90" s="6" t="s">
        <v>849</v>
      </c>
      <c r="J90" s="6" t="s">
        <v>831</v>
      </c>
      <c r="M90" s="6" t="s">
        <v>869</v>
      </c>
      <c r="U90" s="6" t="s">
        <v>1407</v>
      </c>
      <c r="AA90" s="6" t="s">
        <v>1405</v>
      </c>
      <c r="AB90" s="6" t="s">
        <v>718</v>
      </c>
    </row>
    <row r="91" spans="1:28" x14ac:dyDescent="0.3">
      <c r="A91" s="6" t="s">
        <v>1164</v>
      </c>
      <c r="B91" s="6" t="s">
        <v>1164</v>
      </c>
      <c r="C91" s="6" t="s">
        <v>827</v>
      </c>
      <c r="D91" s="6" t="s">
        <v>1164</v>
      </c>
      <c r="E91" s="6" t="s">
        <v>848</v>
      </c>
      <c r="F91" s="6" t="s">
        <v>308</v>
      </c>
      <c r="G91" s="6" t="s">
        <v>850</v>
      </c>
      <c r="H91" s="6" t="s">
        <v>842</v>
      </c>
      <c r="I91" s="6" t="s">
        <v>849</v>
      </c>
      <c r="J91" s="6" t="s">
        <v>827</v>
      </c>
      <c r="M91" s="6" t="s">
        <v>869</v>
      </c>
      <c r="U91" s="6" t="s">
        <v>1407</v>
      </c>
      <c r="AA91" s="6" t="s">
        <v>1405</v>
      </c>
      <c r="AB91" s="6" t="s">
        <v>718</v>
      </c>
    </row>
    <row r="92" spans="1:28" x14ac:dyDescent="0.3">
      <c r="A92" s="6" t="s">
        <v>1165</v>
      </c>
      <c r="B92" s="6" t="s">
        <v>1165</v>
      </c>
      <c r="C92" s="6" t="s">
        <v>826</v>
      </c>
      <c r="D92" s="6" t="s">
        <v>1165</v>
      </c>
      <c r="E92" s="6" t="s">
        <v>848</v>
      </c>
      <c r="F92" s="6" t="s">
        <v>308</v>
      </c>
      <c r="G92" s="6" t="s">
        <v>850</v>
      </c>
      <c r="H92" s="6" t="s">
        <v>842</v>
      </c>
      <c r="I92" s="6" t="s">
        <v>849</v>
      </c>
      <c r="J92" s="6" t="s">
        <v>826</v>
      </c>
      <c r="M92" s="6" t="s">
        <v>869</v>
      </c>
      <c r="U92" s="6" t="s">
        <v>1407</v>
      </c>
      <c r="AA92" s="6" t="s">
        <v>1405</v>
      </c>
      <c r="AB92" s="6" t="s">
        <v>718</v>
      </c>
    </row>
    <row r="93" spans="1:28" x14ac:dyDescent="0.3">
      <c r="A93" s="6" t="s">
        <v>1166</v>
      </c>
      <c r="B93" s="6" t="s">
        <v>1166</v>
      </c>
      <c r="C93" s="6" t="s">
        <v>676</v>
      </c>
      <c r="D93" s="6" t="s">
        <v>1166</v>
      </c>
      <c r="E93" s="6" t="s">
        <v>848</v>
      </c>
      <c r="F93" s="6" t="s">
        <v>307</v>
      </c>
      <c r="G93" s="6" t="s">
        <v>850</v>
      </c>
      <c r="H93" s="6" t="s">
        <v>842</v>
      </c>
      <c r="I93" s="6" t="s">
        <v>849</v>
      </c>
      <c r="J93" s="6" t="s">
        <v>676</v>
      </c>
      <c r="M93" s="6" t="s">
        <v>869</v>
      </c>
      <c r="U93" s="6" t="s">
        <v>1407</v>
      </c>
      <c r="AA93" s="6" t="s">
        <v>1405</v>
      </c>
      <c r="AB93" s="6" t="s">
        <v>718</v>
      </c>
    </row>
    <row r="94" spans="1:28" x14ac:dyDescent="0.3">
      <c r="A94" s="6" t="s">
        <v>1167</v>
      </c>
      <c r="B94" s="6" t="s">
        <v>1167</v>
      </c>
      <c r="C94" s="6" t="s">
        <v>677</v>
      </c>
      <c r="D94" s="6" t="s">
        <v>1167</v>
      </c>
      <c r="E94" s="6" t="s">
        <v>848</v>
      </c>
      <c r="F94" s="6" t="s">
        <v>307</v>
      </c>
      <c r="G94" s="6" t="s">
        <v>850</v>
      </c>
      <c r="H94" s="6" t="s">
        <v>842</v>
      </c>
      <c r="I94" s="6" t="s">
        <v>849</v>
      </c>
      <c r="J94" s="6" t="s">
        <v>677</v>
      </c>
      <c r="M94" s="6" t="s">
        <v>869</v>
      </c>
      <c r="U94" s="6" t="s">
        <v>1407</v>
      </c>
      <c r="AA94" s="6" t="s">
        <v>1405</v>
      </c>
      <c r="AB94" s="6" t="s">
        <v>718</v>
      </c>
    </row>
    <row r="95" spans="1:28" x14ac:dyDescent="0.3">
      <c r="A95" s="6" t="s">
        <v>1168</v>
      </c>
      <c r="B95" s="6" t="s">
        <v>1168</v>
      </c>
      <c r="C95" s="6" t="s">
        <v>673</v>
      </c>
      <c r="D95" s="6" t="s">
        <v>1168</v>
      </c>
      <c r="E95" s="6" t="s">
        <v>848</v>
      </c>
      <c r="F95" s="6" t="s">
        <v>307</v>
      </c>
      <c r="G95" s="6" t="s">
        <v>850</v>
      </c>
      <c r="H95" s="6" t="s">
        <v>842</v>
      </c>
      <c r="I95" s="6" t="s">
        <v>849</v>
      </c>
      <c r="J95" s="6" t="s">
        <v>673</v>
      </c>
      <c r="M95" s="6" t="s">
        <v>869</v>
      </c>
      <c r="U95" s="6" t="s">
        <v>1407</v>
      </c>
      <c r="AA95" s="6" t="s">
        <v>1405</v>
      </c>
      <c r="AB95" s="6" t="s">
        <v>718</v>
      </c>
    </row>
    <row r="96" spans="1:28" x14ac:dyDescent="0.3">
      <c r="A96" s="6" t="s">
        <v>1169</v>
      </c>
      <c r="B96" s="6" t="s">
        <v>1169</v>
      </c>
      <c r="C96" s="6" t="s">
        <v>674</v>
      </c>
      <c r="D96" s="6" t="s">
        <v>1169</v>
      </c>
      <c r="E96" s="6" t="s">
        <v>848</v>
      </c>
      <c r="F96" s="6" t="s">
        <v>307</v>
      </c>
      <c r="G96" s="6" t="s">
        <v>850</v>
      </c>
      <c r="H96" s="6" t="s">
        <v>842</v>
      </c>
      <c r="I96" s="6" t="s">
        <v>849</v>
      </c>
      <c r="J96" s="6" t="s">
        <v>674</v>
      </c>
      <c r="M96" s="6" t="s">
        <v>869</v>
      </c>
      <c r="U96" s="6" t="s">
        <v>1407</v>
      </c>
      <c r="AA96" s="6" t="s">
        <v>1405</v>
      </c>
      <c r="AB96" s="6" t="s">
        <v>718</v>
      </c>
    </row>
    <row r="97" spans="1:28" x14ac:dyDescent="0.3">
      <c r="A97" s="6" t="s">
        <v>1170</v>
      </c>
      <c r="B97" s="6" t="s">
        <v>1170</v>
      </c>
      <c r="C97" s="6" t="s">
        <v>675</v>
      </c>
      <c r="D97" s="6" t="s">
        <v>1170</v>
      </c>
      <c r="E97" s="6" t="s">
        <v>848</v>
      </c>
      <c r="F97" s="6" t="s">
        <v>307</v>
      </c>
      <c r="G97" s="6" t="s">
        <v>850</v>
      </c>
      <c r="H97" s="6" t="s">
        <v>842</v>
      </c>
      <c r="I97" s="6" t="s">
        <v>849</v>
      </c>
      <c r="J97" s="6" t="s">
        <v>675</v>
      </c>
      <c r="M97" s="6" t="s">
        <v>869</v>
      </c>
      <c r="U97" s="6" t="s">
        <v>1407</v>
      </c>
      <c r="AA97" s="6" t="s">
        <v>1405</v>
      </c>
      <c r="AB97" s="6" t="s">
        <v>718</v>
      </c>
    </row>
    <row r="98" spans="1:28" x14ac:dyDescent="0.3">
      <c r="A98" s="6" t="s">
        <v>1171</v>
      </c>
      <c r="B98" s="6" t="s">
        <v>1171</v>
      </c>
      <c r="C98" s="6" t="s">
        <v>693</v>
      </c>
      <c r="D98" s="6" t="s">
        <v>1171</v>
      </c>
      <c r="E98" s="6" t="s">
        <v>848</v>
      </c>
      <c r="F98" s="6" t="s">
        <v>308</v>
      </c>
      <c r="G98" s="6" t="s">
        <v>850</v>
      </c>
      <c r="H98" s="6" t="s">
        <v>842</v>
      </c>
      <c r="I98" s="6" t="s">
        <v>849</v>
      </c>
      <c r="J98" s="6" t="s">
        <v>693</v>
      </c>
      <c r="M98" s="6" t="s">
        <v>869</v>
      </c>
      <c r="U98" s="6" t="s">
        <v>1407</v>
      </c>
      <c r="AA98" s="6" t="s">
        <v>1405</v>
      </c>
      <c r="AB98" s="6" t="s">
        <v>718</v>
      </c>
    </row>
    <row r="99" spans="1:28" x14ac:dyDescent="0.3">
      <c r="A99" s="6" t="s">
        <v>1172</v>
      </c>
      <c r="B99" s="6" t="s">
        <v>1172</v>
      </c>
      <c r="C99" s="6" t="s">
        <v>694</v>
      </c>
      <c r="D99" s="6" t="s">
        <v>1172</v>
      </c>
      <c r="E99" s="6" t="s">
        <v>848</v>
      </c>
      <c r="F99" s="6" t="s">
        <v>308</v>
      </c>
      <c r="G99" s="6" t="s">
        <v>850</v>
      </c>
      <c r="H99" s="6" t="s">
        <v>842</v>
      </c>
      <c r="I99" s="6" t="s">
        <v>849</v>
      </c>
      <c r="J99" s="6" t="s">
        <v>694</v>
      </c>
      <c r="M99" s="6" t="s">
        <v>869</v>
      </c>
      <c r="U99" s="6" t="s">
        <v>1407</v>
      </c>
      <c r="AA99" s="6" t="s">
        <v>1405</v>
      </c>
      <c r="AB99" s="6" t="s">
        <v>718</v>
      </c>
    </row>
    <row r="100" spans="1:28" x14ac:dyDescent="0.3">
      <c r="A100" s="6" t="s">
        <v>1173</v>
      </c>
      <c r="B100" s="6" t="s">
        <v>1173</v>
      </c>
      <c r="C100" s="6" t="s">
        <v>695</v>
      </c>
      <c r="D100" s="6" t="s">
        <v>1173</v>
      </c>
      <c r="E100" s="6" t="s">
        <v>848</v>
      </c>
      <c r="F100" s="6" t="s">
        <v>308</v>
      </c>
      <c r="G100" s="6" t="s">
        <v>850</v>
      </c>
      <c r="H100" s="6" t="s">
        <v>842</v>
      </c>
      <c r="I100" s="6" t="s">
        <v>849</v>
      </c>
      <c r="J100" s="6" t="s">
        <v>695</v>
      </c>
      <c r="M100" s="6" t="s">
        <v>869</v>
      </c>
      <c r="U100" s="6" t="s">
        <v>1407</v>
      </c>
      <c r="AA100" s="6" t="s">
        <v>1405</v>
      </c>
      <c r="AB100" s="6" t="s">
        <v>718</v>
      </c>
    </row>
  </sheetData>
  <autoFilter ref="A1:AZ1798" xr:uid="{FCE68235-1B06-46AA-A8C8-6A4A7D6C781D}"/>
  <printOptions gridLines="1"/>
  <pageMargins left="0" right="0" top="0" bottom="0" header="0" footer="0"/>
  <pageSetup paperSize="8" scale="3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>
    <pageSetUpPr fitToPage="1"/>
  </sheetPr>
  <dimension ref="A1:I35"/>
  <sheetViews>
    <sheetView workbookViewId="0">
      <selection activeCell="C13" sqref="C13"/>
    </sheetView>
  </sheetViews>
  <sheetFormatPr defaultColWidth="9.109375" defaultRowHeight="13.2" x14ac:dyDescent="0.25"/>
  <cols>
    <col min="1" max="1" width="15.88671875" style="2" bestFit="1" customWidth="1"/>
    <col min="2" max="2" width="16.88671875" style="4" customWidth="1"/>
    <col min="3" max="3" width="20.109375" style="4" bestFit="1" customWidth="1"/>
    <col min="4" max="4" width="22.5546875" style="4" bestFit="1" customWidth="1"/>
    <col min="5" max="5" width="18.109375" style="4" bestFit="1" customWidth="1"/>
    <col min="6" max="6" width="26.5546875" style="4" bestFit="1" customWidth="1"/>
    <col min="7" max="7" width="16.88671875" style="4" bestFit="1" customWidth="1"/>
    <col min="8" max="8" width="37" style="4" customWidth="1"/>
    <col min="9" max="9" width="54.6640625" style="4" bestFit="1" customWidth="1"/>
    <col min="10" max="10" width="9.109375" style="4"/>
    <col min="11" max="11" width="11.109375" style="4" bestFit="1" customWidth="1"/>
    <col min="12" max="16384" width="9.109375" style="4"/>
  </cols>
  <sheetData>
    <row r="1" spans="1:9" s="2" customFormat="1" x14ac:dyDescent="0.25">
      <c r="A1" s="2" t="s">
        <v>86</v>
      </c>
      <c r="B1" s="2" t="s">
        <v>92</v>
      </c>
      <c r="C1" s="2" t="s">
        <v>93</v>
      </c>
      <c r="D1" s="2" t="s">
        <v>94</v>
      </c>
      <c r="E1" s="2" t="s">
        <v>95</v>
      </c>
      <c r="F1" s="2" t="s">
        <v>96</v>
      </c>
      <c r="G1" s="2" t="s">
        <v>97</v>
      </c>
      <c r="H1" s="2" t="s">
        <v>73</v>
      </c>
      <c r="I1" s="2" t="s">
        <v>98</v>
      </c>
    </row>
    <row r="2" spans="1:9" x14ac:dyDescent="0.25">
      <c r="A2" s="2" t="s">
        <v>79</v>
      </c>
      <c r="B2" s="3" t="s">
        <v>99</v>
      </c>
      <c r="C2" s="4" t="s">
        <v>82</v>
      </c>
      <c r="D2" s="4" t="s">
        <v>100</v>
      </c>
      <c r="E2" s="4" t="s">
        <v>79</v>
      </c>
      <c r="F2" s="4" t="s">
        <v>101</v>
      </c>
      <c r="G2" s="4" t="s">
        <v>102</v>
      </c>
      <c r="H2" s="4" t="s">
        <v>103</v>
      </c>
    </row>
    <row r="3" spans="1:9" x14ac:dyDescent="0.25">
      <c r="A3" s="2" t="s">
        <v>104</v>
      </c>
      <c r="B3" s="3" t="s">
        <v>105</v>
      </c>
      <c r="C3" s="4" t="s">
        <v>106</v>
      </c>
      <c r="D3" s="4" t="s">
        <v>107</v>
      </c>
      <c r="E3" s="4" t="s">
        <v>104</v>
      </c>
      <c r="F3" s="4" t="s">
        <v>101</v>
      </c>
      <c r="G3" s="4" t="s">
        <v>108</v>
      </c>
      <c r="H3" s="4" t="s">
        <v>109</v>
      </c>
    </row>
    <row r="4" spans="1:9" x14ac:dyDescent="0.25">
      <c r="A4" s="2" t="s">
        <v>84</v>
      </c>
      <c r="B4" s="3" t="s">
        <v>84</v>
      </c>
      <c r="C4" s="4" t="s">
        <v>106</v>
      </c>
      <c r="D4" s="4" t="s">
        <v>110</v>
      </c>
      <c r="E4" s="4" t="s">
        <v>84</v>
      </c>
      <c r="F4" s="4" t="s">
        <v>101</v>
      </c>
      <c r="G4" s="4" t="s">
        <v>111</v>
      </c>
      <c r="H4" s="4" t="s">
        <v>112</v>
      </c>
    </row>
    <row r="5" spans="1:9" x14ac:dyDescent="0.25">
      <c r="A5" s="2" t="s">
        <v>80</v>
      </c>
      <c r="B5" s="3" t="s">
        <v>113</v>
      </c>
      <c r="C5" s="4" t="s">
        <v>106</v>
      </c>
      <c r="D5" s="4" t="s">
        <v>114</v>
      </c>
      <c r="E5" s="4" t="s">
        <v>80</v>
      </c>
      <c r="F5" s="4" t="s">
        <v>101</v>
      </c>
      <c r="G5" s="4" t="s">
        <v>115</v>
      </c>
      <c r="H5" s="4" t="s">
        <v>116</v>
      </c>
    </row>
    <row r="6" spans="1:9" x14ac:dyDescent="0.25">
      <c r="A6" s="2" t="s">
        <v>117</v>
      </c>
      <c r="B6" s="3" t="s">
        <v>117</v>
      </c>
      <c r="C6" s="4" t="s">
        <v>106</v>
      </c>
      <c r="D6" s="4" t="s">
        <v>82</v>
      </c>
      <c r="E6" s="4" t="s">
        <v>84</v>
      </c>
      <c r="F6" s="4" t="s">
        <v>101</v>
      </c>
      <c r="G6" s="4" t="s">
        <v>118</v>
      </c>
      <c r="H6" s="4" t="s">
        <v>119</v>
      </c>
    </row>
    <row r="7" spans="1:9" x14ac:dyDescent="0.25">
      <c r="A7" s="2" t="s">
        <v>85</v>
      </c>
      <c r="B7" s="3" t="s">
        <v>85</v>
      </c>
      <c r="C7" s="4" t="s">
        <v>106</v>
      </c>
      <c r="D7" s="4" t="s">
        <v>120</v>
      </c>
      <c r="E7" s="4" t="s">
        <v>85</v>
      </c>
      <c r="F7" s="4" t="s">
        <v>121</v>
      </c>
      <c r="G7" s="4" t="s">
        <v>122</v>
      </c>
      <c r="H7" s="4" t="s">
        <v>123</v>
      </c>
    </row>
    <row r="8" spans="1:9" x14ac:dyDescent="0.25">
      <c r="A8" s="2" t="s">
        <v>124</v>
      </c>
      <c r="B8" s="3" t="s">
        <v>125</v>
      </c>
      <c r="C8" s="4" t="s">
        <v>106</v>
      </c>
      <c r="D8" s="4">
        <v>4</v>
      </c>
      <c r="E8" s="4" t="s">
        <v>84</v>
      </c>
      <c r="F8" s="4" t="s">
        <v>101</v>
      </c>
      <c r="G8" s="4" t="s">
        <v>126</v>
      </c>
      <c r="H8" s="4" t="s">
        <v>127</v>
      </c>
      <c r="I8" s="4" t="s">
        <v>128</v>
      </c>
    </row>
    <row r="9" spans="1:9" x14ac:dyDescent="0.25">
      <c r="A9" s="2" t="s">
        <v>105</v>
      </c>
      <c r="B9" s="3" t="s">
        <v>105</v>
      </c>
      <c r="C9" s="4" t="s">
        <v>139</v>
      </c>
      <c r="D9" s="4" t="s">
        <v>139</v>
      </c>
      <c r="E9" s="4" t="s">
        <v>105</v>
      </c>
      <c r="F9" s="4" t="s">
        <v>101</v>
      </c>
      <c r="G9" s="4" t="s">
        <v>139</v>
      </c>
      <c r="H9" s="4" t="s">
        <v>140</v>
      </c>
    </row>
    <row r="10" spans="1:9" x14ac:dyDescent="0.25">
      <c r="A10" s="2" t="s">
        <v>129</v>
      </c>
      <c r="B10" s="3" t="s">
        <v>129</v>
      </c>
      <c r="C10" s="4" t="s">
        <v>130</v>
      </c>
      <c r="D10" s="4" t="s">
        <v>100</v>
      </c>
      <c r="E10" s="4" t="s">
        <v>129</v>
      </c>
      <c r="F10" s="4" t="s">
        <v>131</v>
      </c>
      <c r="G10" s="4" t="s">
        <v>132</v>
      </c>
      <c r="H10" s="4" t="s">
        <v>133</v>
      </c>
    </row>
    <row r="11" spans="1:9" x14ac:dyDescent="0.25">
      <c r="A11" s="2" t="s">
        <v>134</v>
      </c>
      <c r="B11" s="3" t="s">
        <v>129</v>
      </c>
      <c r="C11" s="4" t="s">
        <v>130</v>
      </c>
      <c r="D11" s="4" t="s">
        <v>100</v>
      </c>
      <c r="E11" s="4" t="s">
        <v>129</v>
      </c>
      <c r="F11" s="4" t="s">
        <v>131</v>
      </c>
      <c r="G11" s="4" t="s">
        <v>132</v>
      </c>
      <c r="H11" s="4" t="s">
        <v>133</v>
      </c>
    </row>
    <row r="12" spans="1:9" x14ac:dyDescent="0.25">
      <c r="A12" s="2" t="s">
        <v>135</v>
      </c>
      <c r="B12" s="3" t="s">
        <v>129</v>
      </c>
      <c r="C12" s="4" t="s">
        <v>130</v>
      </c>
      <c r="D12" s="4" t="s">
        <v>100</v>
      </c>
      <c r="E12" s="4" t="s">
        <v>129</v>
      </c>
      <c r="F12" s="4" t="s">
        <v>131</v>
      </c>
      <c r="G12" s="4" t="s">
        <v>132</v>
      </c>
      <c r="H12" s="4" t="s">
        <v>133</v>
      </c>
    </row>
    <row r="13" spans="1:9" x14ac:dyDescent="0.25">
      <c r="A13" s="2" t="s">
        <v>136</v>
      </c>
      <c r="B13" s="3" t="s">
        <v>129</v>
      </c>
      <c r="C13" s="4" t="s">
        <v>130</v>
      </c>
      <c r="D13" s="4" t="s">
        <v>100</v>
      </c>
      <c r="E13" s="4" t="s">
        <v>129</v>
      </c>
      <c r="F13" s="4" t="s">
        <v>131</v>
      </c>
      <c r="G13" s="4" t="s">
        <v>132</v>
      </c>
      <c r="H13" s="4" t="s">
        <v>133</v>
      </c>
    </row>
    <row r="14" spans="1:9" x14ac:dyDescent="0.25">
      <c r="A14" s="2" t="s">
        <v>137</v>
      </c>
      <c r="B14" s="4" t="s">
        <v>138</v>
      </c>
      <c r="C14" s="4" t="s">
        <v>139</v>
      </c>
      <c r="D14" s="4" t="s">
        <v>139</v>
      </c>
      <c r="E14" s="4" t="s">
        <v>80</v>
      </c>
      <c r="F14" s="4" t="s">
        <v>101</v>
      </c>
      <c r="G14" s="4" t="s">
        <v>139</v>
      </c>
      <c r="H14" s="4" t="s">
        <v>140</v>
      </c>
    </row>
    <row r="15" spans="1:9" x14ac:dyDescent="0.25">
      <c r="A15" s="2" t="s">
        <v>141</v>
      </c>
      <c r="B15" s="4" t="s">
        <v>139</v>
      </c>
      <c r="C15" s="4" t="s">
        <v>106</v>
      </c>
      <c r="D15" s="4">
        <v>3</v>
      </c>
      <c r="E15" s="4" t="s">
        <v>139</v>
      </c>
      <c r="F15" s="4" t="s">
        <v>142</v>
      </c>
      <c r="G15" s="4" t="s">
        <v>143</v>
      </c>
      <c r="H15" s="4" t="s">
        <v>144</v>
      </c>
      <c r="I15" s="4" t="s">
        <v>145</v>
      </c>
    </row>
    <row r="16" spans="1:9" x14ac:dyDescent="0.25">
      <c r="A16" s="2" t="s">
        <v>146</v>
      </c>
      <c r="B16" s="3" t="s">
        <v>147</v>
      </c>
      <c r="C16" s="4" t="s">
        <v>139</v>
      </c>
      <c r="D16" s="4" t="s">
        <v>139</v>
      </c>
      <c r="E16" s="4" t="s">
        <v>80</v>
      </c>
      <c r="F16" s="4" t="s">
        <v>101</v>
      </c>
      <c r="G16" s="4" t="s">
        <v>139</v>
      </c>
      <c r="H16" s="4" t="s">
        <v>148</v>
      </c>
      <c r="I16" s="4" t="s">
        <v>149</v>
      </c>
    </row>
    <row r="17" spans="1:8" x14ac:dyDescent="0.25">
      <c r="A17" s="50" t="s">
        <v>99</v>
      </c>
      <c r="B17" s="50" t="s">
        <v>99</v>
      </c>
      <c r="C17" s="51" t="s">
        <v>82</v>
      </c>
      <c r="D17" s="51" t="s">
        <v>100</v>
      </c>
      <c r="E17" s="51" t="s">
        <v>79</v>
      </c>
      <c r="F17" s="51" t="s">
        <v>101</v>
      </c>
      <c r="G17" s="51" t="s">
        <v>102</v>
      </c>
      <c r="H17" s="51" t="s">
        <v>103</v>
      </c>
    </row>
    <row r="18" spans="1:8" x14ac:dyDescent="0.25">
      <c r="A18" s="50" t="s">
        <v>113</v>
      </c>
      <c r="B18" s="50" t="s">
        <v>113</v>
      </c>
      <c r="C18" s="51" t="s">
        <v>106</v>
      </c>
      <c r="D18" s="51" t="s">
        <v>114</v>
      </c>
      <c r="E18" s="51" t="s">
        <v>80</v>
      </c>
      <c r="F18" s="51" t="s">
        <v>101</v>
      </c>
      <c r="G18" s="51" t="s">
        <v>115</v>
      </c>
      <c r="H18" s="51" t="s">
        <v>116</v>
      </c>
    </row>
    <row r="26" spans="1:8" x14ac:dyDescent="0.25">
      <c r="C26" s="3"/>
      <c r="D26" s="3"/>
    </row>
    <row r="27" spans="1:8" x14ac:dyDescent="0.25">
      <c r="C27" s="3"/>
      <c r="D27" s="3"/>
    </row>
    <row r="28" spans="1:8" x14ac:dyDescent="0.25">
      <c r="C28" s="3"/>
      <c r="D28" s="3"/>
    </row>
    <row r="29" spans="1:8" x14ac:dyDescent="0.25">
      <c r="C29" s="3"/>
      <c r="D29" s="3"/>
    </row>
    <row r="30" spans="1:8" x14ac:dyDescent="0.25">
      <c r="C30" s="3"/>
      <c r="D30" s="3"/>
    </row>
    <row r="31" spans="1:8" x14ac:dyDescent="0.25">
      <c r="C31" s="3"/>
      <c r="D31" s="3"/>
    </row>
    <row r="32" spans="1:8" x14ac:dyDescent="0.25">
      <c r="C32" s="3"/>
      <c r="D32" s="3"/>
    </row>
    <row r="33" spans="3:4" x14ac:dyDescent="0.25">
      <c r="C33" s="3"/>
      <c r="D33" s="3"/>
    </row>
    <row r="34" spans="3:4" x14ac:dyDescent="0.25">
      <c r="C34" s="3"/>
      <c r="D34" s="3"/>
    </row>
    <row r="35" spans="3:4" x14ac:dyDescent="0.25">
      <c r="C35" s="3"/>
      <c r="D35" s="3"/>
    </row>
  </sheetData>
  <printOptions gridLines="1"/>
  <pageMargins left="0" right="0" top="0" bottom="0" header="0" footer="0"/>
  <pageSetup paperSize="8" scale="9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E6F96-9FDA-4339-A50A-98FD28CB2AD9}">
  <sheetPr codeName="Sheet21">
    <tabColor theme="5" tint="0.39997558519241921"/>
    <pageSetUpPr fitToPage="1"/>
  </sheetPr>
  <dimension ref="A1"/>
  <sheetViews>
    <sheetView workbookViewId="0">
      <selection activeCell="C13" sqref="C13"/>
    </sheetView>
  </sheetViews>
  <sheetFormatPr defaultRowHeight="14.4" x14ac:dyDescent="0.3"/>
  <sheetData/>
  <printOptions gridLines="1"/>
  <pageMargins left="0" right="0" top="0" bottom="0" header="0" footer="0"/>
  <pageSetup paperSize="8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5" tint="0.39997558519241921"/>
    <pageSetUpPr fitToPage="1"/>
  </sheetPr>
  <dimension ref="A1:AF94"/>
  <sheetViews>
    <sheetView topLeftCell="M1" zoomScaleNormal="100" workbookViewId="0">
      <pane ySplit="1" topLeftCell="A85" activePane="bottomLeft" state="frozen"/>
      <selection activeCell="C13" sqref="C13"/>
      <selection pane="bottomLeft" activeCell="C13" sqref="C13"/>
    </sheetView>
  </sheetViews>
  <sheetFormatPr defaultColWidth="9.109375" defaultRowHeight="14.4" x14ac:dyDescent="0.3"/>
  <cols>
    <col min="1" max="2" width="44.44140625" style="6" bestFit="1" customWidth="1"/>
    <col min="3" max="3" width="7.44140625" style="6" bestFit="1" customWidth="1"/>
    <col min="4" max="4" width="13.6640625" style="6" bestFit="1" customWidth="1"/>
    <col min="5" max="5" width="7.44140625" style="6" bestFit="1" customWidth="1"/>
    <col min="6" max="6" width="8" style="6" bestFit="1" customWidth="1"/>
    <col min="7" max="7" width="13.5546875" style="6" bestFit="1" customWidth="1"/>
    <col min="8" max="8" width="11" style="6" bestFit="1" customWidth="1"/>
    <col min="9" max="9" width="112.5546875" style="6" bestFit="1" customWidth="1"/>
    <col min="10" max="10" width="7.6640625" style="6" bestFit="1" customWidth="1"/>
    <col min="11" max="11" width="8.109375" style="6" bestFit="1" customWidth="1"/>
    <col min="12" max="12" width="9.88671875" style="6" bestFit="1" customWidth="1"/>
    <col min="13" max="13" width="72.44140625" style="6" bestFit="1" customWidth="1"/>
    <col min="14" max="14" width="14" style="6" bestFit="1" customWidth="1"/>
    <col min="15" max="15" width="11.109375" style="6" bestFit="1" customWidth="1"/>
    <col min="16" max="16" width="6" style="6" bestFit="1" customWidth="1"/>
    <col min="17" max="17" width="6.5546875" style="6" bestFit="1" customWidth="1"/>
    <col min="18" max="18" width="14.109375" style="6" bestFit="1" customWidth="1"/>
    <col min="19" max="19" width="15.109375" style="6" bestFit="1" customWidth="1"/>
    <col min="20" max="20" width="9.5546875" style="6" bestFit="1" customWidth="1"/>
    <col min="21" max="21" width="14.109375" style="6" bestFit="1" customWidth="1"/>
    <col min="22" max="22" width="29.109375" style="6" bestFit="1" customWidth="1"/>
    <col min="23" max="23" width="10.88671875" style="6" bestFit="1" customWidth="1"/>
    <col min="24" max="24" width="14.88671875" style="6" bestFit="1" customWidth="1"/>
    <col min="25" max="25" width="12" style="6" bestFit="1" customWidth="1"/>
    <col min="26" max="26" width="9.5546875" style="6" bestFit="1" customWidth="1"/>
    <col min="27" max="27" width="13.33203125" style="6" bestFit="1" customWidth="1"/>
    <col min="28" max="28" width="9.5546875" style="6" bestFit="1" customWidth="1"/>
    <col min="29" max="29" width="7.6640625" style="6" bestFit="1" customWidth="1"/>
    <col min="30" max="30" width="13" style="6" bestFit="1" customWidth="1"/>
    <col min="31" max="31" width="12.6640625" style="6" bestFit="1" customWidth="1"/>
    <col min="32" max="32" width="12.33203125" style="6" bestFit="1" customWidth="1"/>
    <col min="33" max="16384" width="9.109375" style="6"/>
  </cols>
  <sheetData>
    <row r="1" spans="1:32" x14ac:dyDescent="0.3">
      <c r="A1" s="68" t="s">
        <v>0</v>
      </c>
      <c r="B1" s="68" t="s">
        <v>43</v>
      </c>
      <c r="C1" s="68" t="s">
        <v>44</v>
      </c>
      <c r="D1" s="68" t="s">
        <v>45</v>
      </c>
      <c r="E1" s="68" t="s">
        <v>37</v>
      </c>
      <c r="F1" s="68" t="s">
        <v>38</v>
      </c>
      <c r="G1" s="68" t="s">
        <v>8</v>
      </c>
      <c r="H1" s="68" t="s">
        <v>9</v>
      </c>
      <c r="I1" s="68" t="s">
        <v>46</v>
      </c>
      <c r="J1" s="68" t="s">
        <v>47</v>
      </c>
      <c r="K1" s="68" t="s">
        <v>48</v>
      </c>
      <c r="L1" s="68" t="s">
        <v>49</v>
      </c>
      <c r="M1" s="68" t="s">
        <v>10</v>
      </c>
      <c r="N1" s="68" t="s">
        <v>1</v>
      </c>
      <c r="O1" s="68" t="s">
        <v>50</v>
      </c>
      <c r="P1" s="68" t="s">
        <v>51</v>
      </c>
      <c r="Q1" s="68" t="s">
        <v>52</v>
      </c>
      <c r="R1" s="68" t="s">
        <v>53</v>
      </c>
      <c r="S1" s="68" t="s">
        <v>54</v>
      </c>
      <c r="T1" s="68" t="s">
        <v>55</v>
      </c>
      <c r="U1" s="68" t="s">
        <v>56</v>
      </c>
      <c r="V1" s="68" t="s">
        <v>57</v>
      </c>
      <c r="W1" s="68" t="s">
        <v>19</v>
      </c>
      <c r="X1" s="68" t="s">
        <v>18</v>
      </c>
      <c r="Y1" s="68" t="s">
        <v>11</v>
      </c>
      <c r="Z1" s="68" t="s">
        <v>12</v>
      </c>
      <c r="AA1" s="68" t="s">
        <v>16</v>
      </c>
      <c r="AB1" s="68" t="s">
        <v>20</v>
      </c>
      <c r="AC1" s="68" t="s">
        <v>21</v>
      </c>
      <c r="AD1" s="68" t="s">
        <v>22</v>
      </c>
      <c r="AE1" s="68" t="s">
        <v>6</v>
      </c>
      <c r="AF1" s="68" t="s">
        <v>7</v>
      </c>
    </row>
    <row r="2" spans="1:32" x14ac:dyDescent="0.3">
      <c r="A2" t="s">
        <v>982</v>
      </c>
      <c r="B2" t="s">
        <v>982</v>
      </c>
      <c r="C2"/>
      <c r="D2">
        <v>1</v>
      </c>
      <c r="E2"/>
      <c r="F2"/>
      <c r="G2"/>
      <c r="H2"/>
      <c r="I2" t="s">
        <v>986</v>
      </c>
      <c r="J2">
        <v>25</v>
      </c>
      <c r="K2" s="117">
        <v>0</v>
      </c>
      <c r="L2" t="s">
        <v>304</v>
      </c>
      <c r="M2" t="s">
        <v>987</v>
      </c>
      <c r="N2" t="s">
        <v>839</v>
      </c>
      <c r="O2"/>
      <c r="P2"/>
      <c r="Q2"/>
      <c r="R2"/>
      <c r="S2"/>
      <c r="T2"/>
      <c r="U2"/>
      <c r="V2" t="s">
        <v>840</v>
      </c>
      <c r="W2" t="s">
        <v>1407</v>
      </c>
      <c r="X2"/>
      <c r="Y2"/>
      <c r="Z2"/>
      <c r="AA2"/>
      <c r="AB2" t="s">
        <v>1405</v>
      </c>
      <c r="AC2"/>
      <c r="AD2"/>
      <c r="AE2"/>
      <c r="AF2"/>
    </row>
    <row r="3" spans="1:32" x14ac:dyDescent="0.3">
      <c r="A3" t="s">
        <v>983</v>
      </c>
      <c r="B3" t="s">
        <v>983</v>
      </c>
      <c r="C3"/>
      <c r="D3">
        <v>1</v>
      </c>
      <c r="E3"/>
      <c r="F3"/>
      <c r="G3"/>
      <c r="H3"/>
      <c r="I3" t="s">
        <v>988</v>
      </c>
      <c r="J3">
        <v>25</v>
      </c>
      <c r="K3" s="117">
        <v>0</v>
      </c>
      <c r="L3" t="s">
        <v>304</v>
      </c>
      <c r="M3" t="s">
        <v>989</v>
      </c>
      <c r="N3" t="s">
        <v>839</v>
      </c>
      <c r="O3"/>
      <c r="P3"/>
      <c r="Q3"/>
      <c r="R3"/>
      <c r="S3"/>
      <c r="T3"/>
      <c r="U3"/>
      <c r="V3" t="s">
        <v>840</v>
      </c>
      <c r="W3" t="s">
        <v>1407</v>
      </c>
      <c r="X3"/>
      <c r="Y3"/>
      <c r="Z3"/>
      <c r="AA3"/>
      <c r="AB3" t="s">
        <v>1405</v>
      </c>
      <c r="AC3"/>
      <c r="AD3"/>
      <c r="AE3"/>
      <c r="AF3"/>
    </row>
    <row r="4" spans="1:32" x14ac:dyDescent="0.3">
      <c r="A4" t="s">
        <v>984</v>
      </c>
      <c r="B4" t="s">
        <v>984</v>
      </c>
      <c r="C4"/>
      <c r="D4">
        <v>1</v>
      </c>
      <c r="E4"/>
      <c r="F4"/>
      <c r="G4"/>
      <c r="H4"/>
      <c r="I4" t="s">
        <v>990</v>
      </c>
      <c r="J4">
        <v>25</v>
      </c>
      <c r="K4" s="117">
        <v>0</v>
      </c>
      <c r="L4" t="s">
        <v>304</v>
      </c>
      <c r="M4" t="s">
        <v>991</v>
      </c>
      <c r="N4" t="s">
        <v>839</v>
      </c>
      <c r="O4"/>
      <c r="P4"/>
      <c r="Q4"/>
      <c r="R4"/>
      <c r="S4"/>
      <c r="T4"/>
      <c r="U4"/>
      <c r="V4" t="s">
        <v>840</v>
      </c>
      <c r="W4" t="s">
        <v>1407</v>
      </c>
      <c r="X4"/>
      <c r="Y4"/>
      <c r="Z4"/>
      <c r="AA4"/>
      <c r="AB4" t="s">
        <v>1405</v>
      </c>
      <c r="AC4"/>
      <c r="AD4"/>
      <c r="AE4"/>
      <c r="AF4"/>
    </row>
    <row r="5" spans="1:32" x14ac:dyDescent="0.3">
      <c r="A5" s="84" t="s">
        <v>985</v>
      </c>
      <c r="B5" s="84" t="s">
        <v>985</v>
      </c>
      <c r="C5" s="84"/>
      <c r="D5" s="84">
        <v>1</v>
      </c>
      <c r="E5" s="84"/>
      <c r="F5" s="84"/>
      <c r="G5" s="84"/>
      <c r="H5" s="84"/>
      <c r="I5" s="84" t="s">
        <v>992</v>
      </c>
      <c r="J5" s="84">
        <v>25</v>
      </c>
      <c r="K5" s="118">
        <v>0</v>
      </c>
      <c r="L5" s="84" t="s">
        <v>304</v>
      </c>
      <c r="M5" s="84" t="s">
        <v>993</v>
      </c>
      <c r="N5" s="84" t="s">
        <v>839</v>
      </c>
      <c r="O5" s="84"/>
      <c r="P5" s="84"/>
      <c r="Q5" s="84"/>
      <c r="R5" s="84"/>
      <c r="S5" s="84"/>
      <c r="T5" s="84"/>
      <c r="U5" s="84"/>
      <c r="V5" s="84" t="s">
        <v>840</v>
      </c>
      <c r="W5" s="84" t="s">
        <v>1407</v>
      </c>
      <c r="X5" s="84"/>
      <c r="Y5" s="84"/>
      <c r="Z5" s="84"/>
      <c r="AA5" s="84"/>
      <c r="AB5" s="84" t="s">
        <v>1405</v>
      </c>
      <c r="AC5" s="84"/>
      <c r="AD5" s="84"/>
      <c r="AE5" s="84"/>
      <c r="AF5" s="84"/>
    </row>
    <row r="6" spans="1:32" x14ac:dyDescent="0.3">
      <c r="A6" t="s">
        <v>996</v>
      </c>
      <c r="B6" t="s">
        <v>996</v>
      </c>
      <c r="C6"/>
      <c r="D6">
        <v>1</v>
      </c>
      <c r="E6"/>
      <c r="F6"/>
      <c r="G6"/>
      <c r="H6"/>
      <c r="I6" t="s">
        <v>1009</v>
      </c>
      <c r="J6">
        <v>25</v>
      </c>
      <c r="K6" s="117">
        <v>0</v>
      </c>
      <c r="L6" t="s">
        <v>304</v>
      </c>
      <c r="M6" t="s">
        <v>1010</v>
      </c>
      <c r="N6" t="s">
        <v>839</v>
      </c>
      <c r="O6"/>
      <c r="P6"/>
      <c r="Q6"/>
      <c r="R6"/>
      <c r="S6"/>
      <c r="T6"/>
      <c r="U6"/>
      <c r="V6" t="s">
        <v>840</v>
      </c>
      <c r="W6" t="s">
        <v>1407</v>
      </c>
      <c r="X6"/>
      <c r="Y6"/>
      <c r="Z6"/>
      <c r="AA6"/>
      <c r="AB6" t="s">
        <v>1405</v>
      </c>
      <c r="AC6"/>
      <c r="AD6"/>
      <c r="AE6"/>
      <c r="AF6"/>
    </row>
    <row r="7" spans="1:32" x14ac:dyDescent="0.3">
      <c r="A7" t="s">
        <v>997</v>
      </c>
      <c r="B7" t="s">
        <v>997</v>
      </c>
      <c r="C7"/>
      <c r="D7">
        <v>1</v>
      </c>
      <c r="E7"/>
      <c r="F7"/>
      <c r="G7"/>
      <c r="H7"/>
      <c r="I7" t="s">
        <v>1011</v>
      </c>
      <c r="J7">
        <v>25</v>
      </c>
      <c r="K7" s="117">
        <v>0</v>
      </c>
      <c r="L7" t="s">
        <v>304</v>
      </c>
      <c r="M7" t="s">
        <v>1012</v>
      </c>
      <c r="N7" t="s">
        <v>839</v>
      </c>
      <c r="O7"/>
      <c r="P7"/>
      <c r="Q7"/>
      <c r="R7"/>
      <c r="S7"/>
      <c r="T7"/>
      <c r="U7"/>
      <c r="V7" t="s">
        <v>840</v>
      </c>
      <c r="W7" t="s">
        <v>1407</v>
      </c>
      <c r="X7"/>
      <c r="Y7"/>
      <c r="Z7"/>
      <c r="AA7"/>
      <c r="AB7" t="s">
        <v>1405</v>
      </c>
      <c r="AC7"/>
      <c r="AD7"/>
      <c r="AE7"/>
      <c r="AF7"/>
    </row>
    <row r="8" spans="1:32" x14ac:dyDescent="0.3">
      <c r="A8" t="s">
        <v>998</v>
      </c>
      <c r="B8" t="s">
        <v>998</v>
      </c>
      <c r="C8"/>
      <c r="D8">
        <v>1</v>
      </c>
      <c r="E8"/>
      <c r="F8"/>
      <c r="G8"/>
      <c r="H8"/>
      <c r="I8" t="s">
        <v>1013</v>
      </c>
      <c r="J8">
        <v>25</v>
      </c>
      <c r="K8" s="117">
        <v>0</v>
      </c>
      <c r="L8" t="s">
        <v>304</v>
      </c>
      <c r="M8" t="s">
        <v>1014</v>
      </c>
      <c r="N8" t="s">
        <v>839</v>
      </c>
      <c r="O8"/>
      <c r="P8"/>
      <c r="Q8"/>
      <c r="R8"/>
      <c r="S8"/>
      <c r="T8"/>
      <c r="U8"/>
      <c r="V8" t="s">
        <v>840</v>
      </c>
      <c r="W8" t="s">
        <v>1407</v>
      </c>
      <c r="X8"/>
      <c r="Y8"/>
      <c r="Z8"/>
      <c r="AA8"/>
      <c r="AB8" t="s">
        <v>1405</v>
      </c>
      <c r="AC8"/>
      <c r="AD8"/>
      <c r="AE8"/>
      <c r="AF8"/>
    </row>
    <row r="9" spans="1:32" x14ac:dyDescent="0.3">
      <c r="A9" t="s">
        <v>999</v>
      </c>
      <c r="B9" t="s">
        <v>999</v>
      </c>
      <c r="C9"/>
      <c r="D9">
        <v>1</v>
      </c>
      <c r="E9"/>
      <c r="F9"/>
      <c r="G9"/>
      <c r="H9"/>
      <c r="I9" t="s">
        <v>1015</v>
      </c>
      <c r="J9">
        <v>25</v>
      </c>
      <c r="K9" s="117">
        <v>0</v>
      </c>
      <c r="L9" t="s">
        <v>304</v>
      </c>
      <c r="M9" t="s">
        <v>1016</v>
      </c>
      <c r="N9" t="s">
        <v>839</v>
      </c>
      <c r="O9"/>
      <c r="P9"/>
      <c r="Q9"/>
      <c r="R9"/>
      <c r="S9"/>
      <c r="T9"/>
      <c r="U9"/>
      <c r="V9" t="s">
        <v>840</v>
      </c>
      <c r="W9" t="s">
        <v>1407</v>
      </c>
      <c r="X9"/>
      <c r="Y9"/>
      <c r="Z9"/>
      <c r="AA9"/>
      <c r="AB9" t="s">
        <v>1405</v>
      </c>
      <c r="AC9"/>
      <c r="AD9"/>
      <c r="AE9"/>
      <c r="AF9"/>
    </row>
    <row r="10" spans="1:32" x14ac:dyDescent="0.3">
      <c r="A10" t="s">
        <v>1000</v>
      </c>
      <c r="B10" t="s">
        <v>1000</v>
      </c>
      <c r="C10"/>
      <c r="D10">
        <v>1</v>
      </c>
      <c r="E10"/>
      <c r="F10"/>
      <c r="G10"/>
      <c r="H10"/>
      <c r="I10" t="s">
        <v>1017</v>
      </c>
      <c r="J10">
        <v>25</v>
      </c>
      <c r="K10" s="117">
        <v>0</v>
      </c>
      <c r="L10" t="s">
        <v>304</v>
      </c>
      <c r="M10" t="s">
        <v>1018</v>
      </c>
      <c r="N10" t="s">
        <v>839</v>
      </c>
      <c r="O10"/>
      <c r="P10"/>
      <c r="Q10"/>
      <c r="R10"/>
      <c r="S10"/>
      <c r="T10"/>
      <c r="U10"/>
      <c r="V10" t="s">
        <v>840</v>
      </c>
      <c r="W10" t="s">
        <v>1407</v>
      </c>
      <c r="X10"/>
      <c r="Y10"/>
      <c r="Z10"/>
      <c r="AA10"/>
      <c r="AB10" t="s">
        <v>1405</v>
      </c>
      <c r="AC10"/>
      <c r="AD10"/>
      <c r="AE10"/>
      <c r="AF10"/>
    </row>
    <row r="11" spans="1:32" x14ac:dyDescent="0.3">
      <c r="A11" t="s">
        <v>1001</v>
      </c>
      <c r="B11" t="s">
        <v>1001</v>
      </c>
      <c r="C11"/>
      <c r="D11">
        <v>1</v>
      </c>
      <c r="E11"/>
      <c r="F11"/>
      <c r="G11"/>
      <c r="H11"/>
      <c r="I11" t="s">
        <v>1019</v>
      </c>
      <c r="J11">
        <v>25</v>
      </c>
      <c r="K11" s="117">
        <v>0</v>
      </c>
      <c r="L11" t="s">
        <v>304</v>
      </c>
      <c r="M11" t="s">
        <v>1020</v>
      </c>
      <c r="N11" t="s">
        <v>839</v>
      </c>
      <c r="O11"/>
      <c r="P11"/>
      <c r="Q11"/>
      <c r="R11"/>
      <c r="S11"/>
      <c r="T11"/>
      <c r="U11"/>
      <c r="V11" t="s">
        <v>840</v>
      </c>
      <c r="W11" t="s">
        <v>1407</v>
      </c>
      <c r="X11"/>
      <c r="Y11"/>
      <c r="Z11"/>
      <c r="AA11"/>
      <c r="AB11" t="s">
        <v>1405</v>
      </c>
      <c r="AC11"/>
      <c r="AD11"/>
      <c r="AE11"/>
      <c r="AF11"/>
    </row>
    <row r="12" spans="1:32" x14ac:dyDescent="0.3">
      <c r="A12" t="s">
        <v>1002</v>
      </c>
      <c r="B12" t="s">
        <v>1002</v>
      </c>
      <c r="C12"/>
      <c r="D12">
        <v>1</v>
      </c>
      <c r="E12"/>
      <c r="F12"/>
      <c r="G12"/>
      <c r="H12"/>
      <c r="I12" t="s">
        <v>1021</v>
      </c>
      <c r="J12">
        <v>25</v>
      </c>
      <c r="K12" s="117">
        <v>0</v>
      </c>
      <c r="L12" t="s">
        <v>304</v>
      </c>
      <c r="M12" t="s">
        <v>1022</v>
      </c>
      <c r="N12" t="s">
        <v>839</v>
      </c>
      <c r="O12"/>
      <c r="P12"/>
      <c r="Q12"/>
      <c r="R12"/>
      <c r="S12"/>
      <c r="T12"/>
      <c r="U12"/>
      <c r="V12" t="s">
        <v>840</v>
      </c>
      <c r="W12" t="s">
        <v>1407</v>
      </c>
      <c r="X12"/>
      <c r="Y12"/>
      <c r="Z12"/>
      <c r="AA12"/>
      <c r="AB12" t="s">
        <v>1405</v>
      </c>
      <c r="AC12"/>
      <c r="AD12"/>
      <c r="AE12"/>
      <c r="AF12"/>
    </row>
    <row r="13" spans="1:32" x14ac:dyDescent="0.3">
      <c r="A13" t="s">
        <v>1003</v>
      </c>
      <c r="B13" t="s">
        <v>1003</v>
      </c>
      <c r="C13"/>
      <c r="D13">
        <v>1</v>
      </c>
      <c r="E13"/>
      <c r="F13"/>
      <c r="G13"/>
      <c r="H13"/>
      <c r="I13" t="s">
        <v>1023</v>
      </c>
      <c r="J13">
        <v>25</v>
      </c>
      <c r="K13" s="117">
        <v>0</v>
      </c>
      <c r="L13" t="s">
        <v>304</v>
      </c>
      <c r="M13" t="s">
        <v>1024</v>
      </c>
      <c r="N13" t="s">
        <v>839</v>
      </c>
      <c r="O13"/>
      <c r="P13"/>
      <c r="Q13"/>
      <c r="R13"/>
      <c r="S13"/>
      <c r="T13"/>
      <c r="U13"/>
      <c r="V13" t="s">
        <v>840</v>
      </c>
      <c r="W13" t="s">
        <v>1407</v>
      </c>
      <c r="X13"/>
      <c r="Y13"/>
      <c r="Z13"/>
      <c r="AA13"/>
      <c r="AB13" t="s">
        <v>1405</v>
      </c>
      <c r="AC13"/>
      <c r="AD13"/>
      <c r="AE13"/>
      <c r="AF13"/>
    </row>
    <row r="14" spans="1:32" x14ac:dyDescent="0.3">
      <c r="A14" t="s">
        <v>1004</v>
      </c>
      <c r="B14" t="s">
        <v>1004</v>
      </c>
      <c r="C14"/>
      <c r="D14">
        <v>1</v>
      </c>
      <c r="E14"/>
      <c r="F14"/>
      <c r="G14"/>
      <c r="H14"/>
      <c r="I14" t="s">
        <v>1025</v>
      </c>
      <c r="J14">
        <v>25</v>
      </c>
      <c r="K14" s="117">
        <v>0</v>
      </c>
      <c r="L14" t="s">
        <v>304</v>
      </c>
      <c r="M14" t="s">
        <v>1026</v>
      </c>
      <c r="N14" t="s">
        <v>839</v>
      </c>
      <c r="O14"/>
      <c r="P14"/>
      <c r="Q14"/>
      <c r="R14"/>
      <c r="S14"/>
      <c r="T14"/>
      <c r="U14"/>
      <c r="V14" t="s">
        <v>840</v>
      </c>
      <c r="W14" t="s">
        <v>1407</v>
      </c>
      <c r="X14"/>
      <c r="Y14"/>
      <c r="Z14"/>
      <c r="AA14"/>
      <c r="AB14" t="s">
        <v>1405</v>
      </c>
      <c r="AC14"/>
      <c r="AD14"/>
      <c r="AE14"/>
      <c r="AF14"/>
    </row>
    <row r="15" spans="1:32" x14ac:dyDescent="0.3">
      <c r="A15" t="s">
        <v>1005</v>
      </c>
      <c r="B15" t="s">
        <v>1005</v>
      </c>
      <c r="C15"/>
      <c r="D15">
        <v>1</v>
      </c>
      <c r="E15"/>
      <c r="F15"/>
      <c r="G15"/>
      <c r="H15"/>
      <c r="I15" t="s">
        <v>1027</v>
      </c>
      <c r="J15">
        <v>25</v>
      </c>
      <c r="K15" s="117">
        <v>0</v>
      </c>
      <c r="L15" t="s">
        <v>304</v>
      </c>
      <c r="M15" t="s">
        <v>1028</v>
      </c>
      <c r="N15" t="s">
        <v>839</v>
      </c>
      <c r="O15"/>
      <c r="P15"/>
      <c r="Q15"/>
      <c r="R15"/>
      <c r="S15"/>
      <c r="T15"/>
      <c r="U15"/>
      <c r="V15" t="s">
        <v>840</v>
      </c>
      <c r="W15" t="s">
        <v>1407</v>
      </c>
      <c r="X15"/>
      <c r="Y15"/>
      <c r="Z15"/>
      <c r="AA15"/>
      <c r="AB15" t="s">
        <v>1405</v>
      </c>
      <c r="AC15"/>
      <c r="AD15"/>
      <c r="AE15"/>
      <c r="AF15"/>
    </row>
    <row r="16" spans="1:32" x14ac:dyDescent="0.3">
      <c r="A16" t="s">
        <v>1006</v>
      </c>
      <c r="B16" t="s">
        <v>1006</v>
      </c>
      <c r="C16"/>
      <c r="D16">
        <v>1</v>
      </c>
      <c r="E16"/>
      <c r="F16"/>
      <c r="G16"/>
      <c r="H16"/>
      <c r="I16" t="s">
        <v>1029</v>
      </c>
      <c r="J16">
        <v>25</v>
      </c>
      <c r="K16" s="117">
        <v>0</v>
      </c>
      <c r="L16" t="s">
        <v>304</v>
      </c>
      <c r="M16" t="s">
        <v>1030</v>
      </c>
      <c r="N16" t="s">
        <v>839</v>
      </c>
      <c r="O16"/>
      <c r="P16"/>
      <c r="Q16"/>
      <c r="R16"/>
      <c r="S16"/>
      <c r="T16"/>
      <c r="U16"/>
      <c r="V16" t="s">
        <v>840</v>
      </c>
      <c r="W16" t="s">
        <v>1407</v>
      </c>
      <c r="X16"/>
      <c r="Y16"/>
      <c r="Z16"/>
      <c r="AA16"/>
      <c r="AB16" t="s">
        <v>1405</v>
      </c>
      <c r="AC16"/>
      <c r="AD16"/>
      <c r="AE16"/>
      <c r="AF16"/>
    </row>
    <row r="17" spans="1:32" x14ac:dyDescent="0.3">
      <c r="A17" s="84" t="s">
        <v>1007</v>
      </c>
      <c r="B17" s="84" t="s">
        <v>1007</v>
      </c>
      <c r="C17" s="84"/>
      <c r="D17" s="84">
        <v>1</v>
      </c>
      <c r="E17" s="84"/>
      <c r="F17" s="84"/>
      <c r="G17" s="84"/>
      <c r="H17" s="84"/>
      <c r="I17" s="84" t="s">
        <v>1031</v>
      </c>
      <c r="J17" s="84">
        <v>25</v>
      </c>
      <c r="K17" s="118">
        <v>0</v>
      </c>
      <c r="L17" s="84" t="s">
        <v>304</v>
      </c>
      <c r="M17" s="84" t="s">
        <v>1032</v>
      </c>
      <c r="N17" s="84" t="s">
        <v>839</v>
      </c>
      <c r="O17" s="84"/>
      <c r="P17" s="84"/>
      <c r="Q17" s="84"/>
      <c r="R17" s="84"/>
      <c r="S17" s="84"/>
      <c r="T17" s="84"/>
      <c r="U17" s="84"/>
      <c r="V17" s="84" t="s">
        <v>840</v>
      </c>
      <c r="W17" s="84" t="s">
        <v>1407</v>
      </c>
      <c r="X17" s="84"/>
      <c r="Y17" s="84"/>
      <c r="Z17" s="84"/>
      <c r="AA17" s="84"/>
      <c r="AB17" s="84" t="s">
        <v>1405</v>
      </c>
      <c r="AC17" s="84"/>
      <c r="AD17" s="84"/>
      <c r="AE17" s="84"/>
      <c r="AF17" s="84"/>
    </row>
    <row r="18" spans="1:32" x14ac:dyDescent="0.3">
      <c r="A18" t="s">
        <v>1118</v>
      </c>
      <c r="B18" t="s">
        <v>1118</v>
      </c>
      <c r="C18"/>
      <c r="D18">
        <v>1</v>
      </c>
      <c r="E18"/>
      <c r="F18"/>
      <c r="G18"/>
      <c r="H18"/>
      <c r="I18" t="s">
        <v>1175</v>
      </c>
      <c r="J18">
        <v>25</v>
      </c>
      <c r="K18" s="117">
        <v>0</v>
      </c>
      <c r="L18" t="s">
        <v>304</v>
      </c>
      <c r="M18" t="s">
        <v>1176</v>
      </c>
      <c r="N18" t="s">
        <v>839</v>
      </c>
      <c r="O18"/>
      <c r="P18"/>
      <c r="Q18"/>
      <c r="R18"/>
      <c r="S18"/>
      <c r="T18"/>
      <c r="U18"/>
      <c r="V18" t="s">
        <v>840</v>
      </c>
      <c r="W18" t="s">
        <v>1407</v>
      </c>
      <c r="X18"/>
      <c r="Y18"/>
      <c r="Z18"/>
      <c r="AA18"/>
      <c r="AB18" t="s">
        <v>1405</v>
      </c>
      <c r="AC18"/>
      <c r="AD18"/>
      <c r="AE18"/>
      <c r="AF18"/>
    </row>
    <row r="19" spans="1:32" x14ac:dyDescent="0.3">
      <c r="A19" t="s">
        <v>1141</v>
      </c>
      <c r="B19" t="s">
        <v>1141</v>
      </c>
      <c r="C19"/>
      <c r="D19">
        <v>1</v>
      </c>
      <c r="E19"/>
      <c r="F19"/>
      <c r="G19"/>
      <c r="H19"/>
      <c r="I19" t="s">
        <v>1177</v>
      </c>
      <c r="J19">
        <v>25</v>
      </c>
      <c r="K19" s="117">
        <v>0</v>
      </c>
      <c r="L19" t="s">
        <v>304</v>
      </c>
      <c r="M19" t="s">
        <v>1178</v>
      </c>
      <c r="N19" t="s">
        <v>839</v>
      </c>
      <c r="O19"/>
      <c r="P19"/>
      <c r="Q19"/>
      <c r="R19"/>
      <c r="S19"/>
      <c r="T19"/>
      <c r="U19"/>
      <c r="V19" t="s">
        <v>840</v>
      </c>
      <c r="W19" t="s">
        <v>1407</v>
      </c>
      <c r="X19"/>
      <c r="Y19"/>
      <c r="Z19"/>
      <c r="AA19"/>
      <c r="AB19" t="s">
        <v>1405</v>
      </c>
      <c r="AC19"/>
      <c r="AD19"/>
      <c r="AE19"/>
      <c r="AF19"/>
    </row>
    <row r="20" spans="1:32" x14ac:dyDescent="0.3">
      <c r="A20" s="84" t="s">
        <v>1174</v>
      </c>
      <c r="B20" s="84" t="s">
        <v>1174</v>
      </c>
      <c r="C20" s="84"/>
      <c r="D20" s="84">
        <v>1</v>
      </c>
      <c r="E20" s="84"/>
      <c r="F20" s="84"/>
      <c r="G20" s="84"/>
      <c r="H20" s="84"/>
      <c r="I20" s="84" t="s">
        <v>1179</v>
      </c>
      <c r="J20" s="84">
        <v>25</v>
      </c>
      <c r="K20" s="118">
        <v>0</v>
      </c>
      <c r="L20" s="84" t="s">
        <v>304</v>
      </c>
      <c r="M20" s="84" t="s">
        <v>1180</v>
      </c>
      <c r="N20" s="84" t="s">
        <v>839</v>
      </c>
      <c r="O20" s="84"/>
      <c r="P20" s="84"/>
      <c r="Q20" s="84"/>
      <c r="R20" s="84"/>
      <c r="S20" s="84"/>
      <c r="T20" s="84"/>
      <c r="U20" s="84"/>
      <c r="V20" s="84" t="s">
        <v>840</v>
      </c>
      <c r="W20" s="84" t="s">
        <v>1407</v>
      </c>
      <c r="X20" s="84"/>
      <c r="Y20" s="84"/>
      <c r="Z20" s="84"/>
      <c r="AA20" s="84"/>
      <c r="AB20" s="84" t="s">
        <v>1405</v>
      </c>
      <c r="AC20" s="84"/>
      <c r="AD20" s="84"/>
      <c r="AE20" s="84"/>
      <c r="AF20" s="84"/>
    </row>
    <row r="21" spans="1:32" x14ac:dyDescent="0.3">
      <c r="A21" t="s">
        <v>1181</v>
      </c>
      <c r="B21" t="s">
        <v>1181</v>
      </c>
      <c r="C21"/>
      <c r="D21">
        <v>1</v>
      </c>
      <c r="E21"/>
      <c r="F21"/>
      <c r="G21" t="s">
        <v>173</v>
      </c>
      <c r="H21" t="s">
        <v>699</v>
      </c>
      <c r="I21" t="s">
        <v>1186</v>
      </c>
      <c r="J21">
        <v>25</v>
      </c>
      <c r="K21" s="117">
        <v>0</v>
      </c>
      <c r="L21" t="s">
        <v>304</v>
      </c>
      <c r="M21" t="s">
        <v>1187</v>
      </c>
      <c r="N21" t="s">
        <v>839</v>
      </c>
      <c r="O21"/>
      <c r="P21"/>
      <c r="Q21"/>
      <c r="R21"/>
      <c r="S21"/>
      <c r="T21"/>
      <c r="U21"/>
      <c r="V21" t="s">
        <v>841</v>
      </c>
      <c r="W21" t="s">
        <v>1407</v>
      </c>
      <c r="X21"/>
      <c r="Y21"/>
      <c r="Z21"/>
      <c r="AA21"/>
      <c r="AB21" t="s">
        <v>1405</v>
      </c>
      <c r="AC21"/>
      <c r="AD21"/>
      <c r="AE21"/>
      <c r="AF21"/>
    </row>
    <row r="22" spans="1:32" x14ac:dyDescent="0.3">
      <c r="A22" t="s">
        <v>1182</v>
      </c>
      <c r="B22" t="s">
        <v>1182</v>
      </c>
      <c r="C22"/>
      <c r="D22">
        <v>600</v>
      </c>
      <c r="E22"/>
      <c r="F22"/>
      <c r="G22" t="s">
        <v>173</v>
      </c>
      <c r="H22" t="s">
        <v>699</v>
      </c>
      <c r="I22" t="s">
        <v>1188</v>
      </c>
      <c r="J22">
        <v>25</v>
      </c>
      <c r="K22" s="117">
        <v>0</v>
      </c>
      <c r="L22" t="s">
        <v>304</v>
      </c>
      <c r="M22" t="s">
        <v>1189</v>
      </c>
      <c r="N22" t="s">
        <v>839</v>
      </c>
      <c r="O22"/>
      <c r="P22"/>
      <c r="Q22"/>
      <c r="R22"/>
      <c r="S22"/>
      <c r="T22"/>
      <c r="U22"/>
      <c r="V22" t="s">
        <v>841</v>
      </c>
      <c r="W22" t="s">
        <v>1407</v>
      </c>
      <c r="X22"/>
      <c r="Y22"/>
      <c r="Z22"/>
      <c r="AA22"/>
      <c r="AB22" t="s">
        <v>1405</v>
      </c>
      <c r="AC22"/>
      <c r="AD22"/>
      <c r="AE22"/>
      <c r="AF22"/>
    </row>
    <row r="23" spans="1:32" x14ac:dyDescent="0.3">
      <c r="A23" t="s">
        <v>1183</v>
      </c>
      <c r="B23" t="s">
        <v>1183</v>
      </c>
      <c r="C23"/>
      <c r="D23">
        <v>600</v>
      </c>
      <c r="E23"/>
      <c r="F23"/>
      <c r="G23" t="s">
        <v>173</v>
      </c>
      <c r="H23" t="s">
        <v>699</v>
      </c>
      <c r="I23" t="s">
        <v>1190</v>
      </c>
      <c r="J23">
        <v>25</v>
      </c>
      <c r="K23" s="117">
        <v>0</v>
      </c>
      <c r="L23" t="s">
        <v>304</v>
      </c>
      <c r="M23" t="s">
        <v>1191</v>
      </c>
      <c r="N23" t="s">
        <v>839</v>
      </c>
      <c r="O23"/>
      <c r="P23"/>
      <c r="Q23"/>
      <c r="R23"/>
      <c r="S23"/>
      <c r="T23"/>
      <c r="U23"/>
      <c r="V23" t="s">
        <v>841</v>
      </c>
      <c r="W23" t="s">
        <v>1407</v>
      </c>
      <c r="X23"/>
      <c r="Y23"/>
      <c r="Z23"/>
      <c r="AA23"/>
      <c r="AB23" t="s">
        <v>1405</v>
      </c>
      <c r="AC23"/>
      <c r="AD23"/>
      <c r="AE23"/>
      <c r="AF23"/>
    </row>
    <row r="24" spans="1:32" x14ac:dyDescent="0.3">
      <c r="A24" t="s">
        <v>1184</v>
      </c>
      <c r="B24" t="s">
        <v>1184</v>
      </c>
      <c r="C24"/>
      <c r="D24">
        <v>600</v>
      </c>
      <c r="E24"/>
      <c r="F24"/>
      <c r="G24" t="s">
        <v>173</v>
      </c>
      <c r="H24" t="s">
        <v>699</v>
      </c>
      <c r="I24" t="s">
        <v>1192</v>
      </c>
      <c r="J24">
        <v>25</v>
      </c>
      <c r="K24" s="117">
        <v>0</v>
      </c>
      <c r="L24" t="s">
        <v>304</v>
      </c>
      <c r="M24" t="s">
        <v>1193</v>
      </c>
      <c r="N24" t="s">
        <v>839</v>
      </c>
      <c r="O24"/>
      <c r="P24"/>
      <c r="Q24"/>
      <c r="R24"/>
      <c r="S24"/>
      <c r="T24"/>
      <c r="U24"/>
      <c r="V24" t="s">
        <v>841</v>
      </c>
      <c r="W24" t="s">
        <v>1407</v>
      </c>
      <c r="X24"/>
      <c r="Y24"/>
      <c r="Z24"/>
      <c r="AA24"/>
      <c r="AB24" t="s">
        <v>1405</v>
      </c>
      <c r="AC24"/>
      <c r="AD24"/>
      <c r="AE24"/>
      <c r="AF24"/>
    </row>
    <row r="25" spans="1:32" x14ac:dyDescent="0.3">
      <c r="A25" s="84" t="s">
        <v>1185</v>
      </c>
      <c r="B25" s="84" t="s">
        <v>1185</v>
      </c>
      <c r="C25" s="84"/>
      <c r="D25" s="84">
        <v>600</v>
      </c>
      <c r="E25" s="84"/>
      <c r="F25" s="84"/>
      <c r="G25" s="84" t="s">
        <v>173</v>
      </c>
      <c r="H25" s="84" t="s">
        <v>699</v>
      </c>
      <c r="I25" s="84" t="s">
        <v>1194</v>
      </c>
      <c r="J25" s="84">
        <v>25</v>
      </c>
      <c r="K25" s="118">
        <v>0</v>
      </c>
      <c r="L25" s="84" t="s">
        <v>304</v>
      </c>
      <c r="M25" s="84" t="s">
        <v>1195</v>
      </c>
      <c r="N25" s="84" t="s">
        <v>839</v>
      </c>
      <c r="O25" s="84"/>
      <c r="P25" s="84"/>
      <c r="Q25" s="84"/>
      <c r="R25" s="84"/>
      <c r="S25" s="84"/>
      <c r="T25" s="84"/>
      <c r="U25" s="84"/>
      <c r="V25" s="84" t="s">
        <v>841</v>
      </c>
      <c r="W25" s="84" t="s">
        <v>1407</v>
      </c>
      <c r="X25" s="84"/>
      <c r="Y25" s="84"/>
      <c r="Z25" s="84"/>
      <c r="AA25" s="84"/>
      <c r="AB25" s="84" t="s">
        <v>1405</v>
      </c>
      <c r="AC25" s="84"/>
      <c r="AD25" s="84"/>
      <c r="AE25" s="84"/>
      <c r="AF25" s="84"/>
    </row>
    <row r="26" spans="1:32" x14ac:dyDescent="0.3">
      <c r="A26" t="s">
        <v>1196</v>
      </c>
      <c r="B26" t="s">
        <v>1196</v>
      </c>
      <c r="C26"/>
      <c r="D26">
        <v>1</v>
      </c>
      <c r="E26"/>
      <c r="F26"/>
      <c r="G26" t="s">
        <v>173</v>
      </c>
      <c r="H26" t="s">
        <v>699</v>
      </c>
      <c r="I26" t="s">
        <v>1201</v>
      </c>
      <c r="J26">
        <v>25</v>
      </c>
      <c r="K26" s="117">
        <v>0</v>
      </c>
      <c r="L26" t="s">
        <v>304</v>
      </c>
      <c r="M26" t="s">
        <v>1202</v>
      </c>
      <c r="N26" t="s">
        <v>839</v>
      </c>
      <c r="O26"/>
      <c r="P26"/>
      <c r="Q26"/>
      <c r="R26"/>
      <c r="S26"/>
      <c r="T26"/>
      <c r="U26"/>
      <c r="V26" t="s">
        <v>841</v>
      </c>
      <c r="W26" t="s">
        <v>1407</v>
      </c>
      <c r="X26"/>
      <c r="Y26"/>
      <c r="Z26"/>
      <c r="AA26"/>
      <c r="AB26" t="s">
        <v>1405</v>
      </c>
      <c r="AC26"/>
      <c r="AD26"/>
      <c r="AE26"/>
      <c r="AF26"/>
    </row>
    <row r="27" spans="1:32" x14ac:dyDescent="0.3">
      <c r="A27" t="s">
        <v>1197</v>
      </c>
      <c r="B27" t="s">
        <v>1197</v>
      </c>
      <c r="C27"/>
      <c r="D27">
        <v>600</v>
      </c>
      <c r="E27"/>
      <c r="F27"/>
      <c r="G27" t="s">
        <v>173</v>
      </c>
      <c r="H27" t="s">
        <v>699</v>
      </c>
      <c r="I27" t="s">
        <v>1203</v>
      </c>
      <c r="J27">
        <v>25</v>
      </c>
      <c r="K27" s="117">
        <v>0</v>
      </c>
      <c r="L27" t="s">
        <v>304</v>
      </c>
      <c r="M27" t="s">
        <v>1204</v>
      </c>
      <c r="N27" t="s">
        <v>839</v>
      </c>
      <c r="O27"/>
      <c r="P27"/>
      <c r="Q27"/>
      <c r="R27"/>
      <c r="S27"/>
      <c r="T27"/>
      <c r="U27"/>
      <c r="V27" t="s">
        <v>841</v>
      </c>
      <c r="W27" t="s">
        <v>1407</v>
      </c>
      <c r="X27"/>
      <c r="Y27"/>
      <c r="Z27"/>
      <c r="AA27"/>
      <c r="AB27" t="s">
        <v>1405</v>
      </c>
      <c r="AC27"/>
      <c r="AD27"/>
      <c r="AE27"/>
      <c r="AF27"/>
    </row>
    <row r="28" spans="1:32" x14ac:dyDescent="0.3">
      <c r="A28" t="s">
        <v>1198</v>
      </c>
      <c r="B28" t="s">
        <v>1198</v>
      </c>
      <c r="C28"/>
      <c r="D28">
        <v>600</v>
      </c>
      <c r="E28"/>
      <c r="F28"/>
      <c r="G28" t="s">
        <v>173</v>
      </c>
      <c r="H28" t="s">
        <v>699</v>
      </c>
      <c r="I28" t="s">
        <v>1205</v>
      </c>
      <c r="J28">
        <v>25</v>
      </c>
      <c r="K28" s="117">
        <v>0</v>
      </c>
      <c r="L28" t="s">
        <v>304</v>
      </c>
      <c r="M28" t="s">
        <v>1206</v>
      </c>
      <c r="N28" t="s">
        <v>839</v>
      </c>
      <c r="O28"/>
      <c r="P28"/>
      <c r="Q28"/>
      <c r="R28"/>
      <c r="S28"/>
      <c r="T28"/>
      <c r="U28"/>
      <c r="V28" t="s">
        <v>841</v>
      </c>
      <c r="W28" t="s">
        <v>1407</v>
      </c>
      <c r="X28"/>
      <c r="Y28"/>
      <c r="Z28"/>
      <c r="AA28"/>
      <c r="AB28" t="s">
        <v>1405</v>
      </c>
      <c r="AC28"/>
      <c r="AD28"/>
      <c r="AE28"/>
      <c r="AF28"/>
    </row>
    <row r="29" spans="1:32" x14ac:dyDescent="0.3">
      <c r="A29" t="s">
        <v>1199</v>
      </c>
      <c r="B29" t="s">
        <v>1199</v>
      </c>
      <c r="C29"/>
      <c r="D29">
        <v>600</v>
      </c>
      <c r="E29"/>
      <c r="F29"/>
      <c r="G29" t="s">
        <v>173</v>
      </c>
      <c r="H29" t="s">
        <v>699</v>
      </c>
      <c r="I29" t="s">
        <v>1207</v>
      </c>
      <c r="J29">
        <v>25</v>
      </c>
      <c r="K29" s="117">
        <v>0</v>
      </c>
      <c r="L29" t="s">
        <v>304</v>
      </c>
      <c r="M29" t="s">
        <v>1208</v>
      </c>
      <c r="N29" t="s">
        <v>839</v>
      </c>
      <c r="O29"/>
      <c r="P29"/>
      <c r="Q29"/>
      <c r="R29"/>
      <c r="S29"/>
      <c r="T29"/>
      <c r="U29"/>
      <c r="V29" t="s">
        <v>841</v>
      </c>
      <c r="W29" t="s">
        <v>1407</v>
      </c>
      <c r="X29"/>
      <c r="Y29"/>
      <c r="Z29"/>
      <c r="AA29"/>
      <c r="AB29" t="s">
        <v>1405</v>
      </c>
      <c r="AC29"/>
      <c r="AD29"/>
      <c r="AE29"/>
      <c r="AF29"/>
    </row>
    <row r="30" spans="1:32" x14ac:dyDescent="0.3">
      <c r="A30" s="84" t="s">
        <v>1200</v>
      </c>
      <c r="B30" s="84" t="s">
        <v>1200</v>
      </c>
      <c r="C30" s="84"/>
      <c r="D30" s="84">
        <v>600</v>
      </c>
      <c r="E30" s="84"/>
      <c r="F30" s="84"/>
      <c r="G30" s="84" t="s">
        <v>173</v>
      </c>
      <c r="H30" s="84" t="s">
        <v>699</v>
      </c>
      <c r="I30" s="84" t="s">
        <v>1209</v>
      </c>
      <c r="J30" s="84">
        <v>25</v>
      </c>
      <c r="K30" s="118">
        <v>0</v>
      </c>
      <c r="L30" s="84" t="s">
        <v>304</v>
      </c>
      <c r="M30" s="84" t="s">
        <v>1210</v>
      </c>
      <c r="N30" s="84" t="s">
        <v>839</v>
      </c>
      <c r="O30" s="84"/>
      <c r="P30" s="84"/>
      <c r="Q30" s="84"/>
      <c r="R30" s="84"/>
      <c r="S30" s="84"/>
      <c r="T30" s="84"/>
      <c r="U30" s="84"/>
      <c r="V30" s="84" t="s">
        <v>841</v>
      </c>
      <c r="W30" s="84" t="s">
        <v>1407</v>
      </c>
      <c r="X30" s="84"/>
      <c r="Y30" s="84"/>
      <c r="Z30" s="84"/>
      <c r="AA30" s="84"/>
      <c r="AB30" s="84" t="s">
        <v>1405</v>
      </c>
      <c r="AC30" s="84"/>
      <c r="AD30" s="84"/>
      <c r="AE30" s="84"/>
      <c r="AF30" s="84"/>
    </row>
    <row r="31" spans="1:32" x14ac:dyDescent="0.3">
      <c r="A31" t="s">
        <v>1211</v>
      </c>
      <c r="B31" t="s">
        <v>1211</v>
      </c>
      <c r="C31"/>
      <c r="D31">
        <v>1</v>
      </c>
      <c r="E31"/>
      <c r="F31"/>
      <c r="G31" t="s">
        <v>504</v>
      </c>
      <c r="H31" t="s">
        <v>310</v>
      </c>
      <c r="I31" t="s">
        <v>1216</v>
      </c>
      <c r="J31">
        <v>25</v>
      </c>
      <c r="K31" s="117">
        <v>0</v>
      </c>
      <c r="L31" t="s">
        <v>304</v>
      </c>
      <c r="M31" t="s">
        <v>1217</v>
      </c>
      <c r="N31" t="s">
        <v>839</v>
      </c>
      <c r="O31"/>
      <c r="P31"/>
      <c r="Q31"/>
      <c r="R31"/>
      <c r="S31"/>
      <c r="T31"/>
      <c r="U31"/>
      <c r="V31" t="s">
        <v>841</v>
      </c>
      <c r="W31" t="s">
        <v>1407</v>
      </c>
      <c r="X31"/>
      <c r="Y31"/>
      <c r="Z31"/>
      <c r="AA31"/>
      <c r="AB31" t="s">
        <v>1405</v>
      </c>
      <c r="AC31"/>
      <c r="AD31"/>
      <c r="AE31"/>
      <c r="AF31"/>
    </row>
    <row r="32" spans="1:32" x14ac:dyDescent="0.3">
      <c r="A32" t="s">
        <v>1212</v>
      </c>
      <c r="B32" t="s">
        <v>1212</v>
      </c>
      <c r="C32"/>
      <c r="D32">
        <v>600</v>
      </c>
      <c r="E32"/>
      <c r="F32"/>
      <c r="G32" t="s">
        <v>504</v>
      </c>
      <c r="H32" t="s">
        <v>310</v>
      </c>
      <c r="I32" t="s">
        <v>1218</v>
      </c>
      <c r="J32">
        <v>25</v>
      </c>
      <c r="K32" s="117">
        <v>0</v>
      </c>
      <c r="L32" t="s">
        <v>304</v>
      </c>
      <c r="M32" t="s">
        <v>1219</v>
      </c>
      <c r="N32" t="s">
        <v>839</v>
      </c>
      <c r="O32"/>
      <c r="P32"/>
      <c r="Q32"/>
      <c r="R32"/>
      <c r="S32"/>
      <c r="T32"/>
      <c r="U32"/>
      <c r="V32" t="s">
        <v>841</v>
      </c>
      <c r="W32" t="s">
        <v>1407</v>
      </c>
      <c r="X32"/>
      <c r="Y32"/>
      <c r="Z32"/>
      <c r="AA32"/>
      <c r="AB32" t="s">
        <v>1405</v>
      </c>
      <c r="AC32"/>
      <c r="AD32"/>
      <c r="AE32"/>
      <c r="AF32"/>
    </row>
    <row r="33" spans="1:32" x14ac:dyDescent="0.3">
      <c r="A33" t="s">
        <v>1213</v>
      </c>
      <c r="B33" t="s">
        <v>1213</v>
      </c>
      <c r="C33"/>
      <c r="D33">
        <v>600</v>
      </c>
      <c r="E33"/>
      <c r="F33"/>
      <c r="G33" t="s">
        <v>504</v>
      </c>
      <c r="H33" t="s">
        <v>310</v>
      </c>
      <c r="I33" t="s">
        <v>1220</v>
      </c>
      <c r="J33">
        <v>25</v>
      </c>
      <c r="K33" s="117">
        <v>0</v>
      </c>
      <c r="L33" t="s">
        <v>304</v>
      </c>
      <c r="M33" t="s">
        <v>1221</v>
      </c>
      <c r="N33" t="s">
        <v>839</v>
      </c>
      <c r="O33"/>
      <c r="P33"/>
      <c r="Q33"/>
      <c r="R33"/>
      <c r="S33"/>
      <c r="T33"/>
      <c r="U33"/>
      <c r="V33" t="s">
        <v>841</v>
      </c>
      <c r="W33" t="s">
        <v>1407</v>
      </c>
      <c r="X33"/>
      <c r="Y33"/>
      <c r="Z33"/>
      <c r="AA33"/>
      <c r="AB33" t="s">
        <v>1405</v>
      </c>
      <c r="AC33"/>
      <c r="AD33"/>
      <c r="AE33"/>
      <c r="AF33"/>
    </row>
    <row r="34" spans="1:32" x14ac:dyDescent="0.3">
      <c r="A34" t="s">
        <v>1214</v>
      </c>
      <c r="B34" t="s">
        <v>1214</v>
      </c>
      <c r="C34"/>
      <c r="D34">
        <v>600</v>
      </c>
      <c r="E34"/>
      <c r="F34"/>
      <c r="G34" t="s">
        <v>504</v>
      </c>
      <c r="H34" t="s">
        <v>310</v>
      </c>
      <c r="I34" t="s">
        <v>1222</v>
      </c>
      <c r="J34">
        <v>25</v>
      </c>
      <c r="K34" s="117">
        <v>0</v>
      </c>
      <c r="L34" t="s">
        <v>304</v>
      </c>
      <c r="M34" t="s">
        <v>1223</v>
      </c>
      <c r="N34" t="s">
        <v>839</v>
      </c>
      <c r="O34"/>
      <c r="P34"/>
      <c r="Q34"/>
      <c r="R34"/>
      <c r="S34"/>
      <c r="T34"/>
      <c r="U34"/>
      <c r="V34" t="s">
        <v>841</v>
      </c>
      <c r="W34" t="s">
        <v>1407</v>
      </c>
      <c r="X34"/>
      <c r="Y34"/>
      <c r="Z34"/>
      <c r="AA34"/>
      <c r="AB34" t="s">
        <v>1405</v>
      </c>
      <c r="AC34"/>
      <c r="AD34"/>
      <c r="AE34"/>
      <c r="AF34"/>
    </row>
    <row r="35" spans="1:32" x14ac:dyDescent="0.3">
      <c r="A35" s="84" t="s">
        <v>1215</v>
      </c>
      <c r="B35" s="84" t="s">
        <v>1215</v>
      </c>
      <c r="C35" s="84"/>
      <c r="D35" s="84">
        <v>600</v>
      </c>
      <c r="E35" s="84"/>
      <c r="F35" s="84"/>
      <c r="G35" s="84" t="s">
        <v>504</v>
      </c>
      <c r="H35" s="84" t="s">
        <v>310</v>
      </c>
      <c r="I35" s="84" t="s">
        <v>1224</v>
      </c>
      <c r="J35" s="84">
        <v>25</v>
      </c>
      <c r="K35" s="118">
        <v>0</v>
      </c>
      <c r="L35" s="84" t="s">
        <v>304</v>
      </c>
      <c r="M35" s="84" t="s">
        <v>1225</v>
      </c>
      <c r="N35" s="84" t="s">
        <v>839</v>
      </c>
      <c r="O35" s="84"/>
      <c r="P35" s="84"/>
      <c r="Q35" s="84"/>
      <c r="R35" s="84"/>
      <c r="S35" s="84"/>
      <c r="T35" s="84"/>
      <c r="U35" s="84"/>
      <c r="V35" s="84" t="s">
        <v>841</v>
      </c>
      <c r="W35" s="84" t="s">
        <v>1407</v>
      </c>
      <c r="X35" s="84"/>
      <c r="Y35" s="84"/>
      <c r="Z35" s="84"/>
      <c r="AA35" s="84"/>
      <c r="AB35" s="84" t="s">
        <v>1405</v>
      </c>
      <c r="AC35" s="84"/>
      <c r="AD35" s="84"/>
      <c r="AE35" s="84"/>
      <c r="AF35" s="84"/>
    </row>
    <row r="36" spans="1:32" x14ac:dyDescent="0.3">
      <c r="A36" t="s">
        <v>1226</v>
      </c>
      <c r="B36" t="s">
        <v>1226</v>
      </c>
      <c r="C36"/>
      <c r="D36">
        <v>1</v>
      </c>
      <c r="E36"/>
      <c r="F36"/>
      <c r="G36" t="s">
        <v>313</v>
      </c>
      <c r="H36" t="s">
        <v>692</v>
      </c>
      <c r="I36" t="s">
        <v>1231</v>
      </c>
      <c r="J36">
        <v>25</v>
      </c>
      <c r="K36" s="117">
        <v>0</v>
      </c>
      <c r="L36" t="s">
        <v>304</v>
      </c>
      <c r="M36" t="s">
        <v>1232</v>
      </c>
      <c r="N36" t="s">
        <v>839</v>
      </c>
      <c r="O36"/>
      <c r="P36"/>
      <c r="Q36"/>
      <c r="R36"/>
      <c r="S36"/>
      <c r="T36"/>
      <c r="U36"/>
      <c r="V36" t="s">
        <v>841</v>
      </c>
      <c r="W36" t="s">
        <v>1407</v>
      </c>
      <c r="X36"/>
      <c r="Y36"/>
      <c r="Z36"/>
      <c r="AA36"/>
      <c r="AB36" t="s">
        <v>1405</v>
      </c>
      <c r="AC36"/>
      <c r="AD36"/>
      <c r="AE36"/>
      <c r="AF36"/>
    </row>
    <row r="37" spans="1:32" x14ac:dyDescent="0.3">
      <c r="A37" t="s">
        <v>1227</v>
      </c>
      <c r="B37" t="s">
        <v>1227</v>
      </c>
      <c r="C37"/>
      <c r="D37">
        <v>600</v>
      </c>
      <c r="E37"/>
      <c r="F37"/>
      <c r="G37" t="s">
        <v>313</v>
      </c>
      <c r="H37" t="s">
        <v>692</v>
      </c>
      <c r="I37" t="s">
        <v>1233</v>
      </c>
      <c r="J37">
        <v>25</v>
      </c>
      <c r="K37" s="117">
        <v>0</v>
      </c>
      <c r="L37" t="s">
        <v>304</v>
      </c>
      <c r="M37" t="s">
        <v>1234</v>
      </c>
      <c r="N37" t="s">
        <v>839</v>
      </c>
      <c r="O37"/>
      <c r="P37"/>
      <c r="Q37"/>
      <c r="R37"/>
      <c r="S37"/>
      <c r="T37"/>
      <c r="U37"/>
      <c r="V37" t="s">
        <v>841</v>
      </c>
      <c r="W37" t="s">
        <v>1407</v>
      </c>
      <c r="X37"/>
      <c r="Y37"/>
      <c r="Z37"/>
      <c r="AA37"/>
      <c r="AB37" t="s">
        <v>1405</v>
      </c>
      <c r="AC37"/>
      <c r="AD37"/>
      <c r="AE37"/>
      <c r="AF37"/>
    </row>
    <row r="38" spans="1:32" x14ac:dyDescent="0.3">
      <c r="A38" t="s">
        <v>1228</v>
      </c>
      <c r="B38" t="s">
        <v>1228</v>
      </c>
      <c r="C38"/>
      <c r="D38">
        <v>600</v>
      </c>
      <c r="E38"/>
      <c r="F38"/>
      <c r="G38" t="s">
        <v>313</v>
      </c>
      <c r="H38" t="s">
        <v>692</v>
      </c>
      <c r="I38" t="s">
        <v>1235</v>
      </c>
      <c r="J38">
        <v>25</v>
      </c>
      <c r="K38" s="117">
        <v>0</v>
      </c>
      <c r="L38" t="s">
        <v>304</v>
      </c>
      <c r="M38" t="s">
        <v>1236</v>
      </c>
      <c r="N38" t="s">
        <v>839</v>
      </c>
      <c r="O38"/>
      <c r="P38"/>
      <c r="Q38"/>
      <c r="R38"/>
      <c r="S38"/>
      <c r="T38"/>
      <c r="U38"/>
      <c r="V38" t="s">
        <v>841</v>
      </c>
      <c r="W38" t="s">
        <v>1407</v>
      </c>
      <c r="X38"/>
      <c r="Y38"/>
      <c r="Z38"/>
      <c r="AA38"/>
      <c r="AB38" t="s">
        <v>1405</v>
      </c>
      <c r="AC38"/>
      <c r="AD38"/>
      <c r="AE38"/>
      <c r="AF38"/>
    </row>
    <row r="39" spans="1:32" x14ac:dyDescent="0.3">
      <c r="A39" t="s">
        <v>1229</v>
      </c>
      <c r="B39" t="s">
        <v>1229</v>
      </c>
      <c r="C39"/>
      <c r="D39">
        <v>600</v>
      </c>
      <c r="E39"/>
      <c r="F39"/>
      <c r="G39" t="s">
        <v>313</v>
      </c>
      <c r="H39" t="s">
        <v>692</v>
      </c>
      <c r="I39" t="s">
        <v>1237</v>
      </c>
      <c r="J39">
        <v>25</v>
      </c>
      <c r="K39" s="117">
        <v>0</v>
      </c>
      <c r="L39" t="s">
        <v>304</v>
      </c>
      <c r="M39" t="s">
        <v>1238</v>
      </c>
      <c r="N39" t="s">
        <v>839</v>
      </c>
      <c r="O39"/>
      <c r="P39"/>
      <c r="Q39"/>
      <c r="R39"/>
      <c r="S39"/>
      <c r="T39"/>
      <c r="U39"/>
      <c r="V39" t="s">
        <v>841</v>
      </c>
      <c r="W39" t="s">
        <v>1407</v>
      </c>
      <c r="X39"/>
      <c r="Y39"/>
      <c r="Z39"/>
      <c r="AA39"/>
      <c r="AB39" t="s">
        <v>1405</v>
      </c>
      <c r="AC39"/>
      <c r="AD39"/>
      <c r="AE39"/>
      <c r="AF39"/>
    </row>
    <row r="40" spans="1:32" x14ac:dyDescent="0.3">
      <c r="A40" s="84" t="s">
        <v>1230</v>
      </c>
      <c r="B40" s="84" t="s">
        <v>1230</v>
      </c>
      <c r="C40" s="84"/>
      <c r="D40" s="84">
        <v>600</v>
      </c>
      <c r="E40" s="84"/>
      <c r="F40" s="84"/>
      <c r="G40" s="84" t="s">
        <v>313</v>
      </c>
      <c r="H40" s="84" t="s">
        <v>692</v>
      </c>
      <c r="I40" s="84" t="s">
        <v>1239</v>
      </c>
      <c r="J40" s="84">
        <v>25</v>
      </c>
      <c r="K40" s="118">
        <v>0</v>
      </c>
      <c r="L40" s="84" t="s">
        <v>304</v>
      </c>
      <c r="M40" s="84" t="s">
        <v>1240</v>
      </c>
      <c r="N40" s="84" t="s">
        <v>839</v>
      </c>
      <c r="O40" s="84"/>
      <c r="P40" s="84"/>
      <c r="Q40" s="84"/>
      <c r="R40" s="84"/>
      <c r="S40" s="84"/>
      <c r="T40" s="84"/>
      <c r="U40" s="84"/>
      <c r="V40" s="84" t="s">
        <v>841</v>
      </c>
      <c r="W40" s="84" t="s">
        <v>1407</v>
      </c>
      <c r="X40" s="84"/>
      <c r="Y40" s="84"/>
      <c r="Z40" s="84"/>
      <c r="AA40" s="84"/>
      <c r="AB40" s="84" t="s">
        <v>1405</v>
      </c>
      <c r="AC40" s="84"/>
      <c r="AD40" s="84"/>
      <c r="AE40" s="84"/>
      <c r="AF40" s="84"/>
    </row>
    <row r="41" spans="1:32" x14ac:dyDescent="0.3">
      <c r="A41" t="s">
        <v>1241</v>
      </c>
      <c r="B41" t="s">
        <v>1241</v>
      </c>
      <c r="C41"/>
      <c r="D41">
        <v>1</v>
      </c>
      <c r="E41"/>
      <c r="F41"/>
      <c r="G41" t="s">
        <v>313</v>
      </c>
      <c r="H41" t="s">
        <v>692</v>
      </c>
      <c r="I41" t="s">
        <v>1246</v>
      </c>
      <c r="J41">
        <v>25</v>
      </c>
      <c r="K41" s="117">
        <v>0</v>
      </c>
      <c r="L41" t="s">
        <v>304</v>
      </c>
      <c r="M41" t="s">
        <v>1247</v>
      </c>
      <c r="N41" t="s">
        <v>839</v>
      </c>
      <c r="O41"/>
      <c r="P41"/>
      <c r="Q41"/>
      <c r="R41"/>
      <c r="S41"/>
      <c r="T41"/>
      <c r="U41"/>
      <c r="V41" t="s">
        <v>841</v>
      </c>
      <c r="W41" t="s">
        <v>1407</v>
      </c>
      <c r="X41"/>
      <c r="Y41"/>
      <c r="Z41"/>
      <c r="AA41"/>
      <c r="AB41" t="s">
        <v>1405</v>
      </c>
      <c r="AC41"/>
      <c r="AD41"/>
      <c r="AE41"/>
      <c r="AF41"/>
    </row>
    <row r="42" spans="1:32" x14ac:dyDescent="0.3">
      <c r="A42" t="s">
        <v>1242</v>
      </c>
      <c r="B42" t="s">
        <v>1242</v>
      </c>
      <c r="C42"/>
      <c r="D42">
        <v>600</v>
      </c>
      <c r="E42"/>
      <c r="F42"/>
      <c r="G42" t="s">
        <v>313</v>
      </c>
      <c r="H42" t="s">
        <v>692</v>
      </c>
      <c r="I42" t="s">
        <v>1248</v>
      </c>
      <c r="J42">
        <v>25</v>
      </c>
      <c r="K42" s="117">
        <v>0</v>
      </c>
      <c r="L42" t="s">
        <v>304</v>
      </c>
      <c r="M42" t="s">
        <v>1249</v>
      </c>
      <c r="N42" t="s">
        <v>839</v>
      </c>
      <c r="O42"/>
      <c r="P42"/>
      <c r="Q42"/>
      <c r="R42"/>
      <c r="S42"/>
      <c r="T42"/>
      <c r="U42"/>
      <c r="V42" t="s">
        <v>841</v>
      </c>
      <c r="W42" t="s">
        <v>1407</v>
      </c>
      <c r="X42"/>
      <c r="Y42"/>
      <c r="Z42"/>
      <c r="AA42"/>
      <c r="AB42" t="s">
        <v>1405</v>
      </c>
      <c r="AC42"/>
      <c r="AD42"/>
      <c r="AE42"/>
      <c r="AF42"/>
    </row>
    <row r="43" spans="1:32" x14ac:dyDescent="0.3">
      <c r="A43" t="s">
        <v>1243</v>
      </c>
      <c r="B43" t="s">
        <v>1243</v>
      </c>
      <c r="C43"/>
      <c r="D43">
        <v>600</v>
      </c>
      <c r="E43"/>
      <c r="F43"/>
      <c r="G43" t="s">
        <v>313</v>
      </c>
      <c r="H43" t="s">
        <v>692</v>
      </c>
      <c r="I43" t="s">
        <v>1250</v>
      </c>
      <c r="J43">
        <v>25</v>
      </c>
      <c r="K43" s="117">
        <v>0</v>
      </c>
      <c r="L43" t="s">
        <v>304</v>
      </c>
      <c r="M43" t="s">
        <v>1251</v>
      </c>
      <c r="N43" t="s">
        <v>839</v>
      </c>
      <c r="O43"/>
      <c r="P43"/>
      <c r="Q43"/>
      <c r="R43"/>
      <c r="S43"/>
      <c r="T43"/>
      <c r="U43"/>
      <c r="V43" t="s">
        <v>841</v>
      </c>
      <c r="W43" t="s">
        <v>1407</v>
      </c>
      <c r="X43"/>
      <c r="Y43"/>
      <c r="Z43"/>
      <c r="AA43"/>
      <c r="AB43" t="s">
        <v>1405</v>
      </c>
      <c r="AC43"/>
      <c r="AD43"/>
      <c r="AE43"/>
      <c r="AF43"/>
    </row>
    <row r="44" spans="1:32" x14ac:dyDescent="0.3">
      <c r="A44" t="s">
        <v>1244</v>
      </c>
      <c r="B44" t="s">
        <v>1244</v>
      </c>
      <c r="C44"/>
      <c r="D44">
        <v>600</v>
      </c>
      <c r="E44"/>
      <c r="F44"/>
      <c r="G44" t="s">
        <v>313</v>
      </c>
      <c r="H44" t="s">
        <v>692</v>
      </c>
      <c r="I44" t="s">
        <v>1252</v>
      </c>
      <c r="J44">
        <v>25</v>
      </c>
      <c r="K44" s="117">
        <v>0</v>
      </c>
      <c r="L44" t="s">
        <v>304</v>
      </c>
      <c r="M44" t="s">
        <v>1253</v>
      </c>
      <c r="N44" t="s">
        <v>839</v>
      </c>
      <c r="O44"/>
      <c r="P44"/>
      <c r="Q44"/>
      <c r="R44"/>
      <c r="S44"/>
      <c r="T44"/>
      <c r="U44"/>
      <c r="V44" t="s">
        <v>841</v>
      </c>
      <c r="W44" t="s">
        <v>1407</v>
      </c>
      <c r="X44"/>
      <c r="Y44"/>
      <c r="Z44"/>
      <c r="AA44"/>
      <c r="AB44" t="s">
        <v>1405</v>
      </c>
      <c r="AC44"/>
      <c r="AD44"/>
      <c r="AE44"/>
      <c r="AF44"/>
    </row>
    <row r="45" spans="1:32" x14ac:dyDescent="0.3">
      <c r="A45" s="84" t="s">
        <v>1245</v>
      </c>
      <c r="B45" s="84" t="s">
        <v>1245</v>
      </c>
      <c r="C45" s="84"/>
      <c r="D45" s="84">
        <v>600</v>
      </c>
      <c r="E45" s="84"/>
      <c r="F45" s="84"/>
      <c r="G45" s="84" t="s">
        <v>313</v>
      </c>
      <c r="H45" s="84" t="s">
        <v>692</v>
      </c>
      <c r="I45" s="84" t="s">
        <v>1254</v>
      </c>
      <c r="J45" s="84">
        <v>25</v>
      </c>
      <c r="K45" s="118">
        <v>0</v>
      </c>
      <c r="L45" s="84" t="s">
        <v>304</v>
      </c>
      <c r="M45" s="84" t="s">
        <v>1255</v>
      </c>
      <c r="N45" s="84" t="s">
        <v>839</v>
      </c>
      <c r="O45" s="84"/>
      <c r="P45" s="84"/>
      <c r="Q45" s="84"/>
      <c r="R45" s="84"/>
      <c r="S45" s="84"/>
      <c r="T45" s="84"/>
      <c r="U45" s="84"/>
      <c r="V45" s="84" t="s">
        <v>841</v>
      </c>
      <c r="W45" s="84" t="s">
        <v>1407</v>
      </c>
      <c r="X45" s="84"/>
      <c r="Y45" s="84"/>
      <c r="Z45" s="84"/>
      <c r="AA45" s="84"/>
      <c r="AB45" s="84" t="s">
        <v>1405</v>
      </c>
      <c r="AC45" s="84"/>
      <c r="AD45" s="84"/>
      <c r="AE45" s="84"/>
      <c r="AF45" s="84"/>
    </row>
    <row r="46" spans="1:32" x14ac:dyDescent="0.3">
      <c r="A46" t="s">
        <v>1256</v>
      </c>
      <c r="B46" t="s">
        <v>1256</v>
      </c>
      <c r="C46"/>
      <c r="D46">
        <v>1</v>
      </c>
      <c r="E46"/>
      <c r="F46"/>
      <c r="G46" t="s">
        <v>313</v>
      </c>
      <c r="H46" t="s">
        <v>692</v>
      </c>
      <c r="I46" t="s">
        <v>1261</v>
      </c>
      <c r="J46">
        <v>25</v>
      </c>
      <c r="K46" s="117">
        <v>0</v>
      </c>
      <c r="L46" t="s">
        <v>304</v>
      </c>
      <c r="M46" t="s">
        <v>1262</v>
      </c>
      <c r="N46" t="s">
        <v>839</v>
      </c>
      <c r="O46"/>
      <c r="P46"/>
      <c r="Q46"/>
      <c r="R46"/>
      <c r="S46"/>
      <c r="T46"/>
      <c r="U46"/>
      <c r="V46" t="s">
        <v>841</v>
      </c>
      <c r="W46" t="s">
        <v>1407</v>
      </c>
      <c r="X46"/>
      <c r="Y46"/>
      <c r="Z46"/>
      <c r="AA46"/>
      <c r="AB46" t="s">
        <v>1405</v>
      </c>
      <c r="AC46"/>
      <c r="AD46"/>
      <c r="AE46"/>
      <c r="AF46"/>
    </row>
    <row r="47" spans="1:32" x14ac:dyDescent="0.3">
      <c r="A47" t="s">
        <v>1257</v>
      </c>
      <c r="B47" t="s">
        <v>1257</v>
      </c>
      <c r="C47"/>
      <c r="D47">
        <v>600</v>
      </c>
      <c r="E47"/>
      <c r="F47"/>
      <c r="G47" t="s">
        <v>313</v>
      </c>
      <c r="H47" t="s">
        <v>692</v>
      </c>
      <c r="I47" t="s">
        <v>1263</v>
      </c>
      <c r="J47">
        <v>25</v>
      </c>
      <c r="K47" s="117">
        <v>0</v>
      </c>
      <c r="L47" t="s">
        <v>304</v>
      </c>
      <c r="M47" t="s">
        <v>1264</v>
      </c>
      <c r="N47" t="s">
        <v>839</v>
      </c>
      <c r="O47"/>
      <c r="P47"/>
      <c r="Q47"/>
      <c r="R47"/>
      <c r="S47"/>
      <c r="T47"/>
      <c r="U47"/>
      <c r="V47" t="s">
        <v>841</v>
      </c>
      <c r="W47" t="s">
        <v>1407</v>
      </c>
      <c r="X47"/>
      <c r="Y47"/>
      <c r="Z47"/>
      <c r="AA47"/>
      <c r="AB47" t="s">
        <v>1405</v>
      </c>
      <c r="AC47"/>
      <c r="AD47"/>
      <c r="AE47"/>
      <c r="AF47"/>
    </row>
    <row r="48" spans="1:32" x14ac:dyDescent="0.3">
      <c r="A48" t="s">
        <v>1258</v>
      </c>
      <c r="B48" t="s">
        <v>1258</v>
      </c>
      <c r="C48"/>
      <c r="D48">
        <v>600</v>
      </c>
      <c r="E48"/>
      <c r="F48"/>
      <c r="G48" t="s">
        <v>313</v>
      </c>
      <c r="H48" t="s">
        <v>692</v>
      </c>
      <c r="I48" t="s">
        <v>1265</v>
      </c>
      <c r="J48">
        <v>25</v>
      </c>
      <c r="K48" s="117">
        <v>0</v>
      </c>
      <c r="L48" t="s">
        <v>304</v>
      </c>
      <c r="M48" t="s">
        <v>1266</v>
      </c>
      <c r="N48" t="s">
        <v>839</v>
      </c>
      <c r="O48"/>
      <c r="P48"/>
      <c r="Q48"/>
      <c r="R48"/>
      <c r="S48"/>
      <c r="T48"/>
      <c r="U48"/>
      <c r="V48" t="s">
        <v>841</v>
      </c>
      <c r="W48" t="s">
        <v>1407</v>
      </c>
      <c r="X48"/>
      <c r="Y48"/>
      <c r="Z48"/>
      <c r="AA48"/>
      <c r="AB48" t="s">
        <v>1405</v>
      </c>
      <c r="AC48"/>
      <c r="AD48"/>
      <c r="AE48"/>
      <c r="AF48"/>
    </row>
    <row r="49" spans="1:32" x14ac:dyDescent="0.3">
      <c r="A49" t="s">
        <v>1259</v>
      </c>
      <c r="B49" t="s">
        <v>1259</v>
      </c>
      <c r="C49"/>
      <c r="D49">
        <v>600</v>
      </c>
      <c r="E49"/>
      <c r="F49"/>
      <c r="G49" t="s">
        <v>313</v>
      </c>
      <c r="H49" t="s">
        <v>692</v>
      </c>
      <c r="I49" t="s">
        <v>1267</v>
      </c>
      <c r="J49">
        <v>25</v>
      </c>
      <c r="K49" s="117">
        <v>0</v>
      </c>
      <c r="L49" t="s">
        <v>304</v>
      </c>
      <c r="M49" t="s">
        <v>1268</v>
      </c>
      <c r="N49" t="s">
        <v>839</v>
      </c>
      <c r="O49"/>
      <c r="P49"/>
      <c r="Q49"/>
      <c r="R49"/>
      <c r="S49"/>
      <c r="T49"/>
      <c r="U49"/>
      <c r="V49" t="s">
        <v>841</v>
      </c>
      <c r="W49" t="s">
        <v>1407</v>
      </c>
      <c r="X49"/>
      <c r="Y49"/>
      <c r="Z49"/>
      <c r="AA49"/>
      <c r="AB49" t="s">
        <v>1405</v>
      </c>
      <c r="AC49"/>
      <c r="AD49"/>
      <c r="AE49"/>
      <c r="AF49"/>
    </row>
    <row r="50" spans="1:32" x14ac:dyDescent="0.3">
      <c r="A50" s="84" t="s">
        <v>1260</v>
      </c>
      <c r="B50" s="84" t="s">
        <v>1260</v>
      </c>
      <c r="C50" s="84"/>
      <c r="D50" s="84">
        <v>600</v>
      </c>
      <c r="E50" s="84"/>
      <c r="F50" s="84"/>
      <c r="G50" s="84" t="s">
        <v>313</v>
      </c>
      <c r="H50" s="84" t="s">
        <v>692</v>
      </c>
      <c r="I50" s="84" t="s">
        <v>1269</v>
      </c>
      <c r="J50" s="84">
        <v>25</v>
      </c>
      <c r="K50" s="118">
        <v>0</v>
      </c>
      <c r="L50" s="84" t="s">
        <v>304</v>
      </c>
      <c r="M50" s="84" t="s">
        <v>1270</v>
      </c>
      <c r="N50" s="84" t="s">
        <v>839</v>
      </c>
      <c r="O50" s="84"/>
      <c r="P50" s="84"/>
      <c r="Q50" s="84"/>
      <c r="R50" s="84"/>
      <c r="S50" s="84"/>
      <c r="T50" s="84"/>
      <c r="U50" s="84"/>
      <c r="V50" s="84" t="s">
        <v>841</v>
      </c>
      <c r="W50" s="84" t="s">
        <v>1407</v>
      </c>
      <c r="X50" s="84"/>
      <c r="Y50" s="84"/>
      <c r="Z50" s="84"/>
      <c r="AA50" s="84"/>
      <c r="AB50" s="84" t="s">
        <v>1405</v>
      </c>
      <c r="AC50" s="84"/>
      <c r="AD50" s="84"/>
      <c r="AE50" s="84"/>
      <c r="AF50" s="84"/>
    </row>
    <row r="51" spans="1:32" x14ac:dyDescent="0.3">
      <c r="A51" t="s">
        <v>1271</v>
      </c>
      <c r="B51" t="s">
        <v>1271</v>
      </c>
      <c r="C51"/>
      <c r="D51">
        <v>1</v>
      </c>
      <c r="E51"/>
      <c r="F51"/>
      <c r="G51" t="s">
        <v>173</v>
      </c>
      <c r="H51" t="s">
        <v>310</v>
      </c>
      <c r="I51" t="s">
        <v>1276</v>
      </c>
      <c r="J51">
        <v>25</v>
      </c>
      <c r="K51" s="117">
        <v>0</v>
      </c>
      <c r="L51" t="s">
        <v>304</v>
      </c>
      <c r="M51" t="s">
        <v>1277</v>
      </c>
      <c r="N51" t="s">
        <v>839</v>
      </c>
      <c r="O51"/>
      <c r="P51"/>
      <c r="Q51"/>
      <c r="R51"/>
      <c r="S51"/>
      <c r="T51"/>
      <c r="U51"/>
      <c r="V51" t="s">
        <v>841</v>
      </c>
      <c r="W51" t="s">
        <v>1407</v>
      </c>
      <c r="X51"/>
      <c r="Y51"/>
      <c r="Z51"/>
      <c r="AA51"/>
      <c r="AB51" t="s">
        <v>1405</v>
      </c>
      <c r="AC51"/>
      <c r="AD51"/>
      <c r="AE51"/>
      <c r="AF51"/>
    </row>
    <row r="52" spans="1:32" x14ac:dyDescent="0.3">
      <c r="A52" t="s">
        <v>1272</v>
      </c>
      <c r="B52" t="s">
        <v>1272</v>
      </c>
      <c r="C52"/>
      <c r="D52">
        <v>600</v>
      </c>
      <c r="E52"/>
      <c r="F52"/>
      <c r="G52" t="s">
        <v>173</v>
      </c>
      <c r="H52" t="s">
        <v>310</v>
      </c>
      <c r="I52" t="s">
        <v>1278</v>
      </c>
      <c r="J52">
        <v>25</v>
      </c>
      <c r="K52" s="117">
        <v>0</v>
      </c>
      <c r="L52" t="s">
        <v>304</v>
      </c>
      <c r="M52" t="s">
        <v>1279</v>
      </c>
      <c r="N52" t="s">
        <v>839</v>
      </c>
      <c r="O52"/>
      <c r="P52"/>
      <c r="Q52"/>
      <c r="R52"/>
      <c r="S52"/>
      <c r="T52"/>
      <c r="U52"/>
      <c r="V52" t="s">
        <v>841</v>
      </c>
      <c r="W52" t="s">
        <v>1407</v>
      </c>
      <c r="X52"/>
      <c r="Y52"/>
      <c r="Z52"/>
      <c r="AA52"/>
      <c r="AB52" t="s">
        <v>1405</v>
      </c>
      <c r="AC52"/>
      <c r="AD52"/>
      <c r="AE52"/>
      <c r="AF52"/>
    </row>
    <row r="53" spans="1:32" x14ac:dyDescent="0.3">
      <c r="A53" t="s">
        <v>1273</v>
      </c>
      <c r="B53" t="s">
        <v>1273</v>
      </c>
      <c r="C53"/>
      <c r="D53">
        <v>600</v>
      </c>
      <c r="E53"/>
      <c r="F53"/>
      <c r="G53" t="s">
        <v>173</v>
      </c>
      <c r="H53" t="s">
        <v>310</v>
      </c>
      <c r="I53" t="s">
        <v>1280</v>
      </c>
      <c r="J53">
        <v>25</v>
      </c>
      <c r="K53" s="117">
        <v>0</v>
      </c>
      <c r="L53" t="s">
        <v>304</v>
      </c>
      <c r="M53" t="s">
        <v>1281</v>
      </c>
      <c r="N53" t="s">
        <v>839</v>
      </c>
      <c r="O53"/>
      <c r="P53"/>
      <c r="Q53"/>
      <c r="R53"/>
      <c r="S53"/>
      <c r="T53"/>
      <c r="U53"/>
      <c r="V53" t="s">
        <v>841</v>
      </c>
      <c r="W53" t="s">
        <v>1407</v>
      </c>
      <c r="X53"/>
      <c r="Y53"/>
      <c r="Z53"/>
      <c r="AA53"/>
      <c r="AB53" t="s">
        <v>1405</v>
      </c>
      <c r="AC53"/>
      <c r="AD53"/>
      <c r="AE53"/>
      <c r="AF53"/>
    </row>
    <row r="54" spans="1:32" x14ac:dyDescent="0.3">
      <c r="A54" t="s">
        <v>1274</v>
      </c>
      <c r="B54" t="s">
        <v>1274</v>
      </c>
      <c r="C54"/>
      <c r="D54">
        <v>600</v>
      </c>
      <c r="E54"/>
      <c r="F54"/>
      <c r="G54" t="s">
        <v>173</v>
      </c>
      <c r="H54" t="s">
        <v>310</v>
      </c>
      <c r="I54" t="s">
        <v>1282</v>
      </c>
      <c r="J54">
        <v>25</v>
      </c>
      <c r="K54" s="117">
        <v>0</v>
      </c>
      <c r="L54" t="s">
        <v>304</v>
      </c>
      <c r="M54" t="s">
        <v>1283</v>
      </c>
      <c r="N54" t="s">
        <v>839</v>
      </c>
      <c r="O54"/>
      <c r="P54"/>
      <c r="Q54"/>
      <c r="R54"/>
      <c r="S54"/>
      <c r="T54"/>
      <c r="U54"/>
      <c r="V54" t="s">
        <v>841</v>
      </c>
      <c r="W54" t="s">
        <v>1407</v>
      </c>
      <c r="X54"/>
      <c r="Y54"/>
      <c r="Z54"/>
      <c r="AA54"/>
      <c r="AB54" t="s">
        <v>1405</v>
      </c>
      <c r="AC54"/>
      <c r="AD54"/>
      <c r="AE54"/>
      <c r="AF54"/>
    </row>
    <row r="55" spans="1:32" x14ac:dyDescent="0.3">
      <c r="A55" s="84" t="s">
        <v>1275</v>
      </c>
      <c r="B55" s="84" t="s">
        <v>1275</v>
      </c>
      <c r="C55" s="84"/>
      <c r="D55" s="84">
        <v>600</v>
      </c>
      <c r="E55" s="84"/>
      <c r="F55" s="84"/>
      <c r="G55" s="84" t="s">
        <v>173</v>
      </c>
      <c r="H55" s="84" t="s">
        <v>310</v>
      </c>
      <c r="I55" s="84" t="s">
        <v>1284</v>
      </c>
      <c r="J55" s="84">
        <v>25</v>
      </c>
      <c r="K55" s="118">
        <v>0</v>
      </c>
      <c r="L55" s="84" t="s">
        <v>304</v>
      </c>
      <c r="M55" s="84" t="s">
        <v>1285</v>
      </c>
      <c r="N55" s="84" t="s">
        <v>839</v>
      </c>
      <c r="O55" s="84"/>
      <c r="P55" s="84"/>
      <c r="Q55" s="84"/>
      <c r="R55" s="84"/>
      <c r="S55" s="84"/>
      <c r="T55" s="84"/>
      <c r="U55" s="84"/>
      <c r="V55" s="84" t="s">
        <v>841</v>
      </c>
      <c r="W55" s="84" t="s">
        <v>1407</v>
      </c>
      <c r="X55" s="84"/>
      <c r="Y55" s="84"/>
      <c r="Z55" s="84"/>
      <c r="AA55" s="84"/>
      <c r="AB55" s="84" t="s">
        <v>1405</v>
      </c>
      <c r="AC55" s="84"/>
      <c r="AD55" s="84"/>
      <c r="AE55" s="84"/>
      <c r="AF55" s="84"/>
    </row>
    <row r="56" spans="1:32" x14ac:dyDescent="0.3">
      <c r="A56" t="s">
        <v>1286</v>
      </c>
      <c r="B56" t="s">
        <v>1286</v>
      </c>
      <c r="C56"/>
      <c r="D56">
        <v>1</v>
      </c>
      <c r="E56"/>
      <c r="F56"/>
      <c r="G56" t="s">
        <v>173</v>
      </c>
      <c r="H56" t="s">
        <v>310</v>
      </c>
      <c r="I56" t="s">
        <v>1291</v>
      </c>
      <c r="J56">
        <v>25</v>
      </c>
      <c r="K56" s="117">
        <v>0</v>
      </c>
      <c r="L56" t="s">
        <v>304</v>
      </c>
      <c r="M56" t="s">
        <v>1292</v>
      </c>
      <c r="N56" t="s">
        <v>839</v>
      </c>
      <c r="O56"/>
      <c r="P56"/>
      <c r="Q56"/>
      <c r="R56"/>
      <c r="S56"/>
      <c r="T56"/>
      <c r="U56"/>
      <c r="V56" t="s">
        <v>841</v>
      </c>
      <c r="W56" t="s">
        <v>1407</v>
      </c>
      <c r="X56"/>
      <c r="Y56"/>
      <c r="Z56"/>
      <c r="AA56"/>
      <c r="AB56" t="s">
        <v>1405</v>
      </c>
      <c r="AC56"/>
      <c r="AD56"/>
      <c r="AE56"/>
      <c r="AF56"/>
    </row>
    <row r="57" spans="1:32" x14ac:dyDescent="0.3">
      <c r="A57" t="s">
        <v>1287</v>
      </c>
      <c r="B57" t="s">
        <v>1287</v>
      </c>
      <c r="C57"/>
      <c r="D57">
        <v>600</v>
      </c>
      <c r="E57"/>
      <c r="F57"/>
      <c r="G57" t="s">
        <v>173</v>
      </c>
      <c r="H57" t="s">
        <v>310</v>
      </c>
      <c r="I57" t="s">
        <v>1293</v>
      </c>
      <c r="J57">
        <v>25</v>
      </c>
      <c r="K57" s="117">
        <v>0</v>
      </c>
      <c r="L57" t="s">
        <v>304</v>
      </c>
      <c r="M57" t="s">
        <v>1294</v>
      </c>
      <c r="N57" t="s">
        <v>839</v>
      </c>
      <c r="O57"/>
      <c r="P57"/>
      <c r="Q57"/>
      <c r="R57"/>
      <c r="S57"/>
      <c r="T57"/>
      <c r="U57"/>
      <c r="V57" t="s">
        <v>841</v>
      </c>
      <c r="W57" t="s">
        <v>1407</v>
      </c>
      <c r="X57"/>
      <c r="Y57"/>
      <c r="Z57"/>
      <c r="AA57"/>
      <c r="AB57" t="s">
        <v>1405</v>
      </c>
      <c r="AC57"/>
      <c r="AD57"/>
      <c r="AE57"/>
      <c r="AF57"/>
    </row>
    <row r="58" spans="1:32" x14ac:dyDescent="0.3">
      <c r="A58" t="s">
        <v>1288</v>
      </c>
      <c r="B58" t="s">
        <v>1288</v>
      </c>
      <c r="C58"/>
      <c r="D58">
        <v>600</v>
      </c>
      <c r="E58"/>
      <c r="F58"/>
      <c r="G58" t="s">
        <v>173</v>
      </c>
      <c r="H58" t="s">
        <v>310</v>
      </c>
      <c r="I58" t="s">
        <v>1295</v>
      </c>
      <c r="J58">
        <v>25</v>
      </c>
      <c r="K58" s="117">
        <v>0</v>
      </c>
      <c r="L58" t="s">
        <v>304</v>
      </c>
      <c r="M58" t="s">
        <v>1296</v>
      </c>
      <c r="N58" t="s">
        <v>839</v>
      </c>
      <c r="O58"/>
      <c r="P58"/>
      <c r="Q58"/>
      <c r="R58"/>
      <c r="S58"/>
      <c r="T58"/>
      <c r="U58"/>
      <c r="V58" t="s">
        <v>841</v>
      </c>
      <c r="W58" t="s">
        <v>1407</v>
      </c>
      <c r="X58"/>
      <c r="Y58"/>
      <c r="Z58"/>
      <c r="AA58"/>
      <c r="AB58" t="s">
        <v>1405</v>
      </c>
      <c r="AC58"/>
      <c r="AD58"/>
      <c r="AE58"/>
      <c r="AF58"/>
    </row>
    <row r="59" spans="1:32" x14ac:dyDescent="0.3">
      <c r="A59" t="s">
        <v>1289</v>
      </c>
      <c r="B59" t="s">
        <v>1289</v>
      </c>
      <c r="C59"/>
      <c r="D59">
        <v>600</v>
      </c>
      <c r="E59"/>
      <c r="F59"/>
      <c r="G59" t="s">
        <v>173</v>
      </c>
      <c r="H59" t="s">
        <v>310</v>
      </c>
      <c r="I59" t="s">
        <v>1297</v>
      </c>
      <c r="J59">
        <v>25</v>
      </c>
      <c r="K59" s="117">
        <v>0</v>
      </c>
      <c r="L59" t="s">
        <v>304</v>
      </c>
      <c r="M59" t="s">
        <v>1298</v>
      </c>
      <c r="N59" t="s">
        <v>839</v>
      </c>
      <c r="O59"/>
      <c r="P59"/>
      <c r="Q59"/>
      <c r="R59"/>
      <c r="S59"/>
      <c r="T59"/>
      <c r="U59"/>
      <c r="V59" t="s">
        <v>841</v>
      </c>
      <c r="W59" t="s">
        <v>1407</v>
      </c>
      <c r="X59"/>
      <c r="Y59"/>
      <c r="Z59"/>
      <c r="AA59"/>
      <c r="AB59" t="s">
        <v>1405</v>
      </c>
      <c r="AC59"/>
      <c r="AD59"/>
      <c r="AE59"/>
      <c r="AF59"/>
    </row>
    <row r="60" spans="1:32" x14ac:dyDescent="0.3">
      <c r="A60" s="84" t="s">
        <v>1290</v>
      </c>
      <c r="B60" s="84" t="s">
        <v>1290</v>
      </c>
      <c r="C60" s="84"/>
      <c r="D60" s="84">
        <v>600</v>
      </c>
      <c r="E60" s="84"/>
      <c r="F60" s="84"/>
      <c r="G60" s="84" t="s">
        <v>173</v>
      </c>
      <c r="H60" s="84" t="s">
        <v>310</v>
      </c>
      <c r="I60" s="84" t="s">
        <v>1299</v>
      </c>
      <c r="J60" s="84">
        <v>25</v>
      </c>
      <c r="K60" s="118">
        <v>0</v>
      </c>
      <c r="L60" s="84" t="s">
        <v>304</v>
      </c>
      <c r="M60" s="84" t="s">
        <v>1300</v>
      </c>
      <c r="N60" s="84" t="s">
        <v>839</v>
      </c>
      <c r="O60" s="84"/>
      <c r="P60" s="84"/>
      <c r="Q60" s="84"/>
      <c r="R60" s="84"/>
      <c r="S60" s="84"/>
      <c r="T60" s="84"/>
      <c r="U60" s="84"/>
      <c r="V60" s="84" t="s">
        <v>841</v>
      </c>
      <c r="W60" s="84" t="s">
        <v>1407</v>
      </c>
      <c r="X60" s="84"/>
      <c r="Y60" s="84"/>
      <c r="Z60" s="84"/>
      <c r="AA60" s="84"/>
      <c r="AB60" s="84" t="s">
        <v>1405</v>
      </c>
      <c r="AC60" s="84"/>
      <c r="AD60" s="84"/>
      <c r="AE60" s="84"/>
      <c r="AF60" s="84"/>
    </row>
    <row r="61" spans="1:32" x14ac:dyDescent="0.3">
      <c r="A61" t="s">
        <v>1301</v>
      </c>
      <c r="B61" t="s">
        <v>1301</v>
      </c>
      <c r="C61"/>
      <c r="D61">
        <v>1</v>
      </c>
      <c r="E61"/>
      <c r="F61"/>
      <c r="G61" t="s">
        <v>173</v>
      </c>
      <c r="H61" t="s">
        <v>310</v>
      </c>
      <c r="I61" t="s">
        <v>1306</v>
      </c>
      <c r="J61">
        <v>25</v>
      </c>
      <c r="K61" s="117">
        <v>0</v>
      </c>
      <c r="L61" t="s">
        <v>304</v>
      </c>
      <c r="M61" t="s">
        <v>1307</v>
      </c>
      <c r="N61" t="s">
        <v>839</v>
      </c>
      <c r="O61"/>
      <c r="P61"/>
      <c r="Q61"/>
      <c r="R61"/>
      <c r="S61"/>
      <c r="T61"/>
      <c r="U61"/>
      <c r="V61" t="s">
        <v>841</v>
      </c>
      <c r="W61" t="s">
        <v>1407</v>
      </c>
      <c r="X61"/>
      <c r="Y61"/>
      <c r="Z61"/>
      <c r="AA61"/>
      <c r="AB61" t="s">
        <v>1405</v>
      </c>
      <c r="AC61"/>
      <c r="AD61"/>
      <c r="AE61"/>
      <c r="AF61"/>
    </row>
    <row r="62" spans="1:32" x14ac:dyDescent="0.3">
      <c r="A62" t="s">
        <v>1302</v>
      </c>
      <c r="B62" t="s">
        <v>1302</v>
      </c>
      <c r="C62"/>
      <c r="D62">
        <v>600</v>
      </c>
      <c r="E62"/>
      <c r="F62"/>
      <c r="G62" t="s">
        <v>173</v>
      </c>
      <c r="H62" t="s">
        <v>310</v>
      </c>
      <c r="I62" t="s">
        <v>1308</v>
      </c>
      <c r="J62">
        <v>25</v>
      </c>
      <c r="K62" s="117">
        <v>0</v>
      </c>
      <c r="L62" t="s">
        <v>304</v>
      </c>
      <c r="M62" t="s">
        <v>1309</v>
      </c>
      <c r="N62" t="s">
        <v>839</v>
      </c>
      <c r="O62"/>
      <c r="P62"/>
      <c r="Q62"/>
      <c r="R62"/>
      <c r="S62"/>
      <c r="T62"/>
      <c r="U62"/>
      <c r="V62" t="s">
        <v>841</v>
      </c>
      <c r="W62" t="s">
        <v>1407</v>
      </c>
      <c r="X62"/>
      <c r="Y62"/>
      <c r="Z62"/>
      <c r="AA62"/>
      <c r="AB62" t="s">
        <v>1405</v>
      </c>
      <c r="AC62"/>
      <c r="AD62"/>
      <c r="AE62"/>
      <c r="AF62"/>
    </row>
    <row r="63" spans="1:32" x14ac:dyDescent="0.3">
      <c r="A63" t="s">
        <v>1303</v>
      </c>
      <c r="B63" t="s">
        <v>1303</v>
      </c>
      <c r="C63"/>
      <c r="D63">
        <v>600</v>
      </c>
      <c r="E63"/>
      <c r="F63"/>
      <c r="G63" t="s">
        <v>173</v>
      </c>
      <c r="H63" t="s">
        <v>310</v>
      </c>
      <c r="I63" t="s">
        <v>1310</v>
      </c>
      <c r="J63">
        <v>25</v>
      </c>
      <c r="K63" s="117">
        <v>0</v>
      </c>
      <c r="L63" t="s">
        <v>304</v>
      </c>
      <c r="M63" t="s">
        <v>1311</v>
      </c>
      <c r="N63" t="s">
        <v>839</v>
      </c>
      <c r="O63"/>
      <c r="P63"/>
      <c r="Q63"/>
      <c r="R63"/>
      <c r="S63"/>
      <c r="T63"/>
      <c r="U63"/>
      <c r="V63" t="s">
        <v>841</v>
      </c>
      <c r="W63" t="s">
        <v>1407</v>
      </c>
      <c r="X63"/>
      <c r="Y63"/>
      <c r="Z63"/>
      <c r="AA63"/>
      <c r="AB63" t="s">
        <v>1405</v>
      </c>
      <c r="AC63"/>
      <c r="AD63"/>
      <c r="AE63"/>
      <c r="AF63"/>
    </row>
    <row r="64" spans="1:32" x14ac:dyDescent="0.3">
      <c r="A64" t="s">
        <v>1304</v>
      </c>
      <c r="B64" t="s">
        <v>1304</v>
      </c>
      <c r="C64"/>
      <c r="D64">
        <v>600</v>
      </c>
      <c r="E64"/>
      <c r="F64"/>
      <c r="G64" t="s">
        <v>173</v>
      </c>
      <c r="H64" t="s">
        <v>310</v>
      </c>
      <c r="I64" t="s">
        <v>1312</v>
      </c>
      <c r="J64">
        <v>25</v>
      </c>
      <c r="K64" s="117">
        <v>0</v>
      </c>
      <c r="L64" t="s">
        <v>304</v>
      </c>
      <c r="M64" t="s">
        <v>1313</v>
      </c>
      <c r="N64" t="s">
        <v>839</v>
      </c>
      <c r="O64"/>
      <c r="P64"/>
      <c r="Q64"/>
      <c r="R64"/>
      <c r="S64"/>
      <c r="T64"/>
      <c r="U64"/>
      <c r="V64" t="s">
        <v>841</v>
      </c>
      <c r="W64" t="s">
        <v>1407</v>
      </c>
      <c r="X64"/>
      <c r="Y64"/>
      <c r="Z64"/>
      <c r="AA64"/>
      <c r="AB64" t="s">
        <v>1405</v>
      </c>
      <c r="AC64"/>
      <c r="AD64"/>
      <c r="AE64"/>
      <c r="AF64"/>
    </row>
    <row r="65" spans="1:32" x14ac:dyDescent="0.3">
      <c r="A65" s="84" t="s">
        <v>1305</v>
      </c>
      <c r="B65" s="84" t="s">
        <v>1305</v>
      </c>
      <c r="C65" s="84"/>
      <c r="D65" s="84">
        <v>600</v>
      </c>
      <c r="E65" s="84"/>
      <c r="F65" s="84"/>
      <c r="G65" s="84" t="s">
        <v>173</v>
      </c>
      <c r="H65" s="84" t="s">
        <v>310</v>
      </c>
      <c r="I65" s="84" t="s">
        <v>1314</v>
      </c>
      <c r="J65" s="84">
        <v>25</v>
      </c>
      <c r="K65" s="118">
        <v>0</v>
      </c>
      <c r="L65" s="84" t="s">
        <v>304</v>
      </c>
      <c r="M65" s="84" t="s">
        <v>1315</v>
      </c>
      <c r="N65" s="84" t="s">
        <v>839</v>
      </c>
      <c r="O65" s="84"/>
      <c r="P65" s="84"/>
      <c r="Q65" s="84"/>
      <c r="R65" s="84"/>
      <c r="S65" s="84"/>
      <c r="T65" s="84"/>
      <c r="U65" s="84"/>
      <c r="V65" s="84" t="s">
        <v>841</v>
      </c>
      <c r="W65" s="84" t="s">
        <v>1407</v>
      </c>
      <c r="X65" s="84"/>
      <c r="Y65" s="84"/>
      <c r="Z65" s="84"/>
      <c r="AA65" s="84"/>
      <c r="AB65" s="84" t="s">
        <v>1405</v>
      </c>
      <c r="AC65" s="84"/>
      <c r="AD65" s="84"/>
      <c r="AE65" s="84"/>
      <c r="AF65" s="84"/>
    </row>
    <row r="66" spans="1:32" x14ac:dyDescent="0.3">
      <c r="A66" t="s">
        <v>1316</v>
      </c>
      <c r="B66" t="s">
        <v>1316</v>
      </c>
      <c r="C66"/>
      <c r="D66">
        <v>1</v>
      </c>
      <c r="E66"/>
      <c r="F66"/>
      <c r="G66" t="s">
        <v>173</v>
      </c>
      <c r="H66" t="s">
        <v>310</v>
      </c>
      <c r="I66" t="s">
        <v>1321</v>
      </c>
      <c r="J66">
        <v>25</v>
      </c>
      <c r="K66" s="117">
        <v>0</v>
      </c>
      <c r="L66" t="s">
        <v>304</v>
      </c>
      <c r="M66" t="s">
        <v>1322</v>
      </c>
      <c r="N66" t="s">
        <v>839</v>
      </c>
      <c r="O66"/>
      <c r="P66"/>
      <c r="Q66"/>
      <c r="R66"/>
      <c r="S66"/>
      <c r="T66"/>
      <c r="U66"/>
      <c r="V66" t="s">
        <v>841</v>
      </c>
      <c r="W66" t="s">
        <v>1407</v>
      </c>
      <c r="X66"/>
      <c r="Y66"/>
      <c r="Z66"/>
      <c r="AA66"/>
      <c r="AB66" t="s">
        <v>1405</v>
      </c>
      <c r="AC66"/>
      <c r="AD66"/>
      <c r="AE66"/>
      <c r="AF66"/>
    </row>
    <row r="67" spans="1:32" x14ac:dyDescent="0.3">
      <c r="A67" t="s">
        <v>1317</v>
      </c>
      <c r="B67" t="s">
        <v>1317</v>
      </c>
      <c r="C67"/>
      <c r="D67">
        <v>600</v>
      </c>
      <c r="E67"/>
      <c r="F67"/>
      <c r="G67" t="s">
        <v>173</v>
      </c>
      <c r="H67" t="s">
        <v>310</v>
      </c>
      <c r="I67" t="s">
        <v>1323</v>
      </c>
      <c r="J67">
        <v>25</v>
      </c>
      <c r="K67" s="117">
        <v>0</v>
      </c>
      <c r="L67" t="s">
        <v>304</v>
      </c>
      <c r="M67" t="s">
        <v>1324</v>
      </c>
      <c r="N67" t="s">
        <v>839</v>
      </c>
      <c r="O67"/>
      <c r="P67"/>
      <c r="Q67"/>
      <c r="R67"/>
      <c r="S67"/>
      <c r="T67"/>
      <c r="U67"/>
      <c r="V67" t="s">
        <v>841</v>
      </c>
      <c r="W67" t="s">
        <v>1407</v>
      </c>
      <c r="X67"/>
      <c r="Y67"/>
      <c r="Z67"/>
      <c r="AA67"/>
      <c r="AB67" t="s">
        <v>1405</v>
      </c>
      <c r="AC67"/>
      <c r="AD67"/>
      <c r="AE67"/>
      <c r="AF67"/>
    </row>
    <row r="68" spans="1:32" x14ac:dyDescent="0.3">
      <c r="A68" t="s">
        <v>1318</v>
      </c>
      <c r="B68" t="s">
        <v>1318</v>
      </c>
      <c r="C68"/>
      <c r="D68">
        <v>600</v>
      </c>
      <c r="E68"/>
      <c r="F68"/>
      <c r="G68" t="s">
        <v>173</v>
      </c>
      <c r="H68" t="s">
        <v>310</v>
      </c>
      <c r="I68" t="s">
        <v>1325</v>
      </c>
      <c r="J68">
        <v>25</v>
      </c>
      <c r="K68" s="117">
        <v>0</v>
      </c>
      <c r="L68" t="s">
        <v>304</v>
      </c>
      <c r="M68" t="s">
        <v>1326</v>
      </c>
      <c r="N68" t="s">
        <v>839</v>
      </c>
      <c r="O68"/>
      <c r="P68"/>
      <c r="Q68"/>
      <c r="R68"/>
      <c r="S68"/>
      <c r="T68"/>
      <c r="U68"/>
      <c r="V68" t="s">
        <v>841</v>
      </c>
      <c r="W68" t="s">
        <v>1407</v>
      </c>
      <c r="X68"/>
      <c r="Y68"/>
      <c r="Z68"/>
      <c r="AA68"/>
      <c r="AB68" t="s">
        <v>1405</v>
      </c>
      <c r="AC68"/>
      <c r="AD68"/>
      <c r="AE68"/>
      <c r="AF68"/>
    </row>
    <row r="69" spans="1:32" x14ac:dyDescent="0.3">
      <c r="A69" t="s">
        <v>1319</v>
      </c>
      <c r="B69" t="s">
        <v>1319</v>
      </c>
      <c r="C69"/>
      <c r="D69">
        <v>600</v>
      </c>
      <c r="E69"/>
      <c r="F69"/>
      <c r="G69" t="s">
        <v>173</v>
      </c>
      <c r="H69" t="s">
        <v>310</v>
      </c>
      <c r="I69" t="s">
        <v>1327</v>
      </c>
      <c r="J69">
        <v>25</v>
      </c>
      <c r="K69" s="117">
        <v>0</v>
      </c>
      <c r="L69" t="s">
        <v>304</v>
      </c>
      <c r="M69" t="s">
        <v>1328</v>
      </c>
      <c r="N69" t="s">
        <v>839</v>
      </c>
      <c r="O69"/>
      <c r="P69"/>
      <c r="Q69"/>
      <c r="R69"/>
      <c r="S69"/>
      <c r="T69"/>
      <c r="U69"/>
      <c r="V69" t="s">
        <v>841</v>
      </c>
      <c r="W69" t="s">
        <v>1407</v>
      </c>
      <c r="X69"/>
      <c r="Y69"/>
      <c r="Z69"/>
      <c r="AA69"/>
      <c r="AB69" t="s">
        <v>1405</v>
      </c>
      <c r="AC69"/>
      <c r="AD69"/>
      <c r="AE69"/>
      <c r="AF69"/>
    </row>
    <row r="70" spans="1:32" x14ac:dyDescent="0.3">
      <c r="A70" s="84" t="s">
        <v>1320</v>
      </c>
      <c r="B70" s="84" t="s">
        <v>1320</v>
      </c>
      <c r="C70" s="84"/>
      <c r="D70" s="84">
        <v>600</v>
      </c>
      <c r="E70" s="84"/>
      <c r="F70" s="84"/>
      <c r="G70" s="84" t="s">
        <v>173</v>
      </c>
      <c r="H70" s="84" t="s">
        <v>310</v>
      </c>
      <c r="I70" s="84" t="s">
        <v>1329</v>
      </c>
      <c r="J70" s="84">
        <v>25</v>
      </c>
      <c r="K70" s="118">
        <v>0</v>
      </c>
      <c r="L70" s="84" t="s">
        <v>304</v>
      </c>
      <c r="M70" s="84" t="s">
        <v>1330</v>
      </c>
      <c r="N70" s="84" t="s">
        <v>839</v>
      </c>
      <c r="O70" s="84"/>
      <c r="P70" s="84"/>
      <c r="Q70" s="84"/>
      <c r="R70" s="84"/>
      <c r="S70" s="84"/>
      <c r="T70" s="84"/>
      <c r="U70" s="84"/>
      <c r="V70" s="84" t="s">
        <v>841</v>
      </c>
      <c r="W70" s="84" t="s">
        <v>1407</v>
      </c>
      <c r="X70" s="84"/>
      <c r="Y70" s="84"/>
      <c r="Z70" s="84"/>
      <c r="AA70" s="84"/>
      <c r="AB70" s="84" t="s">
        <v>1405</v>
      </c>
      <c r="AC70" s="84"/>
      <c r="AD70" s="84"/>
      <c r="AE70" s="84"/>
      <c r="AF70" s="84"/>
    </row>
    <row r="71" spans="1:32" x14ac:dyDescent="0.3">
      <c r="A71" t="s">
        <v>1331</v>
      </c>
      <c r="B71" t="s">
        <v>1331</v>
      </c>
      <c r="C71"/>
      <c r="D71">
        <v>1</v>
      </c>
      <c r="E71"/>
      <c r="F71"/>
      <c r="G71" t="s">
        <v>106</v>
      </c>
      <c r="H71" t="s">
        <v>692</v>
      </c>
      <c r="I71" t="s">
        <v>1336</v>
      </c>
      <c r="J71">
        <v>25</v>
      </c>
      <c r="K71" s="117">
        <v>0</v>
      </c>
      <c r="L71" t="s">
        <v>304</v>
      </c>
      <c r="M71" t="s">
        <v>1337</v>
      </c>
      <c r="N71" t="s">
        <v>839</v>
      </c>
      <c r="O71"/>
      <c r="P71"/>
      <c r="Q71"/>
      <c r="R71"/>
      <c r="S71"/>
      <c r="T71"/>
      <c r="U71"/>
      <c r="V71" t="s">
        <v>841</v>
      </c>
      <c r="W71" t="s">
        <v>1407</v>
      </c>
      <c r="X71"/>
      <c r="Y71"/>
      <c r="Z71"/>
      <c r="AA71"/>
      <c r="AB71" t="s">
        <v>1405</v>
      </c>
      <c r="AC71"/>
      <c r="AD71"/>
      <c r="AE71"/>
      <c r="AF71"/>
    </row>
    <row r="72" spans="1:32" x14ac:dyDescent="0.3">
      <c r="A72" t="s">
        <v>1332</v>
      </c>
      <c r="B72" t="s">
        <v>1332</v>
      </c>
      <c r="C72"/>
      <c r="D72">
        <v>600</v>
      </c>
      <c r="E72"/>
      <c r="F72"/>
      <c r="G72" t="s">
        <v>106</v>
      </c>
      <c r="H72" t="s">
        <v>692</v>
      </c>
      <c r="I72" t="s">
        <v>1338</v>
      </c>
      <c r="J72">
        <v>25</v>
      </c>
      <c r="K72" s="117">
        <v>0</v>
      </c>
      <c r="L72" t="s">
        <v>304</v>
      </c>
      <c r="M72" t="s">
        <v>1339</v>
      </c>
      <c r="N72" t="s">
        <v>839</v>
      </c>
      <c r="O72"/>
      <c r="P72"/>
      <c r="Q72"/>
      <c r="R72"/>
      <c r="S72"/>
      <c r="T72"/>
      <c r="U72"/>
      <c r="V72" t="s">
        <v>841</v>
      </c>
      <c r="W72" t="s">
        <v>1407</v>
      </c>
      <c r="X72"/>
      <c r="Y72"/>
      <c r="Z72"/>
      <c r="AA72"/>
      <c r="AB72" t="s">
        <v>1405</v>
      </c>
      <c r="AC72"/>
      <c r="AD72"/>
      <c r="AE72"/>
      <c r="AF72"/>
    </row>
    <row r="73" spans="1:32" x14ac:dyDescent="0.3">
      <c r="A73" t="s">
        <v>1333</v>
      </c>
      <c r="B73" t="s">
        <v>1333</v>
      </c>
      <c r="C73"/>
      <c r="D73">
        <v>600</v>
      </c>
      <c r="E73"/>
      <c r="F73"/>
      <c r="G73" t="s">
        <v>106</v>
      </c>
      <c r="H73" t="s">
        <v>692</v>
      </c>
      <c r="I73" t="s">
        <v>1340</v>
      </c>
      <c r="J73">
        <v>25</v>
      </c>
      <c r="K73" s="117">
        <v>0</v>
      </c>
      <c r="L73" t="s">
        <v>304</v>
      </c>
      <c r="M73" t="s">
        <v>1341</v>
      </c>
      <c r="N73" t="s">
        <v>839</v>
      </c>
      <c r="O73"/>
      <c r="P73"/>
      <c r="Q73"/>
      <c r="R73"/>
      <c r="S73"/>
      <c r="T73"/>
      <c r="U73"/>
      <c r="V73" t="s">
        <v>841</v>
      </c>
      <c r="W73" t="s">
        <v>1407</v>
      </c>
      <c r="X73"/>
      <c r="Y73"/>
      <c r="Z73"/>
      <c r="AA73"/>
      <c r="AB73" t="s">
        <v>1405</v>
      </c>
      <c r="AC73"/>
      <c r="AD73"/>
      <c r="AE73"/>
      <c r="AF73"/>
    </row>
    <row r="74" spans="1:32" x14ac:dyDescent="0.3">
      <c r="A74" t="s">
        <v>1334</v>
      </c>
      <c r="B74" t="s">
        <v>1334</v>
      </c>
      <c r="C74"/>
      <c r="D74">
        <v>600</v>
      </c>
      <c r="E74"/>
      <c r="F74"/>
      <c r="G74" t="s">
        <v>106</v>
      </c>
      <c r="H74" t="s">
        <v>692</v>
      </c>
      <c r="I74" t="s">
        <v>1342</v>
      </c>
      <c r="J74">
        <v>25</v>
      </c>
      <c r="K74" s="117">
        <v>0</v>
      </c>
      <c r="L74" t="s">
        <v>304</v>
      </c>
      <c r="M74" t="s">
        <v>1343</v>
      </c>
      <c r="N74" t="s">
        <v>839</v>
      </c>
      <c r="O74"/>
      <c r="P74"/>
      <c r="Q74"/>
      <c r="R74"/>
      <c r="S74"/>
      <c r="T74"/>
      <c r="U74"/>
      <c r="V74" t="s">
        <v>841</v>
      </c>
      <c r="W74" t="s">
        <v>1407</v>
      </c>
      <c r="X74"/>
      <c r="Y74"/>
      <c r="Z74"/>
      <c r="AA74"/>
      <c r="AB74" t="s">
        <v>1405</v>
      </c>
      <c r="AC74"/>
      <c r="AD74"/>
      <c r="AE74"/>
      <c r="AF74"/>
    </row>
    <row r="75" spans="1:32" x14ac:dyDescent="0.3">
      <c r="A75" s="84" t="s">
        <v>1335</v>
      </c>
      <c r="B75" s="84" t="s">
        <v>1335</v>
      </c>
      <c r="C75" s="84"/>
      <c r="D75" s="84">
        <v>600</v>
      </c>
      <c r="E75" s="84"/>
      <c r="F75" s="84"/>
      <c r="G75" s="84" t="s">
        <v>106</v>
      </c>
      <c r="H75" s="84" t="s">
        <v>692</v>
      </c>
      <c r="I75" s="84" t="s">
        <v>1344</v>
      </c>
      <c r="J75" s="84">
        <v>25</v>
      </c>
      <c r="K75" s="118">
        <v>0</v>
      </c>
      <c r="L75" s="84" t="s">
        <v>304</v>
      </c>
      <c r="M75" s="84" t="s">
        <v>1345</v>
      </c>
      <c r="N75" s="84" t="s">
        <v>839</v>
      </c>
      <c r="O75" s="84"/>
      <c r="P75" s="84"/>
      <c r="Q75" s="84"/>
      <c r="R75" s="84"/>
      <c r="S75" s="84"/>
      <c r="T75" s="84"/>
      <c r="U75" s="84"/>
      <c r="V75" s="84" t="s">
        <v>841</v>
      </c>
      <c r="W75" s="84" t="s">
        <v>1407</v>
      </c>
      <c r="X75" s="84"/>
      <c r="Y75" s="84"/>
      <c r="Z75" s="84"/>
      <c r="AA75" s="84"/>
      <c r="AB75" s="84" t="s">
        <v>1405</v>
      </c>
      <c r="AC75" s="84"/>
      <c r="AD75" s="84"/>
      <c r="AE75" s="84"/>
      <c r="AF75" s="84"/>
    </row>
    <row r="76" spans="1:32" x14ac:dyDescent="0.3">
      <c r="A76" t="s">
        <v>1346</v>
      </c>
      <c r="B76" t="s">
        <v>1346</v>
      </c>
      <c r="C76"/>
      <c r="D76">
        <v>1</v>
      </c>
      <c r="E76"/>
      <c r="F76"/>
      <c r="G76" t="s">
        <v>106</v>
      </c>
      <c r="H76" t="s">
        <v>692</v>
      </c>
      <c r="I76" t="s">
        <v>1351</v>
      </c>
      <c r="J76">
        <v>25</v>
      </c>
      <c r="K76" s="117">
        <v>0</v>
      </c>
      <c r="L76" t="s">
        <v>304</v>
      </c>
      <c r="M76" t="s">
        <v>1352</v>
      </c>
      <c r="N76" t="s">
        <v>839</v>
      </c>
      <c r="O76"/>
      <c r="P76"/>
      <c r="Q76"/>
      <c r="R76"/>
      <c r="S76"/>
      <c r="T76"/>
      <c r="U76"/>
      <c r="V76" t="s">
        <v>841</v>
      </c>
      <c r="W76" t="s">
        <v>1407</v>
      </c>
      <c r="X76"/>
      <c r="Y76"/>
      <c r="Z76"/>
      <c r="AA76"/>
      <c r="AB76" t="s">
        <v>1405</v>
      </c>
      <c r="AC76"/>
      <c r="AD76"/>
      <c r="AE76"/>
      <c r="AF76"/>
    </row>
    <row r="77" spans="1:32" x14ac:dyDescent="0.3">
      <c r="A77" t="s">
        <v>1347</v>
      </c>
      <c r="B77" t="s">
        <v>1347</v>
      </c>
      <c r="C77"/>
      <c r="D77">
        <v>600</v>
      </c>
      <c r="E77"/>
      <c r="F77"/>
      <c r="G77" t="s">
        <v>106</v>
      </c>
      <c r="H77" t="s">
        <v>692</v>
      </c>
      <c r="I77" t="s">
        <v>1353</v>
      </c>
      <c r="J77">
        <v>25</v>
      </c>
      <c r="K77" s="117">
        <v>0</v>
      </c>
      <c r="L77" t="s">
        <v>304</v>
      </c>
      <c r="M77" t="s">
        <v>1354</v>
      </c>
      <c r="N77" t="s">
        <v>839</v>
      </c>
      <c r="O77"/>
      <c r="P77"/>
      <c r="Q77"/>
      <c r="R77"/>
      <c r="S77"/>
      <c r="T77"/>
      <c r="U77"/>
      <c r="V77" t="s">
        <v>841</v>
      </c>
      <c r="W77" t="s">
        <v>1407</v>
      </c>
      <c r="X77"/>
      <c r="Y77"/>
      <c r="Z77"/>
      <c r="AA77"/>
      <c r="AB77" t="s">
        <v>1405</v>
      </c>
      <c r="AC77"/>
      <c r="AD77"/>
      <c r="AE77"/>
      <c r="AF77"/>
    </row>
    <row r="78" spans="1:32" x14ac:dyDescent="0.3">
      <c r="A78" t="s">
        <v>1348</v>
      </c>
      <c r="B78" t="s">
        <v>1348</v>
      </c>
      <c r="C78"/>
      <c r="D78">
        <v>600</v>
      </c>
      <c r="E78"/>
      <c r="F78"/>
      <c r="G78" t="s">
        <v>106</v>
      </c>
      <c r="H78" t="s">
        <v>692</v>
      </c>
      <c r="I78" t="s">
        <v>1355</v>
      </c>
      <c r="J78">
        <v>25</v>
      </c>
      <c r="K78" s="117">
        <v>0</v>
      </c>
      <c r="L78" t="s">
        <v>304</v>
      </c>
      <c r="M78" t="s">
        <v>1356</v>
      </c>
      <c r="N78" t="s">
        <v>839</v>
      </c>
      <c r="O78"/>
      <c r="P78"/>
      <c r="Q78"/>
      <c r="R78"/>
      <c r="S78"/>
      <c r="T78"/>
      <c r="U78"/>
      <c r="V78" t="s">
        <v>841</v>
      </c>
      <c r="W78" t="s">
        <v>1407</v>
      </c>
      <c r="X78"/>
      <c r="Y78"/>
      <c r="Z78"/>
      <c r="AA78"/>
      <c r="AB78" t="s">
        <v>1405</v>
      </c>
      <c r="AC78"/>
      <c r="AD78"/>
      <c r="AE78"/>
      <c r="AF78"/>
    </row>
    <row r="79" spans="1:32" x14ac:dyDescent="0.3">
      <c r="A79" t="s">
        <v>1349</v>
      </c>
      <c r="B79" t="s">
        <v>1349</v>
      </c>
      <c r="C79"/>
      <c r="D79">
        <v>600</v>
      </c>
      <c r="E79"/>
      <c r="F79"/>
      <c r="G79" t="s">
        <v>106</v>
      </c>
      <c r="H79" t="s">
        <v>692</v>
      </c>
      <c r="I79" t="s">
        <v>1357</v>
      </c>
      <c r="J79">
        <v>25</v>
      </c>
      <c r="K79" s="117">
        <v>0</v>
      </c>
      <c r="L79" t="s">
        <v>304</v>
      </c>
      <c r="M79" t="s">
        <v>1358</v>
      </c>
      <c r="N79" t="s">
        <v>839</v>
      </c>
      <c r="O79"/>
      <c r="P79"/>
      <c r="Q79"/>
      <c r="R79"/>
      <c r="S79"/>
      <c r="T79"/>
      <c r="U79"/>
      <c r="V79" t="s">
        <v>841</v>
      </c>
      <c r="W79" t="s">
        <v>1407</v>
      </c>
      <c r="X79"/>
      <c r="Y79"/>
      <c r="Z79"/>
      <c r="AA79"/>
      <c r="AB79" t="s">
        <v>1405</v>
      </c>
      <c r="AC79"/>
      <c r="AD79"/>
      <c r="AE79"/>
      <c r="AF79"/>
    </row>
    <row r="80" spans="1:32" x14ac:dyDescent="0.3">
      <c r="A80" s="84" t="s">
        <v>1350</v>
      </c>
      <c r="B80" s="84" t="s">
        <v>1350</v>
      </c>
      <c r="C80" s="84"/>
      <c r="D80" s="84">
        <v>600</v>
      </c>
      <c r="E80" s="84"/>
      <c r="F80" s="84"/>
      <c r="G80" s="84" t="s">
        <v>106</v>
      </c>
      <c r="H80" s="84" t="s">
        <v>692</v>
      </c>
      <c r="I80" s="84" t="s">
        <v>1359</v>
      </c>
      <c r="J80" s="84">
        <v>25</v>
      </c>
      <c r="K80" s="118">
        <v>0</v>
      </c>
      <c r="L80" s="84" t="s">
        <v>304</v>
      </c>
      <c r="M80" s="84" t="s">
        <v>1360</v>
      </c>
      <c r="N80" s="84" t="s">
        <v>839</v>
      </c>
      <c r="O80" s="84"/>
      <c r="P80" s="84"/>
      <c r="Q80" s="84"/>
      <c r="R80" s="84"/>
      <c r="S80" s="84"/>
      <c r="T80" s="84"/>
      <c r="U80" s="84"/>
      <c r="V80" s="84" t="s">
        <v>841</v>
      </c>
      <c r="W80" s="84" t="s">
        <v>1407</v>
      </c>
      <c r="X80" s="84"/>
      <c r="Y80" s="84"/>
      <c r="Z80" s="84"/>
      <c r="AA80" s="84"/>
      <c r="AB80" s="84" t="s">
        <v>1405</v>
      </c>
      <c r="AC80" s="84"/>
      <c r="AD80" s="84"/>
      <c r="AE80" s="84"/>
      <c r="AF80" s="84"/>
    </row>
    <row r="81" spans="1:32" x14ac:dyDescent="0.3">
      <c r="A81" t="s">
        <v>1361</v>
      </c>
      <c r="B81" t="s">
        <v>1361</v>
      </c>
      <c r="C81"/>
      <c r="D81">
        <v>1</v>
      </c>
      <c r="E81"/>
      <c r="F81"/>
      <c r="G81" t="s">
        <v>106</v>
      </c>
      <c r="H81" t="s">
        <v>692</v>
      </c>
      <c r="I81" t="s">
        <v>1375</v>
      </c>
      <c r="J81">
        <v>25</v>
      </c>
      <c r="K81" s="117">
        <v>0</v>
      </c>
      <c r="L81" t="s">
        <v>304</v>
      </c>
      <c r="M81" t="s">
        <v>1376</v>
      </c>
      <c r="N81" t="s">
        <v>839</v>
      </c>
      <c r="O81"/>
      <c r="P81"/>
      <c r="Q81"/>
      <c r="R81"/>
      <c r="S81"/>
      <c r="T81"/>
      <c r="U81"/>
      <c r="V81" t="s">
        <v>841</v>
      </c>
      <c r="W81" t="s">
        <v>1407</v>
      </c>
      <c r="X81"/>
      <c r="Y81"/>
      <c r="Z81"/>
      <c r="AA81"/>
      <c r="AB81" t="s">
        <v>1405</v>
      </c>
      <c r="AC81"/>
      <c r="AD81"/>
      <c r="AE81"/>
      <c r="AF81"/>
    </row>
    <row r="82" spans="1:32" x14ac:dyDescent="0.3">
      <c r="A82" t="s">
        <v>1362</v>
      </c>
      <c r="B82" t="s">
        <v>1362</v>
      </c>
      <c r="C82"/>
      <c r="D82">
        <v>1</v>
      </c>
      <c r="E82"/>
      <c r="F82"/>
      <c r="G82" t="s">
        <v>106</v>
      </c>
      <c r="H82" t="s">
        <v>692</v>
      </c>
      <c r="I82" t="s">
        <v>1377</v>
      </c>
      <c r="J82">
        <v>25</v>
      </c>
      <c r="K82" s="117">
        <v>0</v>
      </c>
      <c r="L82" t="s">
        <v>304</v>
      </c>
      <c r="M82" t="s">
        <v>1378</v>
      </c>
      <c r="N82" t="s">
        <v>839</v>
      </c>
      <c r="O82"/>
      <c r="P82"/>
      <c r="Q82"/>
      <c r="R82"/>
      <c r="S82"/>
      <c r="T82"/>
      <c r="U82"/>
      <c r="V82" t="s">
        <v>841</v>
      </c>
      <c r="W82" t="s">
        <v>1407</v>
      </c>
      <c r="X82"/>
      <c r="Y82"/>
      <c r="Z82"/>
      <c r="AA82"/>
      <c r="AB82" t="s">
        <v>1405</v>
      </c>
      <c r="AC82"/>
      <c r="AD82"/>
      <c r="AE82"/>
      <c r="AF82"/>
    </row>
    <row r="83" spans="1:32" x14ac:dyDescent="0.3">
      <c r="A83" t="s">
        <v>1363</v>
      </c>
      <c r="B83" t="s">
        <v>1363</v>
      </c>
      <c r="C83"/>
      <c r="D83">
        <v>1</v>
      </c>
      <c r="E83"/>
      <c r="F83"/>
      <c r="G83" t="s">
        <v>106</v>
      </c>
      <c r="H83" t="s">
        <v>692</v>
      </c>
      <c r="I83" t="s">
        <v>1379</v>
      </c>
      <c r="J83">
        <v>25</v>
      </c>
      <c r="K83" s="117">
        <v>0</v>
      </c>
      <c r="L83" t="s">
        <v>304</v>
      </c>
      <c r="M83" t="s">
        <v>1380</v>
      </c>
      <c r="N83" t="s">
        <v>839</v>
      </c>
      <c r="O83"/>
      <c r="P83"/>
      <c r="Q83"/>
      <c r="R83"/>
      <c r="S83"/>
      <c r="T83"/>
      <c r="U83"/>
      <c r="V83" t="s">
        <v>841</v>
      </c>
      <c r="W83" t="s">
        <v>1407</v>
      </c>
      <c r="X83"/>
      <c r="Y83"/>
      <c r="Z83"/>
      <c r="AA83"/>
      <c r="AB83" t="s">
        <v>1405</v>
      </c>
      <c r="AC83"/>
      <c r="AD83"/>
      <c r="AE83"/>
      <c r="AF83"/>
    </row>
    <row r="84" spans="1:32" x14ac:dyDescent="0.3">
      <c r="A84" t="s">
        <v>1364</v>
      </c>
      <c r="B84" t="s">
        <v>1364</v>
      </c>
      <c r="C84"/>
      <c r="D84">
        <v>1</v>
      </c>
      <c r="E84"/>
      <c r="F84"/>
      <c r="G84" t="s">
        <v>697</v>
      </c>
      <c r="H84" t="s">
        <v>692</v>
      </c>
      <c r="I84" t="s">
        <v>1381</v>
      </c>
      <c r="J84">
        <v>25</v>
      </c>
      <c r="K84" s="117">
        <v>0</v>
      </c>
      <c r="L84" t="s">
        <v>304</v>
      </c>
      <c r="M84" t="s">
        <v>1382</v>
      </c>
      <c r="N84" t="s">
        <v>839</v>
      </c>
      <c r="O84"/>
      <c r="P84"/>
      <c r="Q84"/>
      <c r="R84"/>
      <c r="S84"/>
      <c r="T84"/>
      <c r="U84"/>
      <c r="V84" t="s">
        <v>841</v>
      </c>
      <c r="W84" t="s">
        <v>1407</v>
      </c>
      <c r="X84"/>
      <c r="Y84"/>
      <c r="Z84"/>
      <c r="AA84"/>
      <c r="AB84" t="s">
        <v>1405</v>
      </c>
      <c r="AC84"/>
      <c r="AD84"/>
      <c r="AE84"/>
      <c r="AF84"/>
    </row>
    <row r="85" spans="1:32" x14ac:dyDescent="0.3">
      <c r="A85" t="s">
        <v>1365</v>
      </c>
      <c r="B85" t="s">
        <v>1365</v>
      </c>
      <c r="C85"/>
      <c r="D85">
        <v>1</v>
      </c>
      <c r="E85"/>
      <c r="F85"/>
      <c r="G85" t="s">
        <v>697</v>
      </c>
      <c r="H85" t="s">
        <v>692</v>
      </c>
      <c r="I85" t="s">
        <v>1383</v>
      </c>
      <c r="J85">
        <v>25</v>
      </c>
      <c r="K85" s="117">
        <v>0</v>
      </c>
      <c r="L85" t="s">
        <v>304</v>
      </c>
      <c r="M85" t="s">
        <v>1384</v>
      </c>
      <c r="N85" t="s">
        <v>839</v>
      </c>
      <c r="O85"/>
      <c r="P85"/>
      <c r="Q85"/>
      <c r="R85"/>
      <c r="S85"/>
      <c r="T85"/>
      <c r="U85"/>
      <c r="V85" t="s">
        <v>841</v>
      </c>
      <c r="W85" t="s">
        <v>1407</v>
      </c>
      <c r="X85"/>
      <c r="Y85"/>
      <c r="Z85"/>
      <c r="AA85"/>
      <c r="AB85" t="s">
        <v>1405</v>
      </c>
      <c r="AC85"/>
      <c r="AD85"/>
      <c r="AE85"/>
      <c r="AF85"/>
    </row>
    <row r="86" spans="1:32" x14ac:dyDescent="0.3">
      <c r="A86" t="s">
        <v>1366</v>
      </c>
      <c r="B86" t="s">
        <v>1366</v>
      </c>
      <c r="C86"/>
      <c r="D86">
        <v>1</v>
      </c>
      <c r="E86"/>
      <c r="F86"/>
      <c r="G86" t="s">
        <v>697</v>
      </c>
      <c r="H86" t="s">
        <v>692</v>
      </c>
      <c r="I86" t="s">
        <v>1385</v>
      </c>
      <c r="J86">
        <v>25</v>
      </c>
      <c r="K86" s="117">
        <v>0</v>
      </c>
      <c r="L86" t="s">
        <v>304</v>
      </c>
      <c r="M86" t="s">
        <v>1386</v>
      </c>
      <c r="N86" t="s">
        <v>839</v>
      </c>
      <c r="O86"/>
      <c r="P86"/>
      <c r="Q86"/>
      <c r="R86"/>
      <c r="S86"/>
      <c r="T86"/>
      <c r="U86"/>
      <c r="V86" t="s">
        <v>841</v>
      </c>
      <c r="W86" t="s">
        <v>1407</v>
      </c>
      <c r="X86"/>
      <c r="Y86"/>
      <c r="Z86"/>
      <c r="AA86"/>
      <c r="AB86" t="s">
        <v>1405</v>
      </c>
      <c r="AC86"/>
      <c r="AD86"/>
      <c r="AE86"/>
      <c r="AF86"/>
    </row>
    <row r="87" spans="1:32" x14ac:dyDescent="0.3">
      <c r="A87" t="s">
        <v>1367</v>
      </c>
      <c r="B87" t="s">
        <v>1367</v>
      </c>
      <c r="C87"/>
      <c r="D87">
        <v>1</v>
      </c>
      <c r="E87"/>
      <c r="F87"/>
      <c r="G87" t="s">
        <v>697</v>
      </c>
      <c r="H87" t="s">
        <v>692</v>
      </c>
      <c r="I87" t="s">
        <v>1387</v>
      </c>
      <c r="J87">
        <v>25</v>
      </c>
      <c r="K87" s="117">
        <v>0</v>
      </c>
      <c r="L87" t="s">
        <v>304</v>
      </c>
      <c r="M87" t="s">
        <v>1388</v>
      </c>
      <c r="N87" t="s">
        <v>839</v>
      </c>
      <c r="O87"/>
      <c r="P87"/>
      <c r="Q87"/>
      <c r="R87"/>
      <c r="S87"/>
      <c r="T87"/>
      <c r="U87"/>
      <c r="V87" t="s">
        <v>841</v>
      </c>
      <c r="W87" t="s">
        <v>1407</v>
      </c>
      <c r="X87"/>
      <c r="Y87"/>
      <c r="Z87"/>
      <c r="AA87"/>
      <c r="AB87" t="s">
        <v>1405</v>
      </c>
      <c r="AC87"/>
      <c r="AD87"/>
      <c r="AE87"/>
      <c r="AF87"/>
    </row>
    <row r="88" spans="1:32" x14ac:dyDescent="0.3">
      <c r="A88" t="s">
        <v>1368</v>
      </c>
      <c r="B88" t="s">
        <v>1368</v>
      </c>
      <c r="C88"/>
      <c r="D88">
        <v>1</v>
      </c>
      <c r="E88"/>
      <c r="F88"/>
      <c r="G88" t="s">
        <v>697</v>
      </c>
      <c r="H88" t="s">
        <v>692</v>
      </c>
      <c r="I88" t="s">
        <v>1389</v>
      </c>
      <c r="J88">
        <v>25</v>
      </c>
      <c r="K88" s="117">
        <v>0</v>
      </c>
      <c r="L88" t="s">
        <v>304</v>
      </c>
      <c r="M88" t="s">
        <v>1390</v>
      </c>
      <c r="N88" t="s">
        <v>839</v>
      </c>
      <c r="O88"/>
      <c r="P88"/>
      <c r="Q88"/>
      <c r="R88"/>
      <c r="S88"/>
      <c r="T88"/>
      <c r="U88"/>
      <c r="V88" t="s">
        <v>841</v>
      </c>
      <c r="W88" t="s">
        <v>1407</v>
      </c>
      <c r="X88"/>
      <c r="Y88"/>
      <c r="Z88"/>
      <c r="AA88"/>
      <c r="AB88" t="s">
        <v>1405</v>
      </c>
      <c r="AC88"/>
      <c r="AD88"/>
      <c r="AE88"/>
      <c r="AF88"/>
    </row>
    <row r="89" spans="1:32" x14ac:dyDescent="0.3">
      <c r="A89" t="s">
        <v>1369</v>
      </c>
      <c r="B89" t="s">
        <v>1369</v>
      </c>
      <c r="C89"/>
      <c r="D89">
        <v>1</v>
      </c>
      <c r="E89"/>
      <c r="F89"/>
      <c r="G89" t="s">
        <v>697</v>
      </c>
      <c r="H89" t="s">
        <v>692</v>
      </c>
      <c r="I89" t="s">
        <v>1391</v>
      </c>
      <c r="J89">
        <v>25</v>
      </c>
      <c r="K89" s="117">
        <v>0</v>
      </c>
      <c r="L89" t="s">
        <v>304</v>
      </c>
      <c r="M89" t="s">
        <v>1392</v>
      </c>
      <c r="N89" t="s">
        <v>839</v>
      </c>
      <c r="O89"/>
      <c r="P89"/>
      <c r="Q89"/>
      <c r="R89"/>
      <c r="S89"/>
      <c r="T89"/>
      <c r="U89"/>
      <c r="V89" t="s">
        <v>841</v>
      </c>
      <c r="W89" t="s">
        <v>1407</v>
      </c>
      <c r="X89"/>
      <c r="Y89"/>
      <c r="Z89"/>
      <c r="AA89"/>
      <c r="AB89" t="s">
        <v>1405</v>
      </c>
      <c r="AC89"/>
      <c r="AD89"/>
      <c r="AE89"/>
      <c r="AF89"/>
    </row>
    <row r="90" spans="1:32" x14ac:dyDescent="0.3">
      <c r="A90" t="s">
        <v>1370</v>
      </c>
      <c r="B90" t="s">
        <v>1370</v>
      </c>
      <c r="C90"/>
      <c r="D90">
        <v>1</v>
      </c>
      <c r="E90"/>
      <c r="F90"/>
      <c r="G90" t="s">
        <v>698</v>
      </c>
      <c r="H90" t="s">
        <v>699</v>
      </c>
      <c r="I90" t="s">
        <v>1393</v>
      </c>
      <c r="J90">
        <v>25</v>
      </c>
      <c r="K90" s="117">
        <v>0</v>
      </c>
      <c r="L90" t="s">
        <v>304</v>
      </c>
      <c r="M90" t="s">
        <v>1394</v>
      </c>
      <c r="N90" t="s">
        <v>839</v>
      </c>
      <c r="O90"/>
      <c r="P90"/>
      <c r="Q90"/>
      <c r="R90"/>
      <c r="S90"/>
      <c r="T90"/>
      <c r="U90"/>
      <c r="V90" t="s">
        <v>841</v>
      </c>
      <c r="W90" t="s">
        <v>1407</v>
      </c>
      <c r="X90"/>
      <c r="Y90"/>
      <c r="Z90"/>
      <c r="AA90"/>
      <c r="AB90" t="s">
        <v>1405</v>
      </c>
      <c r="AC90"/>
      <c r="AD90"/>
      <c r="AE90"/>
      <c r="AF90"/>
    </row>
    <row r="91" spans="1:32" x14ac:dyDescent="0.3">
      <c r="A91" t="s">
        <v>1371</v>
      </c>
      <c r="B91" t="s">
        <v>1371</v>
      </c>
      <c r="C91"/>
      <c r="D91">
        <v>1</v>
      </c>
      <c r="E91"/>
      <c r="F91"/>
      <c r="G91" t="s">
        <v>700</v>
      </c>
      <c r="H91" t="s">
        <v>310</v>
      </c>
      <c r="I91" t="s">
        <v>1395</v>
      </c>
      <c r="J91">
        <v>25</v>
      </c>
      <c r="K91" s="117">
        <v>0</v>
      </c>
      <c r="L91" t="s">
        <v>304</v>
      </c>
      <c r="M91" t="s">
        <v>1396</v>
      </c>
      <c r="N91" t="s">
        <v>839</v>
      </c>
      <c r="O91"/>
      <c r="P91"/>
      <c r="Q91"/>
      <c r="R91"/>
      <c r="S91"/>
      <c r="T91"/>
      <c r="U91"/>
      <c r="V91" t="s">
        <v>841</v>
      </c>
      <c r="W91" t="s">
        <v>1407</v>
      </c>
      <c r="X91"/>
      <c r="Y91"/>
      <c r="Z91"/>
      <c r="AA91"/>
      <c r="AB91" t="s">
        <v>1405</v>
      </c>
      <c r="AC91"/>
      <c r="AD91"/>
      <c r="AE91"/>
      <c r="AF91"/>
    </row>
    <row r="92" spans="1:32" x14ac:dyDescent="0.3">
      <c r="A92" t="s">
        <v>1372</v>
      </c>
      <c r="B92" t="s">
        <v>1372</v>
      </c>
      <c r="C92"/>
      <c r="D92">
        <v>1</v>
      </c>
      <c r="E92"/>
      <c r="F92"/>
      <c r="G92" t="s">
        <v>707</v>
      </c>
      <c r="H92" t="s">
        <v>310</v>
      </c>
      <c r="I92" t="s">
        <v>1397</v>
      </c>
      <c r="J92">
        <v>25</v>
      </c>
      <c r="K92" s="117">
        <v>0</v>
      </c>
      <c r="L92" t="s">
        <v>304</v>
      </c>
      <c r="M92" t="s">
        <v>1398</v>
      </c>
      <c r="N92" t="s">
        <v>839</v>
      </c>
      <c r="O92"/>
      <c r="P92"/>
      <c r="Q92"/>
      <c r="R92"/>
      <c r="S92"/>
      <c r="T92"/>
      <c r="U92"/>
      <c r="V92" t="s">
        <v>841</v>
      </c>
      <c r="W92" t="s">
        <v>1407</v>
      </c>
      <c r="X92"/>
      <c r="Y92"/>
      <c r="Z92"/>
      <c r="AA92"/>
      <c r="AB92" t="s">
        <v>1405</v>
      </c>
      <c r="AC92"/>
      <c r="AD92"/>
      <c r="AE92"/>
      <c r="AF92"/>
    </row>
    <row r="93" spans="1:32" x14ac:dyDescent="0.3">
      <c r="A93" t="s">
        <v>1373</v>
      </c>
      <c r="B93" t="s">
        <v>1373</v>
      </c>
      <c r="C93"/>
      <c r="D93">
        <v>1</v>
      </c>
      <c r="E93"/>
      <c r="F93"/>
      <c r="G93" t="s">
        <v>708</v>
      </c>
      <c r="H93" t="s">
        <v>310</v>
      </c>
      <c r="I93" t="s">
        <v>1399</v>
      </c>
      <c r="J93">
        <v>25</v>
      </c>
      <c r="K93" s="117">
        <v>0</v>
      </c>
      <c r="L93" t="s">
        <v>304</v>
      </c>
      <c r="M93" t="s">
        <v>1400</v>
      </c>
      <c r="N93" t="s">
        <v>839</v>
      </c>
      <c r="O93"/>
      <c r="P93"/>
      <c r="Q93"/>
      <c r="R93"/>
      <c r="S93"/>
      <c r="T93"/>
      <c r="U93"/>
      <c r="V93" t="s">
        <v>841</v>
      </c>
      <c r="W93" t="s">
        <v>1407</v>
      </c>
      <c r="X93"/>
      <c r="Y93"/>
      <c r="Z93"/>
      <c r="AA93"/>
      <c r="AB93" t="s">
        <v>1405</v>
      </c>
      <c r="AC93"/>
      <c r="AD93"/>
      <c r="AE93"/>
      <c r="AF93"/>
    </row>
    <row r="94" spans="1:32" x14ac:dyDescent="0.3">
      <c r="A94" s="84" t="s">
        <v>1374</v>
      </c>
      <c r="B94" s="84" t="s">
        <v>1374</v>
      </c>
      <c r="C94" s="84"/>
      <c r="D94" s="84">
        <v>1</v>
      </c>
      <c r="E94" s="84"/>
      <c r="F94" s="84"/>
      <c r="G94" s="84"/>
      <c r="H94" s="84" t="s">
        <v>709</v>
      </c>
      <c r="I94" s="84" t="s">
        <v>1401</v>
      </c>
      <c r="J94" s="84">
        <v>25</v>
      </c>
      <c r="K94" s="118">
        <v>0</v>
      </c>
      <c r="L94" s="84" t="s">
        <v>304</v>
      </c>
      <c r="M94" s="84" t="s">
        <v>1402</v>
      </c>
      <c r="N94" s="84" t="s">
        <v>839</v>
      </c>
      <c r="O94" s="84"/>
      <c r="P94" s="84"/>
      <c r="Q94" s="84"/>
      <c r="R94" s="84"/>
      <c r="S94" s="84"/>
      <c r="T94" s="84"/>
      <c r="U94" s="84"/>
      <c r="V94" s="84" t="s">
        <v>841</v>
      </c>
      <c r="W94" s="84" t="s">
        <v>1407</v>
      </c>
      <c r="X94" s="84"/>
      <c r="Y94" s="84"/>
      <c r="Z94" s="84"/>
      <c r="AA94" s="84"/>
      <c r="AB94" s="84" t="s">
        <v>1405</v>
      </c>
      <c r="AC94" s="84"/>
      <c r="AD94" s="84"/>
      <c r="AE94" s="84"/>
      <c r="AF94" s="84"/>
    </row>
  </sheetData>
  <autoFilter ref="A1:AY1296" xr:uid="{9EF24AF8-9D35-4C8B-835F-0927299CF9AC}"/>
  <printOptions gridLines="1"/>
  <pageMargins left="0" right="0" top="0" bottom="0" header="0" footer="0"/>
  <pageSetup paperSize="8" scale="3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8FC0A-E904-4A5D-8A88-E744D7D8063A}">
  <sheetPr codeName="Sheet9">
    <tabColor theme="5" tint="0.39997558519241921"/>
    <pageSetUpPr fitToPage="1"/>
  </sheetPr>
  <dimension ref="A1:AG1"/>
  <sheetViews>
    <sheetView zoomScaleNormal="100" workbookViewId="0">
      <pane ySplit="1" topLeftCell="A11" activePane="bottomLeft" state="frozen"/>
      <selection activeCell="C13" sqref="C13"/>
      <selection pane="bottomLeft" activeCell="C13" sqref="C13"/>
    </sheetView>
  </sheetViews>
  <sheetFormatPr defaultRowHeight="14.4" x14ac:dyDescent="0.3"/>
  <cols>
    <col min="1" max="1" width="10.88671875" bestFit="1" customWidth="1"/>
    <col min="2" max="2" width="11.6640625" bestFit="1" customWidth="1"/>
    <col min="3" max="3" width="16.33203125" bestFit="1" customWidth="1"/>
    <col min="4" max="4" width="7.5546875" bestFit="1" customWidth="1"/>
    <col min="5" max="5" width="9.109375" bestFit="1" customWidth="1"/>
    <col min="6" max="6" width="10.109375" bestFit="1" customWidth="1"/>
    <col min="7" max="7" width="10.6640625" bestFit="1" customWidth="1"/>
    <col min="8" max="8" width="12.88671875" bestFit="1" customWidth="1"/>
    <col min="9" max="10" width="12.5546875" bestFit="1" customWidth="1"/>
    <col min="11" max="12" width="9" bestFit="1" customWidth="1"/>
    <col min="13" max="13" width="8" bestFit="1" customWidth="1"/>
    <col min="14" max="14" width="8.109375" bestFit="1" customWidth="1"/>
    <col min="15" max="15" width="11.88671875" bestFit="1" customWidth="1"/>
    <col min="16" max="16" width="7.5546875" bestFit="1" customWidth="1"/>
    <col min="17" max="17" width="10.5546875" bestFit="1" customWidth="1"/>
    <col min="18" max="18" width="10.6640625" bestFit="1" customWidth="1"/>
    <col min="19" max="19" width="8.44140625" bestFit="1" customWidth="1"/>
    <col min="20" max="20" width="8.88671875" bestFit="1" customWidth="1"/>
    <col min="21" max="21" width="13" bestFit="1" customWidth="1"/>
    <col min="22" max="22" width="10.88671875" bestFit="1" customWidth="1"/>
    <col min="23" max="23" width="10.109375" bestFit="1" customWidth="1"/>
    <col min="24" max="25" width="9.6640625" bestFit="1" customWidth="1"/>
    <col min="26" max="26" width="10.109375" bestFit="1" customWidth="1"/>
    <col min="27" max="27" width="14.44140625" bestFit="1" customWidth="1"/>
    <col min="28" max="28" width="11.109375" bestFit="1" customWidth="1"/>
    <col min="29" max="29" width="12.88671875" bestFit="1" customWidth="1"/>
    <col min="30" max="30" width="13.44140625" bestFit="1" customWidth="1"/>
    <col min="31" max="31" width="15.5546875" bestFit="1" customWidth="1"/>
    <col min="32" max="32" width="8.44140625" bestFit="1" customWidth="1"/>
    <col min="33" max="33" width="19.33203125" bestFit="1" customWidth="1"/>
    <col min="34" max="52" width="9.109375"/>
  </cols>
  <sheetData>
    <row r="1" spans="1:33" ht="47.25" customHeight="1" thickBot="1" x14ac:dyDescent="0.35">
      <c r="A1" s="30" t="s">
        <v>191</v>
      </c>
      <c r="B1" s="31" t="s">
        <v>198</v>
      </c>
      <c r="C1" s="31" t="s">
        <v>199</v>
      </c>
      <c r="D1" s="31" t="s">
        <v>194</v>
      </c>
      <c r="E1" s="31" t="s">
        <v>195</v>
      </c>
      <c r="F1" s="31" t="s">
        <v>196</v>
      </c>
      <c r="G1" s="31" t="s">
        <v>190</v>
      </c>
      <c r="H1" s="31" t="s">
        <v>197</v>
      </c>
      <c r="I1" s="31" t="s">
        <v>200</v>
      </c>
      <c r="J1" s="31" t="s">
        <v>201</v>
      </c>
      <c r="K1" s="31" t="s">
        <v>202</v>
      </c>
      <c r="L1" s="31" t="s">
        <v>203</v>
      </c>
      <c r="M1" s="31" t="s">
        <v>204</v>
      </c>
      <c r="N1" s="31" t="s">
        <v>205</v>
      </c>
      <c r="O1" s="31" t="s">
        <v>206</v>
      </c>
      <c r="P1" s="31" t="s">
        <v>78</v>
      </c>
      <c r="Q1" s="31" t="s">
        <v>207</v>
      </c>
      <c r="R1" s="31" t="s">
        <v>208</v>
      </c>
      <c r="S1" s="31" t="s">
        <v>209</v>
      </c>
      <c r="T1" s="31" t="s">
        <v>210</v>
      </c>
      <c r="U1" s="31" t="s">
        <v>211</v>
      </c>
      <c r="V1" s="31" t="s">
        <v>212</v>
      </c>
      <c r="W1" s="31" t="s">
        <v>213</v>
      </c>
      <c r="X1" s="31" t="s">
        <v>214</v>
      </c>
      <c r="Y1" s="31" t="s">
        <v>215</v>
      </c>
      <c r="Z1" s="31" t="s">
        <v>216</v>
      </c>
      <c r="AA1" s="31" t="s">
        <v>217</v>
      </c>
      <c r="AB1" s="31" t="s">
        <v>218</v>
      </c>
      <c r="AC1" s="61" t="s">
        <v>192</v>
      </c>
      <c r="AD1" s="30" t="s">
        <v>262</v>
      </c>
      <c r="AE1" s="29" t="s">
        <v>263</v>
      </c>
      <c r="AF1" s="63" t="s">
        <v>251</v>
      </c>
      <c r="AG1" s="59" t="s">
        <v>265</v>
      </c>
    </row>
  </sheetData>
  <autoFilter ref="A1:AZ1" xr:uid="{BE38D730-D6B9-4537-AF63-C263C60BFA2B}"/>
  <printOptions gridLines="1"/>
  <pageMargins left="0" right="0" top="0" bottom="0" header="0" footer="0"/>
  <pageSetup paperSize="8" scale="57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0.39997558519241921"/>
    <pageSetUpPr fitToPage="1"/>
  </sheetPr>
  <dimension ref="A1:AE1"/>
  <sheetViews>
    <sheetView workbookViewId="0">
      <pane ySplit="1" topLeftCell="A3" activePane="bottomLeft" state="frozen"/>
      <selection activeCell="C13" sqref="C13"/>
      <selection pane="bottomLeft" activeCell="C13" sqref="C13"/>
    </sheetView>
  </sheetViews>
  <sheetFormatPr defaultRowHeight="14.4" x14ac:dyDescent="0.3"/>
  <cols>
    <col min="1" max="1" width="6.5546875" bestFit="1" customWidth="1"/>
    <col min="2" max="2" width="8.5546875" bestFit="1" customWidth="1"/>
    <col min="3" max="3" width="5.33203125" bestFit="1" customWidth="1"/>
    <col min="4" max="4" width="5.6640625" bestFit="1" customWidth="1"/>
    <col min="5" max="5" width="10.109375" bestFit="1" customWidth="1"/>
    <col min="6" max="6" width="10.6640625" bestFit="1" customWidth="1"/>
    <col min="7" max="14" width="9.88671875" bestFit="1" customWidth="1"/>
    <col min="15" max="15" width="9.33203125" bestFit="1" customWidth="1"/>
    <col min="16" max="16" width="5.88671875" bestFit="1" customWidth="1"/>
    <col min="17" max="17" width="5.33203125" bestFit="1" customWidth="1"/>
    <col min="18" max="18" width="9.5546875" bestFit="1" customWidth="1"/>
    <col min="19" max="19" width="11.33203125" bestFit="1" customWidth="1"/>
    <col min="20" max="20" width="10.6640625" bestFit="1" customWidth="1"/>
    <col min="21" max="21" width="12.5546875" bestFit="1" customWidth="1"/>
    <col min="22" max="22" width="7.33203125" bestFit="1" customWidth="1"/>
    <col min="23" max="23" width="9.6640625" bestFit="1" customWidth="1"/>
    <col min="24" max="24" width="7.6640625" bestFit="1" customWidth="1"/>
    <col min="25" max="25" width="11.5546875" bestFit="1" customWidth="1"/>
    <col min="26" max="26" width="10.88671875" bestFit="1" customWidth="1"/>
    <col min="27" max="27" width="10.33203125" bestFit="1" customWidth="1"/>
    <col min="28" max="28" width="8.5546875" bestFit="1" customWidth="1"/>
    <col min="29" max="29" width="6" bestFit="1" customWidth="1"/>
    <col min="30" max="30" width="9.44140625" bestFit="1" customWidth="1"/>
    <col min="31" max="31" width="7.88671875" bestFit="1" customWidth="1"/>
  </cols>
  <sheetData>
    <row r="1" spans="1:31" x14ac:dyDescent="0.3">
      <c r="A1" s="1" t="s">
        <v>0</v>
      </c>
      <c r="B1" s="1" t="s">
        <v>19</v>
      </c>
      <c r="C1" s="1" t="s">
        <v>1</v>
      </c>
      <c r="D1" s="1" t="s">
        <v>38</v>
      </c>
      <c r="E1" s="1" t="s">
        <v>58</v>
      </c>
      <c r="F1" s="1" t="s">
        <v>10</v>
      </c>
      <c r="G1" s="1" t="s">
        <v>23</v>
      </c>
      <c r="H1" s="1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  <c r="N1" s="1" t="s">
        <v>30</v>
      </c>
      <c r="O1" s="1" t="s">
        <v>59</v>
      </c>
      <c r="P1" s="1" t="s">
        <v>60</v>
      </c>
      <c r="Q1" s="1" t="s">
        <v>36</v>
      </c>
      <c r="R1" s="1" t="s">
        <v>61</v>
      </c>
      <c r="S1" s="1" t="s">
        <v>62</v>
      </c>
      <c r="T1" s="1" t="s">
        <v>63</v>
      </c>
      <c r="U1" s="1" t="s">
        <v>18</v>
      </c>
      <c r="V1" s="1" t="s">
        <v>12</v>
      </c>
      <c r="W1" s="1" t="s">
        <v>11</v>
      </c>
      <c r="X1" s="1" t="s">
        <v>64</v>
      </c>
      <c r="Y1" s="1" t="s">
        <v>65</v>
      </c>
      <c r="Z1" s="1" t="s">
        <v>66</v>
      </c>
      <c r="AA1" s="1" t="s">
        <v>67</v>
      </c>
      <c r="AB1" s="1" t="s">
        <v>68</v>
      </c>
      <c r="AC1" s="1" t="s">
        <v>69</v>
      </c>
      <c r="AD1" s="1" t="s">
        <v>70</v>
      </c>
      <c r="AE1" s="1" t="s">
        <v>71</v>
      </c>
    </row>
  </sheetData>
  <printOptions gridLines="1"/>
  <pageMargins left="0" right="0" top="0" bottom="0" header="0" footer="0"/>
  <pageSetup paperSize="8" scale="75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7" tint="0.79998168889431442"/>
    <pageSetUpPr fitToPage="1"/>
  </sheetPr>
  <dimension ref="A1:AG385"/>
  <sheetViews>
    <sheetView workbookViewId="0">
      <pane ySplit="1" topLeftCell="A2" activePane="bottomLeft" state="frozen"/>
      <selection activeCell="C13" sqref="C13"/>
      <selection pane="bottomLeft" activeCell="C13" sqref="C13"/>
    </sheetView>
  </sheetViews>
  <sheetFormatPr defaultRowHeight="14.4" x14ac:dyDescent="0.3"/>
  <cols>
    <col min="1" max="1" width="44.88671875" customWidth="1"/>
    <col min="2" max="2" width="9.88671875" customWidth="1"/>
    <col min="3" max="3" width="15.44140625" customWidth="1"/>
    <col min="4" max="4" width="28.6640625" bestFit="1" customWidth="1"/>
    <col min="5" max="5" width="11" bestFit="1" customWidth="1"/>
    <col min="6" max="6" width="10.5546875" bestFit="1" customWidth="1"/>
    <col min="7" max="7" width="10.44140625" bestFit="1" customWidth="1"/>
    <col min="8" max="8" width="10" bestFit="1" customWidth="1"/>
    <col min="9" max="9" width="11.33203125" bestFit="1" customWidth="1"/>
    <col min="10" max="10" width="8.6640625" bestFit="1" customWidth="1"/>
    <col min="11" max="11" width="85.44140625" bestFit="1" customWidth="1"/>
    <col min="12" max="12" width="9.6640625" bestFit="1" customWidth="1"/>
    <col min="13" max="13" width="7.33203125" bestFit="1" customWidth="1"/>
    <col min="14" max="14" width="4.33203125" bestFit="1" customWidth="1"/>
    <col min="15" max="16" width="5.109375" bestFit="1" customWidth="1"/>
    <col min="17" max="17" width="11" bestFit="1" customWidth="1"/>
    <col min="18" max="18" width="8.88671875" bestFit="1" customWidth="1"/>
    <col min="19" max="19" width="12.5546875" bestFit="1" customWidth="1"/>
    <col min="20" max="20" width="9.5546875" bestFit="1" customWidth="1"/>
    <col min="21" max="21" width="6.5546875" bestFit="1" customWidth="1"/>
    <col min="22" max="22" width="5.44140625" bestFit="1" customWidth="1"/>
    <col min="23" max="23" width="10.6640625" bestFit="1" customWidth="1"/>
    <col min="24" max="31" width="9.88671875" bestFit="1" customWidth="1"/>
  </cols>
  <sheetData>
    <row r="1" spans="1:33" x14ac:dyDescent="0.3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D1" s="8" t="s">
        <v>29</v>
      </c>
      <c r="AE1" s="9" t="s">
        <v>30</v>
      </c>
      <c r="AF1" s="82" t="s">
        <v>342</v>
      </c>
      <c r="AG1" s="82" t="s">
        <v>341</v>
      </c>
    </row>
    <row r="2" spans="1:33" x14ac:dyDescent="0.3">
      <c r="A2" s="6"/>
    </row>
    <row r="3" spans="1:33" x14ac:dyDescent="0.3">
      <c r="A3" s="6"/>
    </row>
    <row r="4" spans="1:33" x14ac:dyDescent="0.3">
      <c r="A4" s="6"/>
    </row>
    <row r="5" spans="1:33" x14ac:dyDescent="0.3">
      <c r="A5" s="6"/>
    </row>
    <row r="6" spans="1:33" x14ac:dyDescent="0.3">
      <c r="A6" s="6"/>
    </row>
    <row r="7" spans="1:33" x14ac:dyDescent="0.3">
      <c r="A7" s="6"/>
    </row>
    <row r="8" spans="1:33" x14ac:dyDescent="0.3">
      <c r="A8" s="6"/>
    </row>
    <row r="9" spans="1:33" x14ac:dyDescent="0.3">
      <c r="A9" s="6"/>
    </row>
    <row r="10" spans="1:33" x14ac:dyDescent="0.3">
      <c r="A10" s="6"/>
    </row>
    <row r="11" spans="1:33" x14ac:dyDescent="0.3">
      <c r="A11" s="6"/>
    </row>
    <row r="12" spans="1:33" x14ac:dyDescent="0.3">
      <c r="A12" s="6"/>
    </row>
    <row r="13" spans="1:33" x14ac:dyDescent="0.3">
      <c r="A13" s="6"/>
    </row>
    <row r="14" spans="1:33" x14ac:dyDescent="0.3">
      <c r="A14" s="6"/>
    </row>
    <row r="15" spans="1:33" x14ac:dyDescent="0.3">
      <c r="A15" s="6"/>
    </row>
    <row r="16" spans="1:33" x14ac:dyDescent="0.3">
      <c r="A16" s="6"/>
    </row>
    <row r="17" spans="1:1" x14ac:dyDescent="0.3">
      <c r="A17" s="6"/>
    </row>
    <row r="18" spans="1:1" x14ac:dyDescent="0.3">
      <c r="A18" s="6"/>
    </row>
    <row r="19" spans="1:1" x14ac:dyDescent="0.3">
      <c r="A19" s="6"/>
    </row>
    <row r="20" spans="1:1" x14ac:dyDescent="0.3">
      <c r="A20" s="6"/>
    </row>
    <row r="21" spans="1:1" x14ac:dyDescent="0.3">
      <c r="A21" s="6"/>
    </row>
    <row r="22" spans="1:1" x14ac:dyDescent="0.3">
      <c r="A22" s="6"/>
    </row>
    <row r="23" spans="1:1" x14ac:dyDescent="0.3">
      <c r="A23" s="6"/>
    </row>
    <row r="24" spans="1:1" x14ac:dyDescent="0.3">
      <c r="A24" s="6"/>
    </row>
    <row r="25" spans="1:1" x14ac:dyDescent="0.3">
      <c r="A25" s="6"/>
    </row>
    <row r="26" spans="1:1" x14ac:dyDescent="0.3">
      <c r="A26" s="6"/>
    </row>
    <row r="27" spans="1:1" x14ac:dyDescent="0.3">
      <c r="A27" s="6"/>
    </row>
    <row r="28" spans="1:1" x14ac:dyDescent="0.3">
      <c r="A28" s="6"/>
    </row>
    <row r="29" spans="1:1" x14ac:dyDescent="0.3">
      <c r="A29" s="6"/>
    </row>
    <row r="30" spans="1:1" x14ac:dyDescent="0.3">
      <c r="A30" s="6"/>
    </row>
    <row r="31" spans="1:1" x14ac:dyDescent="0.3">
      <c r="A31" s="6"/>
    </row>
    <row r="32" spans="1:1" x14ac:dyDescent="0.3">
      <c r="A32" s="6"/>
    </row>
    <row r="33" spans="1:1" x14ac:dyDescent="0.3">
      <c r="A33" s="6"/>
    </row>
    <row r="34" spans="1:1" x14ac:dyDescent="0.3">
      <c r="A34" s="6"/>
    </row>
    <row r="35" spans="1:1" x14ac:dyDescent="0.3">
      <c r="A35" s="6"/>
    </row>
    <row r="36" spans="1:1" x14ac:dyDescent="0.3">
      <c r="A36" s="6"/>
    </row>
    <row r="37" spans="1:1" x14ac:dyDescent="0.3">
      <c r="A37" s="6"/>
    </row>
    <row r="38" spans="1:1" x14ac:dyDescent="0.3">
      <c r="A38" s="6"/>
    </row>
    <row r="39" spans="1:1" x14ac:dyDescent="0.3">
      <c r="A39" s="6"/>
    </row>
    <row r="40" spans="1:1" x14ac:dyDescent="0.3">
      <c r="A40" s="6"/>
    </row>
    <row r="41" spans="1:1" x14ac:dyDescent="0.3">
      <c r="A41" s="6"/>
    </row>
    <row r="42" spans="1:1" x14ac:dyDescent="0.3">
      <c r="A42" s="6"/>
    </row>
    <row r="43" spans="1:1" x14ac:dyDescent="0.3">
      <c r="A43" s="6"/>
    </row>
    <row r="44" spans="1:1" x14ac:dyDescent="0.3">
      <c r="A44" s="6"/>
    </row>
    <row r="45" spans="1:1" x14ac:dyDescent="0.3">
      <c r="A45" s="6"/>
    </row>
    <row r="46" spans="1:1" x14ac:dyDescent="0.3">
      <c r="A46" s="6"/>
    </row>
    <row r="47" spans="1:1" x14ac:dyDescent="0.3">
      <c r="A47" s="6"/>
    </row>
    <row r="48" spans="1:1" x14ac:dyDescent="0.3">
      <c r="A48" s="6"/>
    </row>
    <row r="49" spans="1:1" x14ac:dyDescent="0.3">
      <c r="A49" s="6"/>
    </row>
    <row r="50" spans="1:1" x14ac:dyDescent="0.3">
      <c r="A50" s="6"/>
    </row>
    <row r="51" spans="1:1" x14ac:dyDescent="0.3">
      <c r="A51" s="6"/>
    </row>
    <row r="52" spans="1:1" x14ac:dyDescent="0.3">
      <c r="A52" s="6"/>
    </row>
    <row r="53" spans="1:1" x14ac:dyDescent="0.3">
      <c r="A53" s="6"/>
    </row>
    <row r="54" spans="1:1" x14ac:dyDescent="0.3">
      <c r="A54" s="6"/>
    </row>
    <row r="55" spans="1:1" x14ac:dyDescent="0.3">
      <c r="A55" s="6"/>
    </row>
    <row r="56" spans="1:1" x14ac:dyDescent="0.3">
      <c r="A56" s="6"/>
    </row>
    <row r="57" spans="1:1" x14ac:dyDescent="0.3">
      <c r="A57" s="6"/>
    </row>
    <row r="58" spans="1:1" x14ac:dyDescent="0.3">
      <c r="A58" s="6"/>
    </row>
    <row r="59" spans="1:1" x14ac:dyDescent="0.3">
      <c r="A59" s="6"/>
    </row>
    <row r="60" spans="1:1" x14ac:dyDescent="0.3">
      <c r="A60" s="6"/>
    </row>
    <row r="61" spans="1:1" x14ac:dyDescent="0.3">
      <c r="A61" s="6"/>
    </row>
    <row r="62" spans="1:1" x14ac:dyDescent="0.3">
      <c r="A62" s="6"/>
    </row>
    <row r="63" spans="1:1" x14ac:dyDescent="0.3">
      <c r="A63" s="6"/>
    </row>
    <row r="64" spans="1:1" x14ac:dyDescent="0.3">
      <c r="A64" s="6"/>
    </row>
    <row r="65" spans="1:1" x14ac:dyDescent="0.3">
      <c r="A65" s="6"/>
    </row>
    <row r="66" spans="1:1" x14ac:dyDescent="0.3">
      <c r="A66" s="6"/>
    </row>
    <row r="67" spans="1:1" x14ac:dyDescent="0.3">
      <c r="A67" s="6"/>
    </row>
    <row r="68" spans="1:1" x14ac:dyDescent="0.3">
      <c r="A68" s="6"/>
    </row>
    <row r="69" spans="1:1" x14ac:dyDescent="0.3">
      <c r="A69" s="6"/>
    </row>
    <row r="70" spans="1:1" x14ac:dyDescent="0.3">
      <c r="A70" s="6"/>
    </row>
    <row r="71" spans="1:1" x14ac:dyDescent="0.3">
      <c r="A71" s="6"/>
    </row>
    <row r="72" spans="1:1" x14ac:dyDescent="0.3">
      <c r="A72" s="6"/>
    </row>
    <row r="73" spans="1:1" x14ac:dyDescent="0.3">
      <c r="A73" s="6"/>
    </row>
    <row r="74" spans="1:1" x14ac:dyDescent="0.3">
      <c r="A74" s="6"/>
    </row>
    <row r="75" spans="1:1" x14ac:dyDescent="0.3">
      <c r="A75" s="6"/>
    </row>
    <row r="76" spans="1:1" x14ac:dyDescent="0.3">
      <c r="A76" s="6"/>
    </row>
    <row r="77" spans="1:1" x14ac:dyDescent="0.3">
      <c r="A77" s="6"/>
    </row>
    <row r="78" spans="1:1" x14ac:dyDescent="0.3">
      <c r="A78" s="6"/>
    </row>
    <row r="79" spans="1:1" x14ac:dyDescent="0.3">
      <c r="A79" s="6"/>
    </row>
    <row r="80" spans="1:1" x14ac:dyDescent="0.3">
      <c r="A80" s="6"/>
    </row>
    <row r="81" spans="1:1" x14ac:dyDescent="0.3">
      <c r="A81" s="6"/>
    </row>
    <row r="82" spans="1:1" x14ac:dyDescent="0.3">
      <c r="A82" s="6"/>
    </row>
    <row r="83" spans="1:1" x14ac:dyDescent="0.3">
      <c r="A83" s="6"/>
    </row>
    <row r="84" spans="1:1" x14ac:dyDescent="0.3">
      <c r="A84" s="6"/>
    </row>
    <row r="85" spans="1:1" x14ac:dyDescent="0.3">
      <c r="A85" s="6"/>
    </row>
    <row r="86" spans="1:1" x14ac:dyDescent="0.3">
      <c r="A86" s="6"/>
    </row>
    <row r="87" spans="1:1" x14ac:dyDescent="0.3">
      <c r="A87" s="6"/>
    </row>
    <row r="88" spans="1:1" x14ac:dyDescent="0.3">
      <c r="A88" s="6"/>
    </row>
    <row r="89" spans="1:1" x14ac:dyDescent="0.3">
      <c r="A89" s="6"/>
    </row>
    <row r="90" spans="1:1" x14ac:dyDescent="0.3">
      <c r="A90" s="6"/>
    </row>
    <row r="91" spans="1:1" x14ac:dyDescent="0.3">
      <c r="A91" s="6"/>
    </row>
    <row r="92" spans="1:1" x14ac:dyDescent="0.3">
      <c r="A92" s="6"/>
    </row>
    <row r="93" spans="1:1" x14ac:dyDescent="0.3">
      <c r="A93" s="6"/>
    </row>
    <row r="94" spans="1:1" x14ac:dyDescent="0.3">
      <c r="A94" s="6"/>
    </row>
    <row r="95" spans="1:1" x14ac:dyDescent="0.3">
      <c r="A95" s="6"/>
    </row>
    <row r="96" spans="1:1" x14ac:dyDescent="0.3">
      <c r="A96" s="6"/>
    </row>
    <row r="97" spans="1:1" x14ac:dyDescent="0.3">
      <c r="A97" s="6"/>
    </row>
    <row r="98" spans="1:1" x14ac:dyDescent="0.3">
      <c r="A98" s="6"/>
    </row>
    <row r="99" spans="1:1" x14ac:dyDescent="0.3">
      <c r="A99" s="6"/>
    </row>
    <row r="100" spans="1:1" x14ac:dyDescent="0.3">
      <c r="A100" s="6"/>
    </row>
    <row r="101" spans="1:1" x14ac:dyDescent="0.3">
      <c r="A101" s="6"/>
    </row>
    <row r="102" spans="1:1" x14ac:dyDescent="0.3">
      <c r="A102" s="6"/>
    </row>
    <row r="103" spans="1:1" x14ac:dyDescent="0.3">
      <c r="A103" s="6"/>
    </row>
    <row r="104" spans="1:1" x14ac:dyDescent="0.3">
      <c r="A104" s="6"/>
    </row>
    <row r="105" spans="1:1" x14ac:dyDescent="0.3">
      <c r="A105" s="6"/>
    </row>
    <row r="106" spans="1:1" x14ac:dyDescent="0.3">
      <c r="A106" s="6"/>
    </row>
    <row r="107" spans="1:1" x14ac:dyDescent="0.3">
      <c r="A107" s="6"/>
    </row>
    <row r="108" spans="1:1" x14ac:dyDescent="0.3">
      <c r="A108" s="6"/>
    </row>
    <row r="109" spans="1:1" x14ac:dyDescent="0.3">
      <c r="A109" s="6"/>
    </row>
    <row r="110" spans="1:1" x14ac:dyDescent="0.3">
      <c r="A110" s="6"/>
    </row>
    <row r="111" spans="1:1" x14ac:dyDescent="0.3">
      <c r="A111" s="6"/>
    </row>
    <row r="112" spans="1:1" x14ac:dyDescent="0.3">
      <c r="A112" s="6"/>
    </row>
    <row r="113" spans="1:1" x14ac:dyDescent="0.3">
      <c r="A113" s="6"/>
    </row>
    <row r="114" spans="1:1" x14ac:dyDescent="0.3">
      <c r="A114" s="6"/>
    </row>
    <row r="115" spans="1:1" x14ac:dyDescent="0.3">
      <c r="A115" s="6"/>
    </row>
    <row r="116" spans="1:1" x14ac:dyDescent="0.3">
      <c r="A116" s="6"/>
    </row>
    <row r="117" spans="1:1" x14ac:dyDescent="0.3">
      <c r="A117" s="6"/>
    </row>
    <row r="118" spans="1:1" x14ac:dyDescent="0.3">
      <c r="A118" s="6"/>
    </row>
    <row r="119" spans="1:1" x14ac:dyDescent="0.3">
      <c r="A119" s="6"/>
    </row>
    <row r="120" spans="1:1" x14ac:dyDescent="0.3">
      <c r="A120" s="6"/>
    </row>
    <row r="121" spans="1:1" x14ac:dyDescent="0.3">
      <c r="A121" s="6"/>
    </row>
    <row r="122" spans="1:1" x14ac:dyDescent="0.3">
      <c r="A122" s="6"/>
    </row>
    <row r="123" spans="1:1" x14ac:dyDescent="0.3">
      <c r="A123" s="6"/>
    </row>
    <row r="124" spans="1:1" x14ac:dyDescent="0.3">
      <c r="A124" s="6"/>
    </row>
    <row r="125" spans="1:1" x14ac:dyDescent="0.3">
      <c r="A125" s="6"/>
    </row>
    <row r="126" spans="1:1" x14ac:dyDescent="0.3">
      <c r="A126" s="6"/>
    </row>
    <row r="127" spans="1:1" x14ac:dyDescent="0.3">
      <c r="A127" s="6"/>
    </row>
    <row r="128" spans="1:1" x14ac:dyDescent="0.3">
      <c r="A128" s="6"/>
    </row>
    <row r="129" spans="1:1" x14ac:dyDescent="0.3">
      <c r="A129" s="6"/>
    </row>
    <row r="130" spans="1:1" x14ac:dyDescent="0.3">
      <c r="A130" s="6"/>
    </row>
    <row r="131" spans="1:1" x14ac:dyDescent="0.3">
      <c r="A131" s="6"/>
    </row>
    <row r="132" spans="1:1" x14ac:dyDescent="0.3">
      <c r="A132" s="6"/>
    </row>
    <row r="133" spans="1:1" x14ac:dyDescent="0.3">
      <c r="A133" s="6"/>
    </row>
    <row r="134" spans="1:1" x14ac:dyDescent="0.3">
      <c r="A134" s="6"/>
    </row>
    <row r="135" spans="1:1" x14ac:dyDescent="0.3">
      <c r="A135" s="6"/>
    </row>
    <row r="136" spans="1:1" x14ac:dyDescent="0.3">
      <c r="A136" s="6"/>
    </row>
    <row r="137" spans="1:1" x14ac:dyDescent="0.3">
      <c r="A137" s="6"/>
    </row>
    <row r="138" spans="1:1" x14ac:dyDescent="0.3">
      <c r="A138" s="6"/>
    </row>
    <row r="139" spans="1:1" x14ac:dyDescent="0.3">
      <c r="A139" s="6"/>
    </row>
    <row r="140" spans="1:1" x14ac:dyDescent="0.3">
      <c r="A140" s="6"/>
    </row>
    <row r="141" spans="1:1" x14ac:dyDescent="0.3">
      <c r="A141" s="6"/>
    </row>
    <row r="142" spans="1:1" x14ac:dyDescent="0.3">
      <c r="A142" s="6"/>
    </row>
    <row r="143" spans="1:1" x14ac:dyDescent="0.3">
      <c r="A143" s="6"/>
    </row>
    <row r="144" spans="1:1" x14ac:dyDescent="0.3">
      <c r="A144" s="6"/>
    </row>
    <row r="145" spans="1:1" x14ac:dyDescent="0.3">
      <c r="A145" s="6"/>
    </row>
    <row r="146" spans="1:1" x14ac:dyDescent="0.3">
      <c r="A146" s="6"/>
    </row>
    <row r="147" spans="1:1" x14ac:dyDescent="0.3">
      <c r="A147" s="6"/>
    </row>
    <row r="148" spans="1:1" x14ac:dyDescent="0.3">
      <c r="A148" s="6"/>
    </row>
    <row r="149" spans="1:1" x14ac:dyDescent="0.3">
      <c r="A149" s="6"/>
    </row>
    <row r="150" spans="1:1" x14ac:dyDescent="0.3">
      <c r="A150" s="6"/>
    </row>
    <row r="151" spans="1:1" x14ac:dyDescent="0.3">
      <c r="A151" s="6"/>
    </row>
    <row r="152" spans="1:1" x14ac:dyDescent="0.3">
      <c r="A152" s="6"/>
    </row>
    <row r="153" spans="1:1" x14ac:dyDescent="0.3">
      <c r="A153" s="6"/>
    </row>
    <row r="154" spans="1:1" x14ac:dyDescent="0.3">
      <c r="A154" s="6"/>
    </row>
    <row r="155" spans="1:1" x14ac:dyDescent="0.3">
      <c r="A155" s="6"/>
    </row>
    <row r="156" spans="1:1" x14ac:dyDescent="0.3">
      <c r="A156" s="6"/>
    </row>
    <row r="157" spans="1:1" x14ac:dyDescent="0.3">
      <c r="A157" s="6"/>
    </row>
    <row r="158" spans="1:1" x14ac:dyDescent="0.3">
      <c r="A158" s="6"/>
    </row>
    <row r="159" spans="1:1" x14ac:dyDescent="0.3">
      <c r="A159" s="6"/>
    </row>
    <row r="160" spans="1:1" x14ac:dyDescent="0.3">
      <c r="A160" s="6"/>
    </row>
    <row r="161" spans="1:1" x14ac:dyDescent="0.3">
      <c r="A161" s="6"/>
    </row>
    <row r="162" spans="1:1" x14ac:dyDescent="0.3">
      <c r="A162" s="6"/>
    </row>
    <row r="163" spans="1:1" x14ac:dyDescent="0.3">
      <c r="A163" s="6"/>
    </row>
    <row r="164" spans="1:1" x14ac:dyDescent="0.3">
      <c r="A164" s="6"/>
    </row>
    <row r="165" spans="1:1" x14ac:dyDescent="0.3">
      <c r="A165" s="6"/>
    </row>
    <row r="166" spans="1:1" x14ac:dyDescent="0.3">
      <c r="A166" s="6"/>
    </row>
    <row r="167" spans="1:1" x14ac:dyDescent="0.3">
      <c r="A167" s="6"/>
    </row>
    <row r="168" spans="1:1" x14ac:dyDescent="0.3">
      <c r="A168" s="6"/>
    </row>
    <row r="169" spans="1:1" x14ac:dyDescent="0.3">
      <c r="A169" s="6"/>
    </row>
    <row r="170" spans="1:1" x14ac:dyDescent="0.3">
      <c r="A170" s="6"/>
    </row>
    <row r="171" spans="1:1" x14ac:dyDescent="0.3">
      <c r="A171" s="6"/>
    </row>
    <row r="172" spans="1:1" x14ac:dyDescent="0.3">
      <c r="A172" s="6"/>
    </row>
    <row r="173" spans="1:1" x14ac:dyDescent="0.3">
      <c r="A173" s="6"/>
    </row>
    <row r="174" spans="1:1" x14ac:dyDescent="0.3">
      <c r="A174" s="6"/>
    </row>
    <row r="175" spans="1:1" x14ac:dyDescent="0.3">
      <c r="A175" s="6"/>
    </row>
    <row r="176" spans="1:1" x14ac:dyDescent="0.3">
      <c r="A176" s="6"/>
    </row>
    <row r="177" spans="1:1" x14ac:dyDescent="0.3">
      <c r="A177" s="6"/>
    </row>
    <row r="178" spans="1:1" x14ac:dyDescent="0.3">
      <c r="A178" s="6"/>
    </row>
    <row r="179" spans="1:1" x14ac:dyDescent="0.3">
      <c r="A179" s="6"/>
    </row>
    <row r="180" spans="1:1" x14ac:dyDescent="0.3">
      <c r="A180" s="6"/>
    </row>
    <row r="181" spans="1:1" x14ac:dyDescent="0.3">
      <c r="A181" s="6"/>
    </row>
    <row r="182" spans="1:1" x14ac:dyDescent="0.3">
      <c r="A182" s="6"/>
    </row>
    <row r="183" spans="1:1" x14ac:dyDescent="0.3">
      <c r="A183" s="6"/>
    </row>
    <row r="184" spans="1:1" x14ac:dyDescent="0.3">
      <c r="A184" s="6"/>
    </row>
    <row r="185" spans="1:1" x14ac:dyDescent="0.3">
      <c r="A185" s="6"/>
    </row>
    <row r="186" spans="1:1" x14ac:dyDescent="0.3">
      <c r="A186" s="6"/>
    </row>
    <row r="187" spans="1:1" x14ac:dyDescent="0.3">
      <c r="A187" s="6"/>
    </row>
    <row r="188" spans="1:1" x14ac:dyDescent="0.3">
      <c r="A188" s="6"/>
    </row>
    <row r="189" spans="1:1" x14ac:dyDescent="0.3">
      <c r="A189" s="6"/>
    </row>
    <row r="190" spans="1:1" x14ac:dyDescent="0.3">
      <c r="A190" s="6"/>
    </row>
    <row r="191" spans="1:1" x14ac:dyDescent="0.3">
      <c r="A191" s="6"/>
    </row>
    <row r="192" spans="1:1" x14ac:dyDescent="0.3">
      <c r="A192" s="6"/>
    </row>
    <row r="193" spans="1:1" x14ac:dyDescent="0.3">
      <c r="A193" s="6"/>
    </row>
    <row r="194" spans="1:1" x14ac:dyDescent="0.3">
      <c r="A194" s="6"/>
    </row>
    <row r="195" spans="1:1" x14ac:dyDescent="0.3">
      <c r="A195" s="6"/>
    </row>
    <row r="196" spans="1:1" x14ac:dyDescent="0.3">
      <c r="A196" s="6"/>
    </row>
    <row r="197" spans="1:1" x14ac:dyDescent="0.3">
      <c r="A197" s="6"/>
    </row>
    <row r="198" spans="1:1" x14ac:dyDescent="0.3">
      <c r="A198" s="6"/>
    </row>
    <row r="199" spans="1:1" x14ac:dyDescent="0.3">
      <c r="A199" s="6"/>
    </row>
    <row r="200" spans="1:1" x14ac:dyDescent="0.3">
      <c r="A200" s="6"/>
    </row>
    <row r="201" spans="1:1" x14ac:dyDescent="0.3">
      <c r="A201" s="6"/>
    </row>
    <row r="202" spans="1:1" x14ac:dyDescent="0.3">
      <c r="A202" s="6"/>
    </row>
    <row r="203" spans="1:1" x14ac:dyDescent="0.3">
      <c r="A203" s="6"/>
    </row>
    <row r="204" spans="1:1" x14ac:dyDescent="0.3">
      <c r="A204" s="6"/>
    </row>
    <row r="205" spans="1:1" x14ac:dyDescent="0.3">
      <c r="A205" s="6"/>
    </row>
    <row r="206" spans="1:1" x14ac:dyDescent="0.3">
      <c r="A206" s="6"/>
    </row>
    <row r="207" spans="1:1" x14ac:dyDescent="0.3">
      <c r="A207" s="6"/>
    </row>
    <row r="208" spans="1:1" x14ac:dyDescent="0.3">
      <c r="A208" s="6"/>
    </row>
    <row r="209" spans="1:1" x14ac:dyDescent="0.3">
      <c r="A209" s="6"/>
    </row>
    <row r="210" spans="1:1" x14ac:dyDescent="0.3">
      <c r="A210" s="6"/>
    </row>
    <row r="211" spans="1:1" x14ac:dyDescent="0.3">
      <c r="A211" s="6"/>
    </row>
    <row r="212" spans="1:1" x14ac:dyDescent="0.3">
      <c r="A212" s="6"/>
    </row>
    <row r="213" spans="1:1" x14ac:dyDescent="0.3">
      <c r="A213" s="6"/>
    </row>
    <row r="214" spans="1:1" x14ac:dyDescent="0.3">
      <c r="A214" s="6"/>
    </row>
    <row r="215" spans="1:1" x14ac:dyDescent="0.3">
      <c r="A215" s="6"/>
    </row>
    <row r="216" spans="1:1" x14ac:dyDescent="0.3">
      <c r="A216" s="6"/>
    </row>
    <row r="217" spans="1:1" x14ac:dyDescent="0.3">
      <c r="A217" s="6"/>
    </row>
    <row r="218" spans="1:1" x14ac:dyDescent="0.3">
      <c r="A218" s="6"/>
    </row>
    <row r="219" spans="1:1" x14ac:dyDescent="0.3">
      <c r="A219" s="6"/>
    </row>
    <row r="220" spans="1:1" x14ac:dyDescent="0.3">
      <c r="A220" s="6"/>
    </row>
    <row r="221" spans="1:1" x14ac:dyDescent="0.3">
      <c r="A221" s="6"/>
    </row>
    <row r="222" spans="1:1" x14ac:dyDescent="0.3">
      <c r="A222" s="6"/>
    </row>
    <row r="223" spans="1:1" x14ac:dyDescent="0.3">
      <c r="A223" s="6"/>
    </row>
    <row r="224" spans="1:1" x14ac:dyDescent="0.3">
      <c r="A224" s="6"/>
    </row>
    <row r="225" spans="1:1" x14ac:dyDescent="0.3">
      <c r="A225" s="6"/>
    </row>
    <row r="226" spans="1:1" x14ac:dyDescent="0.3">
      <c r="A226" s="6"/>
    </row>
    <row r="227" spans="1:1" x14ac:dyDescent="0.3">
      <c r="A227" s="6"/>
    </row>
    <row r="228" spans="1:1" x14ac:dyDescent="0.3">
      <c r="A228" s="6"/>
    </row>
    <row r="229" spans="1:1" x14ac:dyDescent="0.3">
      <c r="A229" s="6"/>
    </row>
    <row r="230" spans="1:1" x14ac:dyDescent="0.3">
      <c r="A230" s="6"/>
    </row>
    <row r="231" spans="1:1" x14ac:dyDescent="0.3">
      <c r="A231" s="6"/>
    </row>
    <row r="232" spans="1:1" x14ac:dyDescent="0.3">
      <c r="A232" s="6"/>
    </row>
    <row r="233" spans="1:1" x14ac:dyDescent="0.3">
      <c r="A233" s="6"/>
    </row>
    <row r="234" spans="1:1" x14ac:dyDescent="0.3">
      <c r="A234" s="6"/>
    </row>
    <row r="235" spans="1:1" x14ac:dyDescent="0.3">
      <c r="A235" s="6"/>
    </row>
    <row r="236" spans="1:1" x14ac:dyDescent="0.3">
      <c r="A236" s="6"/>
    </row>
    <row r="237" spans="1:1" x14ac:dyDescent="0.3">
      <c r="A237" s="6"/>
    </row>
    <row r="238" spans="1:1" x14ac:dyDescent="0.3">
      <c r="A238" s="6"/>
    </row>
    <row r="239" spans="1:1" x14ac:dyDescent="0.3">
      <c r="A239" s="6"/>
    </row>
    <row r="240" spans="1:1" x14ac:dyDescent="0.3">
      <c r="A240" s="6"/>
    </row>
    <row r="241" spans="1:1" x14ac:dyDescent="0.3">
      <c r="A241" s="6"/>
    </row>
    <row r="242" spans="1:1" x14ac:dyDescent="0.3">
      <c r="A242" s="6"/>
    </row>
    <row r="243" spans="1:1" x14ac:dyDescent="0.3">
      <c r="A243" s="6"/>
    </row>
    <row r="244" spans="1:1" x14ac:dyDescent="0.3">
      <c r="A244" s="6"/>
    </row>
    <row r="245" spans="1:1" x14ac:dyDescent="0.3">
      <c r="A245" s="6"/>
    </row>
    <row r="246" spans="1:1" x14ac:dyDescent="0.3">
      <c r="A246" s="6"/>
    </row>
    <row r="247" spans="1:1" x14ac:dyDescent="0.3">
      <c r="A247" s="6"/>
    </row>
    <row r="248" spans="1:1" x14ac:dyDescent="0.3">
      <c r="A248" s="6"/>
    </row>
    <row r="249" spans="1:1" x14ac:dyDescent="0.3">
      <c r="A249" s="6"/>
    </row>
    <row r="250" spans="1:1" x14ac:dyDescent="0.3">
      <c r="A250" s="6"/>
    </row>
    <row r="251" spans="1:1" x14ac:dyDescent="0.3">
      <c r="A251" s="6"/>
    </row>
    <row r="252" spans="1:1" x14ac:dyDescent="0.3">
      <c r="A252" s="6"/>
    </row>
    <row r="253" spans="1:1" x14ac:dyDescent="0.3">
      <c r="A253" s="6"/>
    </row>
    <row r="254" spans="1:1" x14ac:dyDescent="0.3">
      <c r="A254" s="6"/>
    </row>
    <row r="255" spans="1:1" x14ac:dyDescent="0.3">
      <c r="A255" s="6"/>
    </row>
    <row r="256" spans="1:1" x14ac:dyDescent="0.3">
      <c r="A256" s="6"/>
    </row>
    <row r="257" spans="1:1" x14ac:dyDescent="0.3">
      <c r="A257" s="6"/>
    </row>
    <row r="258" spans="1:1" x14ac:dyDescent="0.3">
      <c r="A258" s="6"/>
    </row>
    <row r="259" spans="1:1" x14ac:dyDescent="0.3">
      <c r="A259" s="6"/>
    </row>
    <row r="260" spans="1:1" x14ac:dyDescent="0.3">
      <c r="A260" s="6"/>
    </row>
    <row r="261" spans="1:1" x14ac:dyDescent="0.3">
      <c r="A261" s="6"/>
    </row>
    <row r="262" spans="1:1" x14ac:dyDescent="0.3">
      <c r="A262" s="6"/>
    </row>
    <row r="263" spans="1:1" x14ac:dyDescent="0.3">
      <c r="A263" s="6"/>
    </row>
    <row r="264" spans="1:1" x14ac:dyDescent="0.3">
      <c r="A264" s="6"/>
    </row>
    <row r="265" spans="1:1" x14ac:dyDescent="0.3">
      <c r="A265" s="6"/>
    </row>
    <row r="266" spans="1:1" x14ac:dyDescent="0.3">
      <c r="A266" s="6"/>
    </row>
    <row r="267" spans="1:1" x14ac:dyDescent="0.3">
      <c r="A267" s="6"/>
    </row>
    <row r="268" spans="1:1" x14ac:dyDescent="0.3">
      <c r="A268" s="6"/>
    </row>
    <row r="269" spans="1:1" x14ac:dyDescent="0.3">
      <c r="A269" s="6"/>
    </row>
    <row r="270" spans="1:1" x14ac:dyDescent="0.3">
      <c r="A270" s="6"/>
    </row>
    <row r="271" spans="1:1" x14ac:dyDescent="0.3">
      <c r="A271" s="6"/>
    </row>
    <row r="272" spans="1:1" x14ac:dyDescent="0.3">
      <c r="A272" s="6"/>
    </row>
    <row r="273" spans="1:1" x14ac:dyDescent="0.3">
      <c r="A273" s="6"/>
    </row>
    <row r="274" spans="1:1" x14ac:dyDescent="0.3">
      <c r="A274" s="6"/>
    </row>
    <row r="275" spans="1:1" x14ac:dyDescent="0.3">
      <c r="A275" s="6"/>
    </row>
    <row r="276" spans="1:1" x14ac:dyDescent="0.3">
      <c r="A276" s="6"/>
    </row>
    <row r="277" spans="1:1" x14ac:dyDescent="0.3">
      <c r="A277" s="6"/>
    </row>
    <row r="278" spans="1:1" x14ac:dyDescent="0.3">
      <c r="A278" s="6"/>
    </row>
    <row r="279" spans="1:1" x14ac:dyDescent="0.3">
      <c r="A279" s="6"/>
    </row>
    <row r="280" spans="1:1" x14ac:dyDescent="0.3">
      <c r="A280" s="6"/>
    </row>
    <row r="281" spans="1:1" x14ac:dyDescent="0.3">
      <c r="A281" s="6"/>
    </row>
    <row r="282" spans="1:1" x14ac:dyDescent="0.3">
      <c r="A282" s="6"/>
    </row>
    <row r="283" spans="1:1" x14ac:dyDescent="0.3">
      <c r="A283" s="6"/>
    </row>
    <row r="284" spans="1:1" x14ac:dyDescent="0.3">
      <c r="A284" s="6"/>
    </row>
    <row r="285" spans="1:1" x14ac:dyDescent="0.3">
      <c r="A285" s="6"/>
    </row>
    <row r="286" spans="1:1" x14ac:dyDescent="0.3">
      <c r="A286" s="6"/>
    </row>
    <row r="287" spans="1:1" x14ac:dyDescent="0.3">
      <c r="A287" s="6"/>
    </row>
    <row r="288" spans="1:1" x14ac:dyDescent="0.3">
      <c r="A288" s="6"/>
    </row>
    <row r="289" spans="1:1" x14ac:dyDescent="0.3">
      <c r="A289" s="6"/>
    </row>
    <row r="290" spans="1:1" x14ac:dyDescent="0.3">
      <c r="A290" s="6"/>
    </row>
    <row r="291" spans="1:1" x14ac:dyDescent="0.3">
      <c r="A291" s="6"/>
    </row>
    <row r="292" spans="1:1" x14ac:dyDescent="0.3">
      <c r="A292" s="6"/>
    </row>
    <row r="293" spans="1:1" x14ac:dyDescent="0.3">
      <c r="A293" s="6"/>
    </row>
    <row r="294" spans="1:1" x14ac:dyDescent="0.3">
      <c r="A294" s="6"/>
    </row>
    <row r="295" spans="1:1" x14ac:dyDescent="0.3">
      <c r="A295" s="6"/>
    </row>
    <row r="296" spans="1:1" x14ac:dyDescent="0.3">
      <c r="A296" s="6"/>
    </row>
    <row r="297" spans="1:1" x14ac:dyDescent="0.3">
      <c r="A297" s="6"/>
    </row>
    <row r="298" spans="1:1" x14ac:dyDescent="0.3">
      <c r="A298" s="6"/>
    </row>
    <row r="299" spans="1:1" x14ac:dyDescent="0.3">
      <c r="A299" s="6"/>
    </row>
    <row r="300" spans="1:1" x14ac:dyDescent="0.3">
      <c r="A300" s="6"/>
    </row>
    <row r="301" spans="1:1" x14ac:dyDescent="0.3">
      <c r="A301" s="6"/>
    </row>
    <row r="302" spans="1:1" x14ac:dyDescent="0.3">
      <c r="A302" s="6"/>
    </row>
    <row r="303" spans="1:1" x14ac:dyDescent="0.3">
      <c r="A303" s="6"/>
    </row>
    <row r="304" spans="1:1" x14ac:dyDescent="0.3">
      <c r="A304" s="6"/>
    </row>
    <row r="305" spans="1:1" x14ac:dyDescent="0.3">
      <c r="A305" s="6"/>
    </row>
    <row r="306" spans="1:1" x14ac:dyDescent="0.3">
      <c r="A306" s="6"/>
    </row>
    <row r="307" spans="1:1" x14ac:dyDescent="0.3">
      <c r="A307" s="6"/>
    </row>
    <row r="308" spans="1:1" x14ac:dyDescent="0.3">
      <c r="A308" s="6"/>
    </row>
    <row r="309" spans="1:1" x14ac:dyDescent="0.3">
      <c r="A309" s="6"/>
    </row>
    <row r="310" spans="1:1" x14ac:dyDescent="0.3">
      <c r="A310" s="6"/>
    </row>
    <row r="311" spans="1:1" x14ac:dyDescent="0.3">
      <c r="A311" s="6"/>
    </row>
    <row r="312" spans="1:1" x14ac:dyDescent="0.3">
      <c r="A312" s="6"/>
    </row>
    <row r="313" spans="1:1" x14ac:dyDescent="0.3">
      <c r="A313" s="6"/>
    </row>
    <row r="314" spans="1:1" x14ac:dyDescent="0.3">
      <c r="A314" s="6"/>
    </row>
    <row r="315" spans="1:1" x14ac:dyDescent="0.3">
      <c r="A315" s="6"/>
    </row>
    <row r="316" spans="1:1" x14ac:dyDescent="0.3">
      <c r="A316" s="6"/>
    </row>
    <row r="317" spans="1:1" x14ac:dyDescent="0.3">
      <c r="A317" s="6"/>
    </row>
    <row r="318" spans="1:1" x14ac:dyDescent="0.3">
      <c r="A318" s="6"/>
    </row>
    <row r="319" spans="1:1" x14ac:dyDescent="0.3">
      <c r="A319" s="6"/>
    </row>
    <row r="320" spans="1:1" x14ac:dyDescent="0.3">
      <c r="A320" s="6"/>
    </row>
    <row r="321" spans="1:1" x14ac:dyDescent="0.3">
      <c r="A321" s="6"/>
    </row>
    <row r="322" spans="1:1" x14ac:dyDescent="0.3">
      <c r="A322" s="6"/>
    </row>
    <row r="323" spans="1:1" x14ac:dyDescent="0.3">
      <c r="A323" s="6"/>
    </row>
    <row r="324" spans="1:1" x14ac:dyDescent="0.3">
      <c r="A324" s="6"/>
    </row>
    <row r="325" spans="1:1" x14ac:dyDescent="0.3">
      <c r="A325" s="6"/>
    </row>
    <row r="326" spans="1:1" x14ac:dyDescent="0.3">
      <c r="A326" s="6"/>
    </row>
    <row r="327" spans="1:1" x14ac:dyDescent="0.3">
      <c r="A327" s="6"/>
    </row>
    <row r="328" spans="1:1" x14ac:dyDescent="0.3">
      <c r="A328" s="6"/>
    </row>
    <row r="329" spans="1:1" x14ac:dyDescent="0.3">
      <c r="A329" s="6"/>
    </row>
    <row r="330" spans="1:1" x14ac:dyDescent="0.3">
      <c r="A330" s="6"/>
    </row>
    <row r="331" spans="1:1" x14ac:dyDescent="0.3">
      <c r="A331" s="6"/>
    </row>
    <row r="332" spans="1:1" x14ac:dyDescent="0.3">
      <c r="A332" s="6"/>
    </row>
    <row r="333" spans="1:1" x14ac:dyDescent="0.3">
      <c r="A333" s="6"/>
    </row>
    <row r="334" spans="1:1" x14ac:dyDescent="0.3">
      <c r="A334" s="6"/>
    </row>
    <row r="335" spans="1:1" x14ac:dyDescent="0.3">
      <c r="A335" s="6"/>
    </row>
    <row r="336" spans="1:1" x14ac:dyDescent="0.3">
      <c r="A336" s="6"/>
    </row>
    <row r="337" spans="1:1" x14ac:dyDescent="0.3">
      <c r="A337" s="6"/>
    </row>
    <row r="338" spans="1:1" x14ac:dyDescent="0.3">
      <c r="A338" s="6"/>
    </row>
    <row r="339" spans="1:1" x14ac:dyDescent="0.3">
      <c r="A339" s="6"/>
    </row>
    <row r="340" spans="1:1" x14ac:dyDescent="0.3">
      <c r="A340" s="6"/>
    </row>
    <row r="341" spans="1:1" x14ac:dyDescent="0.3">
      <c r="A341" s="6"/>
    </row>
    <row r="342" spans="1:1" x14ac:dyDescent="0.3">
      <c r="A342" s="6"/>
    </row>
    <row r="343" spans="1:1" x14ac:dyDescent="0.3">
      <c r="A343" s="6"/>
    </row>
    <row r="344" spans="1:1" x14ac:dyDescent="0.3">
      <c r="A344" s="6"/>
    </row>
    <row r="345" spans="1:1" x14ac:dyDescent="0.3">
      <c r="A345" s="6"/>
    </row>
    <row r="346" spans="1:1" x14ac:dyDescent="0.3">
      <c r="A346" s="6"/>
    </row>
    <row r="347" spans="1:1" x14ac:dyDescent="0.3">
      <c r="A347" s="6"/>
    </row>
    <row r="348" spans="1:1" x14ac:dyDescent="0.3">
      <c r="A348" s="6"/>
    </row>
    <row r="349" spans="1:1" x14ac:dyDescent="0.3">
      <c r="A349" s="6"/>
    </row>
    <row r="350" spans="1:1" x14ac:dyDescent="0.3">
      <c r="A350" s="6"/>
    </row>
    <row r="351" spans="1:1" x14ac:dyDescent="0.3">
      <c r="A351" s="6"/>
    </row>
    <row r="352" spans="1:1" x14ac:dyDescent="0.3">
      <c r="A352" s="6"/>
    </row>
    <row r="353" spans="1:1" x14ac:dyDescent="0.3">
      <c r="A353" s="6"/>
    </row>
    <row r="354" spans="1:1" x14ac:dyDescent="0.3">
      <c r="A354" s="6"/>
    </row>
    <row r="355" spans="1:1" x14ac:dyDescent="0.3">
      <c r="A355" s="6"/>
    </row>
    <row r="356" spans="1:1" x14ac:dyDescent="0.3">
      <c r="A356" s="6"/>
    </row>
    <row r="357" spans="1:1" x14ac:dyDescent="0.3">
      <c r="A357" s="6"/>
    </row>
    <row r="358" spans="1:1" x14ac:dyDescent="0.3">
      <c r="A358" s="6"/>
    </row>
    <row r="359" spans="1:1" x14ac:dyDescent="0.3">
      <c r="A359" s="6"/>
    </row>
    <row r="360" spans="1:1" x14ac:dyDescent="0.3">
      <c r="A360" s="6"/>
    </row>
    <row r="361" spans="1:1" x14ac:dyDescent="0.3">
      <c r="A361" s="6"/>
    </row>
    <row r="362" spans="1:1" x14ac:dyDescent="0.3">
      <c r="A362" s="6"/>
    </row>
    <row r="363" spans="1:1" x14ac:dyDescent="0.3">
      <c r="A363" s="6"/>
    </row>
    <row r="364" spans="1:1" x14ac:dyDescent="0.3">
      <c r="A364" s="6"/>
    </row>
    <row r="365" spans="1:1" x14ac:dyDescent="0.3">
      <c r="A365" s="6"/>
    </row>
    <row r="366" spans="1:1" x14ac:dyDescent="0.3">
      <c r="A366" s="6"/>
    </row>
    <row r="367" spans="1:1" x14ac:dyDescent="0.3">
      <c r="A367" s="6"/>
    </row>
    <row r="368" spans="1:1" x14ac:dyDescent="0.3">
      <c r="A368" s="6"/>
    </row>
    <row r="369" spans="1:1" x14ac:dyDescent="0.3">
      <c r="A369" s="6"/>
    </row>
    <row r="370" spans="1:1" x14ac:dyDescent="0.3">
      <c r="A370" s="6"/>
    </row>
    <row r="371" spans="1:1" x14ac:dyDescent="0.3">
      <c r="A371" s="6"/>
    </row>
    <row r="372" spans="1:1" x14ac:dyDescent="0.3">
      <c r="A372" s="6"/>
    </row>
    <row r="373" spans="1:1" x14ac:dyDescent="0.3">
      <c r="A373" s="6"/>
    </row>
    <row r="374" spans="1:1" x14ac:dyDescent="0.3">
      <c r="A374" s="6"/>
    </row>
    <row r="375" spans="1:1" x14ac:dyDescent="0.3">
      <c r="A375" s="6"/>
    </row>
    <row r="376" spans="1:1" x14ac:dyDescent="0.3">
      <c r="A376" s="6"/>
    </row>
    <row r="377" spans="1:1" x14ac:dyDescent="0.3">
      <c r="A377" s="6"/>
    </row>
    <row r="378" spans="1:1" x14ac:dyDescent="0.3">
      <c r="A378" s="6"/>
    </row>
    <row r="379" spans="1:1" x14ac:dyDescent="0.3">
      <c r="A379" s="6"/>
    </row>
    <row r="380" spans="1:1" x14ac:dyDescent="0.3">
      <c r="A380" s="6"/>
    </row>
    <row r="381" spans="1:1" x14ac:dyDescent="0.3">
      <c r="A381" s="6"/>
    </row>
    <row r="382" spans="1:1" x14ac:dyDescent="0.3">
      <c r="A382" s="6"/>
    </row>
    <row r="383" spans="1:1" x14ac:dyDescent="0.3">
      <c r="A383" s="6"/>
    </row>
    <row r="384" spans="1:1" x14ac:dyDescent="0.3">
      <c r="A384" s="6"/>
    </row>
    <row r="385" spans="1:1" x14ac:dyDescent="0.3">
      <c r="A385" s="6"/>
    </row>
  </sheetData>
  <phoneticPr fontId="7" type="noConversion"/>
  <printOptions gridLines="1"/>
  <pageMargins left="0" right="0" top="0" bottom="0" header="0" footer="0"/>
  <pageSetup paperSize="8" scale="47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7" tint="0.79998168889431442"/>
    <pageSetUpPr fitToPage="1"/>
  </sheetPr>
  <dimension ref="A1:AC58"/>
  <sheetViews>
    <sheetView workbookViewId="0">
      <pane ySplit="1" topLeftCell="A2" activePane="bottomLeft" state="frozen"/>
      <selection activeCell="C13" sqref="C13"/>
      <selection pane="bottomLeft" activeCell="C13" sqref="C13"/>
    </sheetView>
  </sheetViews>
  <sheetFormatPr defaultRowHeight="14.4" x14ac:dyDescent="0.3"/>
  <cols>
    <col min="1" max="1" width="62.88671875" customWidth="1"/>
    <col min="2" max="2" width="24.5546875" bestFit="1" customWidth="1"/>
    <col min="3" max="3" width="84.5546875" customWidth="1"/>
    <col min="4" max="4" width="37.109375" bestFit="1" customWidth="1"/>
    <col min="5" max="5" width="9.109375" bestFit="1" customWidth="1"/>
    <col min="6" max="6" width="12.88671875" bestFit="1" customWidth="1"/>
    <col min="7" max="7" width="21.6640625" bestFit="1" customWidth="1"/>
    <col min="8" max="8" width="7.44140625" bestFit="1" customWidth="1"/>
    <col min="9" max="9" width="11.44140625" bestFit="1" customWidth="1"/>
    <col min="10" max="10" width="63" bestFit="1" customWidth="1"/>
    <col min="11" max="11" width="12.6640625" bestFit="1" customWidth="1"/>
    <col min="12" max="12" width="8.88671875" bestFit="1" customWidth="1"/>
    <col min="13" max="20" width="12.109375" bestFit="1" customWidth="1"/>
    <col min="21" max="21" width="10.88671875" bestFit="1" customWidth="1"/>
    <col min="22" max="22" width="14.88671875" bestFit="1" customWidth="1"/>
    <col min="23" max="23" width="10.5546875" bestFit="1" customWidth="1"/>
    <col min="24" max="24" width="14.33203125" bestFit="1" customWidth="1"/>
    <col min="25" max="25" width="12" bestFit="1" customWidth="1"/>
    <col min="26" max="26" width="9.5546875" bestFit="1" customWidth="1"/>
    <col min="27" max="27" width="8.88671875" bestFit="1" customWidth="1"/>
    <col min="28" max="28" width="7.6640625" bestFit="1" customWidth="1"/>
    <col min="29" max="29" width="13" bestFit="1" customWidth="1"/>
  </cols>
  <sheetData>
    <row r="1" spans="1:29" x14ac:dyDescent="0.3">
      <c r="A1" s="7" t="s">
        <v>31</v>
      </c>
      <c r="B1" s="7"/>
      <c r="C1" s="7" t="s">
        <v>32</v>
      </c>
      <c r="D1" s="7" t="s">
        <v>33</v>
      </c>
      <c r="E1" s="7" t="s">
        <v>34</v>
      </c>
      <c r="F1" s="7" t="s">
        <v>35</v>
      </c>
      <c r="G1" s="7" t="s">
        <v>36</v>
      </c>
      <c r="H1" s="7" t="s">
        <v>37</v>
      </c>
      <c r="I1" s="7" t="s">
        <v>38</v>
      </c>
      <c r="J1" s="7" t="s">
        <v>10</v>
      </c>
      <c r="K1" s="7" t="s">
        <v>39</v>
      </c>
      <c r="L1" s="7" t="s">
        <v>40</v>
      </c>
      <c r="M1" s="7" t="s">
        <v>23</v>
      </c>
      <c r="N1" s="7" t="s">
        <v>24</v>
      </c>
      <c r="O1" s="7" t="s">
        <v>25</v>
      </c>
      <c r="P1" s="7" t="s">
        <v>26</v>
      </c>
      <c r="Q1" s="7" t="s">
        <v>27</v>
      </c>
      <c r="R1" s="7" t="s">
        <v>28</v>
      </c>
      <c r="S1" s="7" t="s">
        <v>29</v>
      </c>
      <c r="T1" s="7" t="s">
        <v>30</v>
      </c>
      <c r="U1" s="7" t="s">
        <v>19</v>
      </c>
      <c r="V1" s="7" t="s">
        <v>18</v>
      </c>
      <c r="W1" s="7" t="s">
        <v>41</v>
      </c>
      <c r="X1" s="7" t="s">
        <v>42</v>
      </c>
      <c r="Y1" s="7" t="s">
        <v>11</v>
      </c>
      <c r="Z1" s="7" t="s">
        <v>12</v>
      </c>
      <c r="AA1" s="7" t="s">
        <v>20</v>
      </c>
      <c r="AB1" s="7" t="s">
        <v>21</v>
      </c>
      <c r="AC1" s="7" t="s">
        <v>22</v>
      </c>
    </row>
    <row r="2" spans="1:29" x14ac:dyDescent="0.3">
      <c r="A2" s="6"/>
    </row>
    <row r="3" spans="1:29" x14ac:dyDescent="0.3">
      <c r="A3" s="6"/>
    </row>
    <row r="4" spans="1:29" x14ac:dyDescent="0.3">
      <c r="A4" s="6"/>
    </row>
    <row r="5" spans="1:29" x14ac:dyDescent="0.3">
      <c r="A5" s="6"/>
    </row>
    <row r="6" spans="1:29" x14ac:dyDescent="0.3">
      <c r="A6" s="6"/>
    </row>
    <row r="7" spans="1:29" x14ac:dyDescent="0.3">
      <c r="A7" s="6"/>
    </row>
    <row r="8" spans="1:29" x14ac:dyDescent="0.3">
      <c r="A8" s="6"/>
    </row>
    <row r="9" spans="1:29" x14ac:dyDescent="0.3">
      <c r="A9" s="6"/>
    </row>
    <row r="10" spans="1:29" x14ac:dyDescent="0.3">
      <c r="A10" s="6"/>
    </row>
    <row r="11" spans="1:29" x14ac:dyDescent="0.3">
      <c r="A11" s="6"/>
    </row>
    <row r="12" spans="1:29" x14ac:dyDescent="0.3">
      <c r="A12" s="6"/>
    </row>
    <row r="13" spans="1:29" x14ac:dyDescent="0.3">
      <c r="A13" s="6"/>
    </row>
    <row r="14" spans="1:29" x14ac:dyDescent="0.3">
      <c r="A14" s="6"/>
    </row>
    <row r="15" spans="1:29" x14ac:dyDescent="0.3">
      <c r="A15" s="6"/>
    </row>
    <row r="16" spans="1:29" x14ac:dyDescent="0.3">
      <c r="A16" s="6"/>
    </row>
    <row r="17" spans="1:1" x14ac:dyDescent="0.3">
      <c r="A17" s="6"/>
    </row>
    <row r="18" spans="1:1" x14ac:dyDescent="0.3">
      <c r="A18" s="6"/>
    </row>
    <row r="19" spans="1:1" x14ac:dyDescent="0.3">
      <c r="A19" s="6"/>
    </row>
    <row r="20" spans="1:1" x14ac:dyDescent="0.3">
      <c r="A20" s="6"/>
    </row>
    <row r="21" spans="1:1" x14ac:dyDescent="0.3">
      <c r="A21" s="6"/>
    </row>
    <row r="22" spans="1:1" x14ac:dyDescent="0.3">
      <c r="A22" s="6"/>
    </row>
    <row r="23" spans="1:1" x14ac:dyDescent="0.3">
      <c r="A23" s="6"/>
    </row>
    <row r="24" spans="1:1" x14ac:dyDescent="0.3">
      <c r="A24" s="6"/>
    </row>
    <row r="25" spans="1:1" x14ac:dyDescent="0.3">
      <c r="A25" s="6"/>
    </row>
    <row r="26" spans="1:1" x14ac:dyDescent="0.3">
      <c r="A26" s="6"/>
    </row>
    <row r="27" spans="1:1" x14ac:dyDescent="0.3">
      <c r="A27" s="6"/>
    </row>
    <row r="28" spans="1:1" x14ac:dyDescent="0.3">
      <c r="A28" s="6"/>
    </row>
    <row r="29" spans="1:1" x14ac:dyDescent="0.3">
      <c r="A29" s="6"/>
    </row>
    <row r="30" spans="1:1" x14ac:dyDescent="0.3">
      <c r="A30" s="6"/>
    </row>
    <row r="31" spans="1:1" x14ac:dyDescent="0.3">
      <c r="A31" s="6"/>
    </row>
    <row r="32" spans="1:1" x14ac:dyDescent="0.3">
      <c r="A32" s="6"/>
    </row>
    <row r="33" spans="1:1" x14ac:dyDescent="0.3">
      <c r="A33" s="6"/>
    </row>
    <row r="34" spans="1:1" x14ac:dyDescent="0.3">
      <c r="A34" s="6"/>
    </row>
    <row r="35" spans="1:1" x14ac:dyDescent="0.3">
      <c r="A35" s="6"/>
    </row>
    <row r="36" spans="1:1" x14ac:dyDescent="0.3">
      <c r="A36" s="6"/>
    </row>
    <row r="37" spans="1:1" x14ac:dyDescent="0.3">
      <c r="A37" s="6"/>
    </row>
    <row r="38" spans="1:1" x14ac:dyDescent="0.3">
      <c r="A38" s="6"/>
    </row>
    <row r="39" spans="1:1" x14ac:dyDescent="0.3">
      <c r="A39" s="6"/>
    </row>
    <row r="40" spans="1:1" x14ac:dyDescent="0.3">
      <c r="A40" s="6"/>
    </row>
    <row r="41" spans="1:1" x14ac:dyDescent="0.3">
      <c r="A41" s="6"/>
    </row>
    <row r="42" spans="1:1" x14ac:dyDescent="0.3">
      <c r="A42" s="6"/>
    </row>
    <row r="43" spans="1:1" x14ac:dyDescent="0.3">
      <c r="A43" s="6"/>
    </row>
    <row r="44" spans="1:1" x14ac:dyDescent="0.3">
      <c r="A44" s="6"/>
    </row>
    <row r="45" spans="1:1" x14ac:dyDescent="0.3">
      <c r="A45" s="6"/>
    </row>
    <row r="46" spans="1:1" x14ac:dyDescent="0.3">
      <c r="A46" s="6"/>
    </row>
    <row r="47" spans="1:1" x14ac:dyDescent="0.3">
      <c r="A47" s="6"/>
    </row>
    <row r="48" spans="1:1" x14ac:dyDescent="0.3">
      <c r="A48" s="6"/>
    </row>
    <row r="49" spans="1:1" x14ac:dyDescent="0.3">
      <c r="A49" s="6"/>
    </row>
    <row r="50" spans="1:1" x14ac:dyDescent="0.3">
      <c r="A50" s="6"/>
    </row>
    <row r="51" spans="1:1" x14ac:dyDescent="0.3">
      <c r="A51" s="6"/>
    </row>
    <row r="52" spans="1:1" x14ac:dyDescent="0.3">
      <c r="A52" s="6"/>
    </row>
    <row r="53" spans="1:1" x14ac:dyDescent="0.3">
      <c r="A53" s="6"/>
    </row>
    <row r="54" spans="1:1" x14ac:dyDescent="0.3">
      <c r="A54" s="6"/>
    </row>
    <row r="55" spans="1:1" x14ac:dyDescent="0.3">
      <c r="A55" s="6"/>
    </row>
    <row r="56" spans="1:1" x14ac:dyDescent="0.3">
      <c r="A56" s="6"/>
    </row>
    <row r="57" spans="1:1" x14ac:dyDescent="0.3">
      <c r="A57" s="6"/>
    </row>
    <row r="58" spans="1:1" x14ac:dyDescent="0.3">
      <c r="A58" s="6"/>
    </row>
  </sheetData>
  <autoFilter ref="A1:AC1" xr:uid="{00000000-0001-0000-0B00-000000000000}"/>
  <printOptions gridLines="1"/>
  <pageMargins left="0" right="0" top="0" bottom="0" header="0" footer="0"/>
  <pageSetup paperSize="8" scale="37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theme="7" tint="0.79998168889431442"/>
    <pageSetUpPr fitToPage="1"/>
  </sheetPr>
  <dimension ref="A1:AF1"/>
  <sheetViews>
    <sheetView topLeftCell="B1" workbookViewId="0">
      <pane ySplit="1" topLeftCell="A2" activePane="bottomLeft" state="frozen"/>
      <selection activeCell="C13" sqref="C13"/>
      <selection pane="bottomLeft" activeCell="C13" sqref="C13"/>
    </sheetView>
  </sheetViews>
  <sheetFormatPr defaultRowHeight="14.4" x14ac:dyDescent="0.3"/>
  <cols>
    <col min="1" max="2" width="37.44140625" bestFit="1" customWidth="1"/>
    <col min="3" max="3" width="7.44140625" bestFit="1" customWidth="1"/>
    <col min="4" max="4" width="13.6640625" bestFit="1" customWidth="1"/>
    <col min="5" max="5" width="8.5546875" customWidth="1"/>
    <col min="6" max="6" width="8" bestFit="1" customWidth="1"/>
    <col min="7" max="7" width="13.5546875" bestFit="1" customWidth="1"/>
    <col min="8" max="8" width="11" bestFit="1" customWidth="1"/>
    <col min="9" max="9" width="44.5546875" bestFit="1" customWidth="1"/>
    <col min="10" max="11" width="7.6640625" bestFit="1" customWidth="1"/>
    <col min="12" max="12" width="9.88671875" bestFit="1" customWidth="1"/>
    <col min="13" max="13" width="50.6640625" bestFit="1" customWidth="1"/>
    <col min="14" max="14" width="14" bestFit="1" customWidth="1"/>
    <col min="15" max="15" width="11.109375" bestFit="1" customWidth="1"/>
    <col min="16" max="16" width="6" bestFit="1" customWidth="1"/>
    <col min="17" max="17" width="6.5546875" bestFit="1" customWidth="1"/>
    <col min="18" max="18" width="14.109375" bestFit="1" customWidth="1"/>
    <col min="19" max="19" width="15.109375" bestFit="1" customWidth="1"/>
    <col min="20" max="20" width="9.5546875" bestFit="1" customWidth="1"/>
    <col min="21" max="21" width="14.109375" bestFit="1" customWidth="1"/>
    <col min="22" max="22" width="29.109375" bestFit="1" customWidth="1"/>
    <col min="23" max="23" width="10.88671875" bestFit="1" customWidth="1"/>
    <col min="24" max="24" width="14.88671875" bestFit="1" customWidth="1"/>
    <col min="25" max="25" width="12" bestFit="1" customWidth="1"/>
    <col min="26" max="26" width="9.5546875" bestFit="1" customWidth="1"/>
    <col min="27" max="27" width="13.33203125" bestFit="1" customWidth="1"/>
    <col min="28" max="28" width="8.88671875" bestFit="1" customWidth="1"/>
    <col min="29" max="29" width="7.6640625" bestFit="1" customWidth="1"/>
    <col min="30" max="30" width="13" bestFit="1" customWidth="1"/>
    <col min="31" max="31" width="12.6640625" bestFit="1" customWidth="1"/>
    <col min="32" max="32" width="12.33203125" bestFit="1" customWidth="1"/>
  </cols>
  <sheetData>
    <row r="1" spans="1:32" x14ac:dyDescent="0.3">
      <c r="A1" s="7" t="s">
        <v>0</v>
      </c>
      <c r="B1" s="7" t="s">
        <v>43</v>
      </c>
      <c r="C1" s="7" t="s">
        <v>44</v>
      </c>
      <c r="D1" s="7" t="s">
        <v>45</v>
      </c>
      <c r="E1" s="7" t="s">
        <v>37</v>
      </c>
      <c r="F1" s="7" t="s">
        <v>38</v>
      </c>
      <c r="G1" s="7" t="s">
        <v>8</v>
      </c>
      <c r="H1" s="7" t="s">
        <v>9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10</v>
      </c>
      <c r="N1" s="7" t="s">
        <v>1</v>
      </c>
      <c r="O1" s="7" t="s">
        <v>50</v>
      </c>
      <c r="P1" s="7" t="s">
        <v>51</v>
      </c>
      <c r="Q1" s="7" t="s">
        <v>52</v>
      </c>
      <c r="R1" s="7" t="s">
        <v>53</v>
      </c>
      <c r="S1" s="7" t="s">
        <v>54</v>
      </c>
      <c r="T1" s="7" t="s">
        <v>55</v>
      </c>
      <c r="U1" s="7" t="s">
        <v>56</v>
      </c>
      <c r="V1" s="7" t="s">
        <v>57</v>
      </c>
      <c r="W1" s="7" t="s">
        <v>19</v>
      </c>
      <c r="X1" s="7" t="s">
        <v>18</v>
      </c>
      <c r="Y1" s="7" t="s">
        <v>11</v>
      </c>
      <c r="Z1" s="7" t="s">
        <v>12</v>
      </c>
      <c r="AA1" s="7" t="s">
        <v>16</v>
      </c>
      <c r="AB1" s="7" t="s">
        <v>20</v>
      </c>
      <c r="AC1" s="7" t="s">
        <v>21</v>
      </c>
      <c r="AD1" s="7" t="s">
        <v>22</v>
      </c>
      <c r="AE1" s="7" t="s">
        <v>6</v>
      </c>
      <c r="AF1" s="7" t="s">
        <v>7</v>
      </c>
    </row>
  </sheetData>
  <printOptions gridLines="1"/>
  <pageMargins left="0" right="0" top="0" bottom="0" header="0" footer="0"/>
  <pageSetup paperSize="8" scale="42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66183-1F94-4605-A883-04B1775D9480}">
  <sheetPr codeName="Sheet17">
    <tabColor theme="7" tint="0.79998168889431442"/>
    <pageSetUpPr fitToPage="1"/>
  </sheetPr>
  <dimension ref="A1:AF3"/>
  <sheetViews>
    <sheetView zoomScaleNormal="100" workbookViewId="0">
      <pane ySplit="1" topLeftCell="A2" activePane="bottomLeft" state="frozen"/>
      <selection activeCell="C13" sqref="C13"/>
      <selection pane="bottomLeft" activeCell="C13" sqref="C13"/>
    </sheetView>
  </sheetViews>
  <sheetFormatPr defaultRowHeight="14.4" x14ac:dyDescent="0.3"/>
  <cols>
    <col min="1" max="1" width="10.88671875" bestFit="1" customWidth="1"/>
    <col min="2" max="2" width="57.109375" bestFit="1" customWidth="1"/>
    <col min="3" max="3" width="72.109375" bestFit="1" customWidth="1"/>
    <col min="4" max="4" width="7.5546875" bestFit="1" customWidth="1"/>
    <col min="5" max="5" width="9.109375" bestFit="1" customWidth="1"/>
    <col min="6" max="6" width="10.109375" bestFit="1" customWidth="1"/>
    <col min="7" max="7" width="10.6640625" bestFit="1" customWidth="1"/>
    <col min="8" max="8" width="12.88671875" bestFit="1" customWidth="1"/>
    <col min="9" max="10" width="12.5546875" bestFit="1" customWidth="1"/>
    <col min="11" max="12" width="9" bestFit="1" customWidth="1"/>
    <col min="13" max="13" width="8" bestFit="1" customWidth="1"/>
    <col min="14" max="14" width="8.109375" bestFit="1" customWidth="1"/>
    <col min="15" max="15" width="11.88671875" bestFit="1" customWidth="1"/>
    <col min="16" max="16" width="8.44140625" bestFit="1" customWidth="1"/>
    <col min="17" max="17" width="10.5546875" bestFit="1" customWidth="1"/>
    <col min="18" max="18" width="10.6640625" bestFit="1" customWidth="1"/>
    <col min="19" max="19" width="8.44140625" bestFit="1" customWidth="1"/>
    <col min="20" max="20" width="8.88671875" bestFit="1" customWidth="1"/>
    <col min="21" max="21" width="13" bestFit="1" customWidth="1"/>
    <col min="22" max="22" width="10.88671875" bestFit="1" customWidth="1"/>
    <col min="23" max="23" width="47.44140625" bestFit="1" customWidth="1"/>
    <col min="24" max="25" width="9.6640625" bestFit="1" customWidth="1"/>
    <col min="26" max="26" width="10.109375" bestFit="1" customWidth="1"/>
    <col min="27" max="27" width="14.44140625" bestFit="1" customWidth="1"/>
    <col min="28" max="28" width="11.109375" bestFit="1" customWidth="1"/>
    <col min="29" max="29" width="12.88671875" bestFit="1" customWidth="1"/>
  </cols>
  <sheetData>
    <row r="1" spans="1:32" ht="47.25" customHeight="1" thickBot="1" x14ac:dyDescent="0.35">
      <c r="A1" s="30" t="s">
        <v>191</v>
      </c>
      <c r="B1" s="31" t="s">
        <v>198</v>
      </c>
      <c r="C1" s="31" t="s">
        <v>199</v>
      </c>
      <c r="D1" s="31" t="s">
        <v>194</v>
      </c>
      <c r="E1" s="31" t="s">
        <v>195</v>
      </c>
      <c r="F1" s="31" t="s">
        <v>196</v>
      </c>
      <c r="G1" s="31" t="s">
        <v>190</v>
      </c>
      <c r="H1" s="31" t="s">
        <v>197</v>
      </c>
      <c r="I1" s="31" t="s">
        <v>200</v>
      </c>
      <c r="J1" s="31" t="s">
        <v>201</v>
      </c>
      <c r="K1" s="31" t="s">
        <v>202</v>
      </c>
      <c r="L1" s="31" t="s">
        <v>203</v>
      </c>
      <c r="M1" s="31" t="s">
        <v>204</v>
      </c>
      <c r="N1" s="31" t="s">
        <v>205</v>
      </c>
      <c r="O1" s="31" t="s">
        <v>206</v>
      </c>
      <c r="P1" s="31" t="s">
        <v>78</v>
      </c>
      <c r="Q1" s="31" t="s">
        <v>207</v>
      </c>
      <c r="R1" s="31" t="s">
        <v>208</v>
      </c>
      <c r="S1" s="31" t="s">
        <v>209</v>
      </c>
      <c r="T1" s="31" t="s">
        <v>210</v>
      </c>
      <c r="U1" s="31" t="s">
        <v>211</v>
      </c>
      <c r="V1" s="31" t="s">
        <v>212</v>
      </c>
      <c r="W1" s="31" t="s">
        <v>213</v>
      </c>
      <c r="X1" s="31" t="s">
        <v>214</v>
      </c>
      <c r="Y1" s="31" t="s">
        <v>215</v>
      </c>
      <c r="Z1" s="31" t="s">
        <v>216</v>
      </c>
      <c r="AA1" s="31" t="s">
        <v>217</v>
      </c>
      <c r="AB1" s="31" t="s">
        <v>218</v>
      </c>
      <c r="AC1" s="61" t="s">
        <v>192</v>
      </c>
      <c r="AD1" s="30" t="s">
        <v>262</v>
      </c>
      <c r="AE1" s="29" t="s">
        <v>263</v>
      </c>
      <c r="AF1" s="63" t="s">
        <v>251</v>
      </c>
    </row>
    <row r="2" spans="1:32" x14ac:dyDescent="0.3">
      <c r="C2" s="52"/>
    </row>
    <row r="3" spans="1:32" x14ac:dyDescent="0.3">
      <c r="C3" s="52"/>
    </row>
  </sheetData>
  <autoFilter ref="A1:AV1278" xr:uid="{BE38D730-D6B9-4537-AF63-C263C60BFA2B}"/>
  <printOptions gridLines="1"/>
  <pageMargins left="0" right="0" top="0" bottom="0" header="0" footer="0"/>
  <pageSetup paperSize="8" scale="4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FAF2B-7F2F-4811-8612-0DD0629EB4DA}">
  <sheetPr codeName="Sheet16">
    <tabColor theme="1" tint="0.499984740745262"/>
    <pageSetUpPr fitToPage="1"/>
  </sheetPr>
  <dimension ref="A1:AG100"/>
  <sheetViews>
    <sheetView workbookViewId="0">
      <pane ySplit="1" topLeftCell="A628" activePane="bottomLeft" state="frozen"/>
      <selection activeCell="C13" sqref="C13"/>
      <selection pane="bottomLeft" activeCell="C13" sqref="C13"/>
    </sheetView>
  </sheetViews>
  <sheetFormatPr defaultColWidth="9.109375" defaultRowHeight="14.4" x14ac:dyDescent="0.3"/>
  <cols>
    <col min="1" max="1" width="41.5546875" style="6" bestFit="1" customWidth="1"/>
    <col min="2" max="2" width="7.88671875" style="6" bestFit="1" customWidth="1"/>
    <col min="3" max="3" width="18.109375" style="6" bestFit="1" customWidth="1"/>
    <col min="4" max="4" width="40" style="6" bestFit="1" customWidth="1"/>
    <col min="5" max="5" width="13.33203125" style="6" bestFit="1" customWidth="1"/>
    <col min="6" max="6" width="12.88671875" style="6" bestFit="1" customWidth="1"/>
    <col min="7" max="7" width="12.6640625" style="6" bestFit="1" customWidth="1"/>
    <col min="8" max="8" width="12.33203125" style="6" bestFit="1" customWidth="1"/>
    <col min="9" max="9" width="13.5546875" style="6" bestFit="1" customWidth="1"/>
    <col min="10" max="10" width="11" style="6" bestFit="1" customWidth="1"/>
    <col min="11" max="11" width="47.88671875" style="6" bestFit="1" customWidth="1"/>
    <col min="12" max="12" width="12" style="6" bestFit="1" customWidth="1"/>
    <col min="13" max="13" width="9.5546875" style="6" bestFit="1" customWidth="1"/>
    <col min="14" max="14" width="6.5546875" style="6" bestFit="1" customWidth="1"/>
    <col min="15" max="16" width="7.44140625" style="6" bestFit="1" customWidth="1"/>
    <col min="17" max="17" width="13.33203125" style="6" bestFit="1" customWidth="1"/>
    <col min="18" max="18" width="11.109375" style="6" bestFit="1" customWidth="1"/>
    <col min="19" max="19" width="14.88671875" style="6" bestFit="1" customWidth="1"/>
    <col min="20" max="20" width="10.88671875" style="6" bestFit="1" customWidth="1"/>
    <col min="21" max="21" width="12.33203125" style="6" bestFit="1" customWidth="1"/>
    <col min="22" max="22" width="7.6640625" style="6" bestFit="1" customWidth="1"/>
    <col min="23" max="23" width="13" style="6" bestFit="1" customWidth="1"/>
    <col min="24" max="32" width="12.109375" style="6" bestFit="1" customWidth="1"/>
    <col min="33" max="42" width="8.6640625" style="6" bestFit="1" customWidth="1"/>
    <col min="43" max="16384" width="9.109375" style="6"/>
  </cols>
  <sheetData>
    <row r="1" spans="1:33" x14ac:dyDescent="0.3">
      <c r="A1" s="46" t="s">
        <v>0</v>
      </c>
      <c r="B1" s="45" t="s">
        <v>1</v>
      </c>
      <c r="C1" s="45" t="s">
        <v>2</v>
      </c>
      <c r="D1" s="45" t="s">
        <v>3</v>
      </c>
      <c r="E1" s="45" t="s">
        <v>4</v>
      </c>
      <c r="F1" s="45" t="s">
        <v>5</v>
      </c>
      <c r="G1" s="45" t="s">
        <v>6</v>
      </c>
      <c r="H1" s="45" t="s">
        <v>7</v>
      </c>
      <c r="I1" s="45" t="s">
        <v>8</v>
      </c>
      <c r="J1" s="45" t="s">
        <v>9</v>
      </c>
      <c r="K1" s="45" t="s">
        <v>10</v>
      </c>
      <c r="L1" s="45" t="s">
        <v>11</v>
      </c>
      <c r="M1" s="45" t="s">
        <v>12</v>
      </c>
      <c r="N1" s="45" t="s">
        <v>13</v>
      </c>
      <c r="O1" s="45" t="s">
        <v>14</v>
      </c>
      <c r="P1" s="45" t="s">
        <v>15</v>
      </c>
      <c r="Q1" s="45" t="s">
        <v>16</v>
      </c>
      <c r="R1" s="45" t="s">
        <v>17</v>
      </c>
      <c r="S1" s="45" t="s">
        <v>18</v>
      </c>
      <c r="T1" s="45" t="s">
        <v>19</v>
      </c>
      <c r="U1" s="45" t="s">
        <v>20</v>
      </c>
      <c r="V1" s="45" t="s">
        <v>21</v>
      </c>
      <c r="W1" s="45" t="s">
        <v>22</v>
      </c>
      <c r="X1" s="45" t="s">
        <v>23</v>
      </c>
      <c r="Y1" s="45" t="s">
        <v>24</v>
      </c>
      <c r="Z1" s="45" t="s">
        <v>25</v>
      </c>
      <c r="AA1" s="45" t="s">
        <v>26</v>
      </c>
      <c r="AB1" s="45" t="s">
        <v>27</v>
      </c>
      <c r="AC1" s="45" t="s">
        <v>28</v>
      </c>
      <c r="AD1" s="45" t="s">
        <v>29</v>
      </c>
      <c r="AE1" s="47" t="s">
        <v>30</v>
      </c>
      <c r="AF1" s="82" t="s">
        <v>342</v>
      </c>
      <c r="AG1" s="82" t="s">
        <v>341</v>
      </c>
    </row>
    <row r="2" spans="1:33" x14ac:dyDescent="0.3">
      <c r="A2" s="6" t="s">
        <v>981</v>
      </c>
      <c r="B2" s="6" t="s">
        <v>99</v>
      </c>
      <c r="C2" s="6" t="s">
        <v>847</v>
      </c>
      <c r="D2" s="6" t="s">
        <v>335</v>
      </c>
      <c r="E2" s="6" t="s">
        <v>718</v>
      </c>
      <c r="F2" s="6" t="s">
        <v>718</v>
      </c>
      <c r="G2" s="6" t="s">
        <v>718</v>
      </c>
      <c r="H2" s="6" t="s">
        <v>718</v>
      </c>
      <c r="I2" s="6" t="s">
        <v>718</v>
      </c>
      <c r="J2" s="6" t="s">
        <v>718</v>
      </c>
      <c r="K2" s="6" t="s">
        <v>336</v>
      </c>
      <c r="T2" s="6" t="s">
        <v>1407</v>
      </c>
      <c r="U2" s="6" t="s">
        <v>1405</v>
      </c>
      <c r="V2" s="6" t="s">
        <v>718</v>
      </c>
      <c r="W2" s="6" t="s">
        <v>718</v>
      </c>
      <c r="X2" s="6" t="s">
        <v>869</v>
      </c>
      <c r="Y2" s="6" t="s">
        <v>718</v>
      </c>
      <c r="Z2" s="6" t="s">
        <v>718</v>
      </c>
      <c r="AA2" s="6" t="s">
        <v>718</v>
      </c>
      <c r="AE2" s="6" t="s">
        <v>718</v>
      </c>
      <c r="AF2" s="6" t="s">
        <v>718</v>
      </c>
      <c r="AG2" s="6" t="s">
        <v>1408</v>
      </c>
    </row>
    <row r="3" spans="1:33" x14ac:dyDescent="0.3">
      <c r="A3" s="6" t="s">
        <v>982</v>
      </c>
      <c r="B3" s="6" t="s">
        <v>99</v>
      </c>
      <c r="C3" s="6" t="s">
        <v>847</v>
      </c>
      <c r="D3" s="6" t="s">
        <v>324</v>
      </c>
      <c r="E3" s="6" t="s">
        <v>718</v>
      </c>
      <c r="F3" s="6" t="s">
        <v>718</v>
      </c>
      <c r="G3" s="6" t="s">
        <v>718</v>
      </c>
      <c r="H3" s="6" t="s">
        <v>718</v>
      </c>
      <c r="I3" s="6" t="s">
        <v>718</v>
      </c>
      <c r="J3" s="6" t="s">
        <v>718</v>
      </c>
      <c r="K3" s="6" t="s">
        <v>357</v>
      </c>
      <c r="T3" s="6" t="s">
        <v>1407</v>
      </c>
      <c r="U3" s="6" t="s">
        <v>1405</v>
      </c>
      <c r="V3" s="6" t="s">
        <v>718</v>
      </c>
      <c r="W3" s="6" t="s">
        <v>718</v>
      </c>
      <c r="X3" s="6" t="s">
        <v>869</v>
      </c>
      <c r="Y3" s="6" t="s">
        <v>718</v>
      </c>
      <c r="Z3" s="6" t="s">
        <v>719</v>
      </c>
      <c r="AA3" s="6">
        <v>1</v>
      </c>
      <c r="AE3" s="6" t="s">
        <v>718</v>
      </c>
      <c r="AF3" s="6" t="s">
        <v>718</v>
      </c>
      <c r="AG3" s="6" t="s">
        <v>1409</v>
      </c>
    </row>
    <row r="4" spans="1:33" x14ac:dyDescent="0.3">
      <c r="A4" s="6" t="s">
        <v>983</v>
      </c>
      <c r="B4" s="6" t="s">
        <v>99</v>
      </c>
      <c r="C4" s="6" t="s">
        <v>847</v>
      </c>
      <c r="D4" s="6" t="s">
        <v>318</v>
      </c>
      <c r="E4" s="6" t="s">
        <v>718</v>
      </c>
      <c r="F4" s="6" t="s">
        <v>718</v>
      </c>
      <c r="G4" s="6" t="s">
        <v>718</v>
      </c>
      <c r="H4" s="6" t="s">
        <v>718</v>
      </c>
      <c r="I4" s="6" t="s">
        <v>718</v>
      </c>
      <c r="J4" s="6" t="s">
        <v>718</v>
      </c>
      <c r="K4" s="6" t="s">
        <v>319</v>
      </c>
      <c r="T4" s="6" t="s">
        <v>1407</v>
      </c>
      <c r="U4" s="6" t="s">
        <v>1405</v>
      </c>
      <c r="V4" s="6" t="s">
        <v>718</v>
      </c>
      <c r="W4" s="6" t="s">
        <v>718</v>
      </c>
      <c r="X4" s="6" t="s">
        <v>869</v>
      </c>
      <c r="Y4" s="6" t="s">
        <v>718</v>
      </c>
      <c r="Z4" s="6" t="s">
        <v>718</v>
      </c>
      <c r="AA4" s="6">
        <v>1</v>
      </c>
      <c r="AE4" s="6" t="s">
        <v>718</v>
      </c>
      <c r="AF4" s="6" t="s">
        <v>718</v>
      </c>
      <c r="AG4" s="6" t="s">
        <v>1410</v>
      </c>
    </row>
    <row r="5" spans="1:33" x14ac:dyDescent="0.3">
      <c r="A5" s="6" t="s">
        <v>984</v>
      </c>
      <c r="B5" s="6" t="s">
        <v>99</v>
      </c>
      <c r="C5" s="6" t="s">
        <v>847</v>
      </c>
      <c r="D5" s="6" t="s">
        <v>317</v>
      </c>
      <c r="E5" s="6" t="s">
        <v>718</v>
      </c>
      <c r="F5" s="6" t="s">
        <v>718</v>
      </c>
      <c r="G5" s="6" t="s">
        <v>718</v>
      </c>
      <c r="H5" s="6" t="s">
        <v>718</v>
      </c>
      <c r="I5" s="6" t="s">
        <v>718</v>
      </c>
      <c r="J5" s="6" t="s">
        <v>718</v>
      </c>
      <c r="K5" s="6" t="s">
        <v>320</v>
      </c>
      <c r="T5" s="6" t="s">
        <v>1407</v>
      </c>
      <c r="U5" s="6" t="s">
        <v>1405</v>
      </c>
      <c r="V5" s="6" t="s">
        <v>718</v>
      </c>
      <c r="W5" s="6" t="s">
        <v>718</v>
      </c>
      <c r="X5" s="6" t="s">
        <v>869</v>
      </c>
      <c r="Y5" s="6" t="s">
        <v>718</v>
      </c>
      <c r="Z5" s="6" t="s">
        <v>718</v>
      </c>
      <c r="AA5" s="6">
        <v>1</v>
      </c>
      <c r="AE5" s="6" t="s">
        <v>718</v>
      </c>
      <c r="AF5" s="6" t="s">
        <v>718</v>
      </c>
      <c r="AG5" s="6" t="s">
        <v>1411</v>
      </c>
    </row>
    <row r="6" spans="1:33" x14ac:dyDescent="0.3">
      <c r="A6" s="17" t="s">
        <v>985</v>
      </c>
      <c r="B6" s="17" t="s">
        <v>99</v>
      </c>
      <c r="C6" s="17" t="s">
        <v>847</v>
      </c>
      <c r="D6" s="17" t="s">
        <v>321</v>
      </c>
      <c r="E6" s="17" t="s">
        <v>718</v>
      </c>
      <c r="F6" s="17" t="s">
        <v>718</v>
      </c>
      <c r="G6" s="17" t="s">
        <v>718</v>
      </c>
      <c r="H6" s="17" t="s">
        <v>718</v>
      </c>
      <c r="I6" s="17" t="s">
        <v>718</v>
      </c>
      <c r="J6" s="17" t="s">
        <v>718</v>
      </c>
      <c r="K6" s="17" t="s">
        <v>323</v>
      </c>
      <c r="L6" s="17"/>
      <c r="M6" s="17"/>
      <c r="N6" s="17"/>
      <c r="O6" s="17"/>
      <c r="P6" s="17"/>
      <c r="Q6" s="17"/>
      <c r="R6" s="17"/>
      <c r="S6" s="17"/>
      <c r="T6" s="17" t="s">
        <v>1407</v>
      </c>
      <c r="U6" s="17" t="s">
        <v>1405</v>
      </c>
      <c r="V6" s="17" t="s">
        <v>718</v>
      </c>
      <c r="W6" s="17" t="s">
        <v>718</v>
      </c>
      <c r="X6" s="17" t="s">
        <v>869</v>
      </c>
      <c r="Y6" s="17" t="s">
        <v>718</v>
      </c>
      <c r="Z6" s="17" t="s">
        <v>718</v>
      </c>
      <c r="AA6" s="17">
        <v>1</v>
      </c>
      <c r="AB6" s="17"/>
      <c r="AC6" s="17"/>
      <c r="AD6" s="17"/>
      <c r="AE6" s="17" t="s">
        <v>718</v>
      </c>
      <c r="AF6" s="17" t="s">
        <v>718</v>
      </c>
      <c r="AG6" s="17" t="s">
        <v>1412</v>
      </c>
    </row>
    <row r="7" spans="1:33" x14ac:dyDescent="0.3">
      <c r="A7" s="6" t="s">
        <v>994</v>
      </c>
      <c r="B7" s="6" t="s">
        <v>99</v>
      </c>
      <c r="C7" s="6" t="s">
        <v>847</v>
      </c>
      <c r="D7" s="6" t="s">
        <v>344</v>
      </c>
      <c r="E7" s="6" t="s">
        <v>718</v>
      </c>
      <c r="F7" s="6" t="s">
        <v>718</v>
      </c>
      <c r="G7" s="6" t="s">
        <v>718</v>
      </c>
      <c r="H7" s="6" t="s">
        <v>718</v>
      </c>
      <c r="I7" s="6" t="s">
        <v>718</v>
      </c>
      <c r="J7" s="6" t="s">
        <v>718</v>
      </c>
      <c r="K7" s="6" t="s">
        <v>345</v>
      </c>
      <c r="T7" s="6" t="s">
        <v>1407</v>
      </c>
      <c r="U7" s="6" t="s">
        <v>1405</v>
      </c>
      <c r="V7" s="6" t="s">
        <v>718</v>
      </c>
      <c r="W7" s="6" t="s">
        <v>718</v>
      </c>
      <c r="X7" s="6" t="s">
        <v>869</v>
      </c>
      <c r="Y7" s="6" t="s">
        <v>718</v>
      </c>
      <c r="Z7" s="6" t="s">
        <v>308</v>
      </c>
      <c r="AA7" s="6" t="s">
        <v>718</v>
      </c>
      <c r="AE7" s="6" t="s">
        <v>718</v>
      </c>
      <c r="AF7" s="6" t="s">
        <v>718</v>
      </c>
      <c r="AG7" s="6" t="s">
        <v>1413</v>
      </c>
    </row>
    <row r="8" spans="1:33" x14ac:dyDescent="0.3">
      <c r="A8" s="6" t="s">
        <v>995</v>
      </c>
      <c r="B8" s="6" t="s">
        <v>99</v>
      </c>
      <c r="C8" s="6" t="s">
        <v>847</v>
      </c>
      <c r="D8" s="6" t="s">
        <v>346</v>
      </c>
      <c r="E8" s="6" t="s">
        <v>718</v>
      </c>
      <c r="F8" s="6" t="s">
        <v>718</v>
      </c>
      <c r="G8" s="6" t="s">
        <v>718</v>
      </c>
      <c r="H8" s="6" t="s">
        <v>718</v>
      </c>
      <c r="I8" s="6" t="s">
        <v>718</v>
      </c>
      <c r="J8" s="6" t="s">
        <v>718</v>
      </c>
      <c r="K8" s="6" t="s">
        <v>359</v>
      </c>
      <c r="T8" s="6" t="s">
        <v>1407</v>
      </c>
      <c r="U8" s="6" t="s">
        <v>1405</v>
      </c>
      <c r="V8" s="6" t="s">
        <v>718</v>
      </c>
      <c r="W8" s="6" t="s">
        <v>718</v>
      </c>
      <c r="X8" s="6" t="s">
        <v>869</v>
      </c>
      <c r="Y8" s="6" t="s">
        <v>718</v>
      </c>
      <c r="Z8" s="6" t="s">
        <v>308</v>
      </c>
      <c r="AA8" s="6" t="s">
        <v>718</v>
      </c>
      <c r="AE8" s="6" t="s">
        <v>718</v>
      </c>
      <c r="AF8" s="6" t="s">
        <v>718</v>
      </c>
      <c r="AG8" s="6" t="s">
        <v>1414</v>
      </c>
    </row>
    <row r="9" spans="1:33" x14ac:dyDescent="0.3">
      <c r="A9" s="6" t="s">
        <v>996</v>
      </c>
      <c r="B9" s="6" t="s">
        <v>99</v>
      </c>
      <c r="C9" s="6" t="s">
        <v>847</v>
      </c>
      <c r="D9" s="6" t="s">
        <v>722</v>
      </c>
      <c r="E9" s="6" t="s">
        <v>718</v>
      </c>
      <c r="F9" s="6" t="s">
        <v>718</v>
      </c>
      <c r="G9" s="6" t="s">
        <v>718</v>
      </c>
      <c r="H9" s="6" t="s">
        <v>718</v>
      </c>
      <c r="I9" s="6" t="s">
        <v>718</v>
      </c>
      <c r="J9" s="6" t="s">
        <v>718</v>
      </c>
      <c r="K9" s="6" t="s">
        <v>723</v>
      </c>
      <c r="T9" s="6" t="s">
        <v>1407</v>
      </c>
      <c r="U9" s="6" t="s">
        <v>1405</v>
      </c>
      <c r="V9" s="6" t="s">
        <v>718</v>
      </c>
      <c r="W9" s="6" t="s">
        <v>718</v>
      </c>
      <c r="X9" s="6" t="s">
        <v>869</v>
      </c>
      <c r="Y9" s="6" t="s">
        <v>718</v>
      </c>
      <c r="Z9" s="6" t="s">
        <v>718</v>
      </c>
      <c r="AA9" s="6">
        <v>1</v>
      </c>
      <c r="AE9" s="6" t="s">
        <v>718</v>
      </c>
      <c r="AF9" s="6" t="s">
        <v>718</v>
      </c>
      <c r="AG9" s="6" t="s">
        <v>1415</v>
      </c>
    </row>
    <row r="10" spans="1:33" x14ac:dyDescent="0.3">
      <c r="A10" s="6" t="s">
        <v>997</v>
      </c>
      <c r="B10" s="6" t="s">
        <v>99</v>
      </c>
      <c r="C10" s="6" t="s">
        <v>847</v>
      </c>
      <c r="D10" s="6" t="s">
        <v>720</v>
      </c>
      <c r="E10" s="6" t="s">
        <v>718</v>
      </c>
      <c r="F10" s="6" t="s">
        <v>718</v>
      </c>
      <c r="G10" s="6" t="s">
        <v>718</v>
      </c>
      <c r="H10" s="6" t="s">
        <v>718</v>
      </c>
      <c r="I10" s="6" t="s">
        <v>718</v>
      </c>
      <c r="J10" s="6" t="s">
        <v>718</v>
      </c>
      <c r="K10" s="6" t="s">
        <v>721</v>
      </c>
      <c r="T10" s="6" t="s">
        <v>1407</v>
      </c>
      <c r="U10" s="6" t="s">
        <v>1405</v>
      </c>
      <c r="V10" s="6" t="s">
        <v>718</v>
      </c>
      <c r="W10" s="6" t="s">
        <v>718</v>
      </c>
      <c r="X10" s="6" t="s">
        <v>869</v>
      </c>
      <c r="Y10" s="6" t="s">
        <v>718</v>
      </c>
      <c r="Z10" s="6" t="s">
        <v>718</v>
      </c>
      <c r="AA10" s="6">
        <v>1</v>
      </c>
      <c r="AE10" s="6" t="s">
        <v>718</v>
      </c>
      <c r="AF10" s="6" t="s">
        <v>718</v>
      </c>
      <c r="AG10" s="6" t="s">
        <v>1416</v>
      </c>
    </row>
    <row r="11" spans="1:33" x14ac:dyDescent="0.3">
      <c r="A11" s="6" t="s">
        <v>998</v>
      </c>
      <c r="B11" s="6" t="s">
        <v>99</v>
      </c>
      <c r="C11" s="6" t="s">
        <v>847</v>
      </c>
      <c r="D11" s="6" t="s">
        <v>727</v>
      </c>
      <c r="E11" s="6" t="s">
        <v>718</v>
      </c>
      <c r="F11" s="6" t="s">
        <v>718</v>
      </c>
      <c r="G11" s="6" t="s">
        <v>718</v>
      </c>
      <c r="H11" s="6" t="s">
        <v>718</v>
      </c>
      <c r="I11" s="6" t="s">
        <v>718</v>
      </c>
      <c r="J11" s="6" t="s">
        <v>718</v>
      </c>
      <c r="K11" s="6" t="s">
        <v>728</v>
      </c>
      <c r="T11" s="6" t="s">
        <v>1407</v>
      </c>
      <c r="U11" s="6" t="s">
        <v>1405</v>
      </c>
      <c r="V11" s="6" t="s">
        <v>718</v>
      </c>
      <c r="W11" s="6" t="s">
        <v>718</v>
      </c>
      <c r="X11" s="6" t="s">
        <v>869</v>
      </c>
      <c r="Y11" s="6" t="s">
        <v>718</v>
      </c>
      <c r="Z11" s="6" t="s">
        <v>718</v>
      </c>
      <c r="AA11" s="6">
        <v>1</v>
      </c>
      <c r="AE11" s="6" t="s">
        <v>718</v>
      </c>
      <c r="AF11" s="6" t="s">
        <v>718</v>
      </c>
      <c r="AG11" s="6" t="s">
        <v>1417</v>
      </c>
    </row>
    <row r="12" spans="1:33" x14ac:dyDescent="0.3">
      <c r="A12" s="6" t="s">
        <v>999</v>
      </c>
      <c r="B12" s="6" t="s">
        <v>99</v>
      </c>
      <c r="C12" s="6" t="s">
        <v>847</v>
      </c>
      <c r="D12" s="6" t="s">
        <v>803</v>
      </c>
      <c r="E12" s="6" t="s">
        <v>718</v>
      </c>
      <c r="F12" s="6" t="s">
        <v>718</v>
      </c>
      <c r="G12" s="6" t="s">
        <v>718</v>
      </c>
      <c r="H12" s="6" t="s">
        <v>718</v>
      </c>
      <c r="I12" s="6" t="s">
        <v>718</v>
      </c>
      <c r="J12" s="6" t="s">
        <v>718</v>
      </c>
      <c r="K12" s="6" t="s">
        <v>806</v>
      </c>
      <c r="T12" s="6" t="s">
        <v>1407</v>
      </c>
      <c r="U12" s="6" t="s">
        <v>1405</v>
      </c>
      <c r="V12" s="6" t="s">
        <v>718</v>
      </c>
      <c r="W12" s="6" t="s">
        <v>718</v>
      </c>
      <c r="X12" s="6" t="s">
        <v>869</v>
      </c>
      <c r="Y12" s="6" t="s">
        <v>718</v>
      </c>
      <c r="Z12" s="6" t="s">
        <v>718</v>
      </c>
      <c r="AA12" s="6">
        <v>1</v>
      </c>
      <c r="AE12" s="6" t="s">
        <v>718</v>
      </c>
      <c r="AF12" s="6" t="s">
        <v>718</v>
      </c>
      <c r="AG12" s="6" t="s">
        <v>1418</v>
      </c>
    </row>
    <row r="13" spans="1:33" x14ac:dyDescent="0.3">
      <c r="A13" s="6" t="s">
        <v>1000</v>
      </c>
      <c r="B13" s="6" t="s">
        <v>99</v>
      </c>
      <c r="C13" s="6" t="s">
        <v>847</v>
      </c>
      <c r="D13" s="6" t="s">
        <v>804</v>
      </c>
      <c r="E13" s="6" t="s">
        <v>718</v>
      </c>
      <c r="F13" s="6" t="s">
        <v>718</v>
      </c>
      <c r="G13" s="6" t="s">
        <v>718</v>
      </c>
      <c r="H13" s="6" t="s">
        <v>718</v>
      </c>
      <c r="I13" s="6" t="s">
        <v>718</v>
      </c>
      <c r="J13" s="6" t="s">
        <v>718</v>
      </c>
      <c r="K13" s="6" t="s">
        <v>807</v>
      </c>
      <c r="T13" s="6" t="s">
        <v>1407</v>
      </c>
      <c r="U13" s="6" t="s">
        <v>1405</v>
      </c>
      <c r="V13" s="6" t="s">
        <v>718</v>
      </c>
      <c r="W13" s="6" t="s">
        <v>718</v>
      </c>
      <c r="X13" s="6" t="s">
        <v>869</v>
      </c>
      <c r="Y13" s="6" t="s">
        <v>718</v>
      </c>
      <c r="Z13" s="6" t="s">
        <v>718</v>
      </c>
      <c r="AA13" s="6">
        <v>1</v>
      </c>
      <c r="AE13" s="6" t="s">
        <v>718</v>
      </c>
      <c r="AF13" s="6" t="s">
        <v>718</v>
      </c>
      <c r="AG13" s="6" t="s">
        <v>1419</v>
      </c>
    </row>
    <row r="14" spans="1:33" x14ac:dyDescent="0.3">
      <c r="A14" s="6" t="s">
        <v>718</v>
      </c>
      <c r="B14" s="6" t="s">
        <v>718</v>
      </c>
      <c r="C14" s="6" t="s">
        <v>718</v>
      </c>
      <c r="D14" s="6" t="s">
        <v>718</v>
      </c>
      <c r="E14" s="6" t="s">
        <v>718</v>
      </c>
      <c r="F14" s="6" t="s">
        <v>718</v>
      </c>
      <c r="G14" s="6" t="s">
        <v>718</v>
      </c>
      <c r="H14" s="6" t="s">
        <v>718</v>
      </c>
      <c r="I14" s="6" t="s">
        <v>718</v>
      </c>
      <c r="J14" s="6" t="s">
        <v>718</v>
      </c>
      <c r="K14" s="6" t="s">
        <v>718</v>
      </c>
      <c r="T14" s="6" t="s">
        <v>718</v>
      </c>
      <c r="U14" s="6" t="s">
        <v>718</v>
      </c>
      <c r="V14" s="6" t="s">
        <v>718</v>
      </c>
      <c r="W14" s="6" t="s">
        <v>718</v>
      </c>
      <c r="X14" s="6" t="s">
        <v>718</v>
      </c>
      <c r="Y14" s="6" t="s">
        <v>718</v>
      </c>
      <c r="Z14" s="6" t="s">
        <v>718</v>
      </c>
      <c r="AA14" s="6" t="s">
        <v>718</v>
      </c>
      <c r="AE14" s="6" t="s">
        <v>718</v>
      </c>
      <c r="AF14" s="6" t="s">
        <v>718</v>
      </c>
      <c r="AG14" s="6" t="s">
        <v>1420</v>
      </c>
    </row>
    <row r="15" spans="1:33" x14ac:dyDescent="0.3">
      <c r="A15" s="6" t="s">
        <v>1001</v>
      </c>
      <c r="B15" s="6" t="s">
        <v>99</v>
      </c>
      <c r="C15" s="6" t="s">
        <v>847</v>
      </c>
      <c r="D15" s="6" t="s">
        <v>820</v>
      </c>
      <c r="E15" s="6" t="s">
        <v>718</v>
      </c>
      <c r="F15" s="6" t="s">
        <v>718</v>
      </c>
      <c r="G15" s="6" t="s">
        <v>718</v>
      </c>
      <c r="H15" s="6" t="s">
        <v>718</v>
      </c>
      <c r="I15" s="6" t="s">
        <v>718</v>
      </c>
      <c r="J15" s="6" t="s">
        <v>718</v>
      </c>
      <c r="K15" s="6" t="s">
        <v>823</v>
      </c>
      <c r="T15" s="6" t="s">
        <v>1407</v>
      </c>
      <c r="U15" s="6" t="s">
        <v>1405</v>
      </c>
      <c r="V15" s="6" t="s">
        <v>718</v>
      </c>
      <c r="W15" s="6" t="s">
        <v>718</v>
      </c>
      <c r="X15" s="6" t="s">
        <v>869</v>
      </c>
      <c r="Y15" s="6" t="s">
        <v>718</v>
      </c>
      <c r="Z15" s="6" t="s">
        <v>718</v>
      </c>
      <c r="AA15" s="6">
        <v>1</v>
      </c>
      <c r="AE15" s="6" t="s">
        <v>718</v>
      </c>
      <c r="AF15" s="6" t="s">
        <v>718</v>
      </c>
      <c r="AG15" s="6" t="s">
        <v>1421</v>
      </c>
    </row>
    <row r="16" spans="1:33" x14ac:dyDescent="0.3">
      <c r="A16" s="6" t="s">
        <v>1002</v>
      </c>
      <c r="B16" s="6" t="s">
        <v>99</v>
      </c>
      <c r="C16" s="6" t="s">
        <v>847</v>
      </c>
      <c r="D16" s="6" t="s">
        <v>821</v>
      </c>
      <c r="E16" s="6" t="s">
        <v>718</v>
      </c>
      <c r="F16" s="6" t="s">
        <v>718</v>
      </c>
      <c r="G16" s="6" t="s">
        <v>718</v>
      </c>
      <c r="H16" s="6" t="s">
        <v>718</v>
      </c>
      <c r="I16" s="6" t="s">
        <v>718</v>
      </c>
      <c r="J16" s="6" t="s">
        <v>718</v>
      </c>
      <c r="K16" s="6" t="s">
        <v>824</v>
      </c>
      <c r="T16" s="6" t="s">
        <v>1407</v>
      </c>
      <c r="U16" s="6" t="s">
        <v>1405</v>
      </c>
      <c r="V16" s="6" t="s">
        <v>718</v>
      </c>
      <c r="W16" s="6" t="s">
        <v>718</v>
      </c>
      <c r="X16" s="6" t="s">
        <v>869</v>
      </c>
      <c r="Y16" s="6" t="s">
        <v>718</v>
      </c>
      <c r="Z16" s="6" t="s">
        <v>718</v>
      </c>
      <c r="AA16" s="6">
        <v>1</v>
      </c>
      <c r="AE16" s="6" t="s">
        <v>718</v>
      </c>
      <c r="AF16" s="6" t="s">
        <v>718</v>
      </c>
      <c r="AG16" s="6" t="s">
        <v>1422</v>
      </c>
    </row>
    <row r="17" spans="1:33" x14ac:dyDescent="0.3">
      <c r="A17" s="6" t="s">
        <v>718</v>
      </c>
      <c r="B17" s="6" t="s">
        <v>718</v>
      </c>
      <c r="C17" s="6" t="s">
        <v>718</v>
      </c>
      <c r="D17" s="6" t="s">
        <v>718</v>
      </c>
      <c r="E17" s="6" t="s">
        <v>718</v>
      </c>
      <c r="F17" s="6" t="s">
        <v>718</v>
      </c>
      <c r="G17" s="6" t="s">
        <v>718</v>
      </c>
      <c r="H17" s="6" t="s">
        <v>718</v>
      </c>
      <c r="I17" s="6" t="s">
        <v>718</v>
      </c>
      <c r="J17" s="6" t="s">
        <v>718</v>
      </c>
      <c r="K17" s="6" t="s">
        <v>718</v>
      </c>
      <c r="T17" s="6" t="s">
        <v>718</v>
      </c>
      <c r="U17" s="6" t="s">
        <v>718</v>
      </c>
      <c r="V17" s="6" t="s">
        <v>718</v>
      </c>
      <c r="W17" s="6" t="s">
        <v>718</v>
      </c>
      <c r="X17" s="6" t="s">
        <v>718</v>
      </c>
      <c r="Y17" s="6" t="s">
        <v>718</v>
      </c>
      <c r="Z17" s="6" t="s">
        <v>718</v>
      </c>
      <c r="AA17" s="6" t="s">
        <v>718</v>
      </c>
      <c r="AE17" s="6" t="s">
        <v>718</v>
      </c>
      <c r="AF17" s="6" t="s">
        <v>718</v>
      </c>
      <c r="AG17" s="6" t="s">
        <v>1423</v>
      </c>
    </row>
    <row r="18" spans="1:33" x14ac:dyDescent="0.3">
      <c r="A18" s="6" t="s">
        <v>1003</v>
      </c>
      <c r="B18" s="6" t="s">
        <v>99</v>
      </c>
      <c r="C18" s="6" t="s">
        <v>847</v>
      </c>
      <c r="D18" s="6" t="s">
        <v>705</v>
      </c>
      <c r="E18" s="6" t="s">
        <v>718</v>
      </c>
      <c r="F18" s="6" t="s">
        <v>718</v>
      </c>
      <c r="G18" s="6" t="s">
        <v>718</v>
      </c>
      <c r="H18" s="6" t="s">
        <v>718</v>
      </c>
      <c r="I18" s="6" t="s">
        <v>718</v>
      </c>
      <c r="J18" s="6" t="s">
        <v>718</v>
      </c>
      <c r="K18" s="6" t="s">
        <v>706</v>
      </c>
      <c r="T18" s="6" t="s">
        <v>1407</v>
      </c>
      <c r="U18" s="6" t="s">
        <v>1405</v>
      </c>
      <c r="V18" s="6" t="s">
        <v>718</v>
      </c>
      <c r="W18" s="6" t="s">
        <v>718</v>
      </c>
      <c r="X18" s="6" t="s">
        <v>869</v>
      </c>
      <c r="Y18" s="6" t="s">
        <v>718</v>
      </c>
      <c r="Z18" s="6" t="s">
        <v>718</v>
      </c>
      <c r="AA18" s="6">
        <v>1</v>
      </c>
      <c r="AE18" s="6" t="s">
        <v>718</v>
      </c>
      <c r="AF18" s="6" t="s">
        <v>718</v>
      </c>
      <c r="AG18" s="6" t="s">
        <v>1424</v>
      </c>
    </row>
    <row r="19" spans="1:33" x14ac:dyDescent="0.3">
      <c r="A19" s="6" t="s">
        <v>1004</v>
      </c>
      <c r="B19" s="6" t="s">
        <v>99</v>
      </c>
      <c r="C19" s="6" t="s">
        <v>847</v>
      </c>
      <c r="D19" s="6" t="s">
        <v>627</v>
      </c>
      <c r="E19" s="6" t="s">
        <v>718</v>
      </c>
      <c r="F19" s="6" t="s">
        <v>718</v>
      </c>
      <c r="G19" s="6" t="s">
        <v>718</v>
      </c>
      <c r="H19" s="6" t="s">
        <v>718</v>
      </c>
      <c r="I19" s="6" t="s">
        <v>718</v>
      </c>
      <c r="J19" s="6" t="s">
        <v>718</v>
      </c>
      <c r="K19" s="6" t="s">
        <v>628</v>
      </c>
      <c r="T19" s="6" t="s">
        <v>1407</v>
      </c>
      <c r="U19" s="6" t="s">
        <v>1405</v>
      </c>
      <c r="V19" s="6" t="s">
        <v>718</v>
      </c>
      <c r="W19" s="6" t="s">
        <v>718</v>
      </c>
      <c r="X19" s="6" t="s">
        <v>869</v>
      </c>
      <c r="Y19" s="6" t="s">
        <v>718</v>
      </c>
      <c r="Z19" s="6" t="s">
        <v>718</v>
      </c>
      <c r="AA19" s="6">
        <v>1</v>
      </c>
      <c r="AE19" s="6" t="s">
        <v>718</v>
      </c>
      <c r="AF19" s="6" t="s">
        <v>718</v>
      </c>
      <c r="AG19" s="6" t="s">
        <v>1425</v>
      </c>
    </row>
    <row r="20" spans="1:33" x14ac:dyDescent="0.3">
      <c r="A20" s="6" t="s">
        <v>718</v>
      </c>
      <c r="B20" s="6" t="s">
        <v>718</v>
      </c>
      <c r="C20" s="6" t="s">
        <v>718</v>
      </c>
      <c r="D20" s="6" t="s">
        <v>718</v>
      </c>
      <c r="E20" s="6" t="s">
        <v>718</v>
      </c>
      <c r="F20" s="6" t="s">
        <v>718</v>
      </c>
      <c r="G20" s="6" t="s">
        <v>718</v>
      </c>
      <c r="H20" s="6" t="s">
        <v>718</v>
      </c>
      <c r="I20" s="6" t="s">
        <v>718</v>
      </c>
      <c r="J20" s="6" t="s">
        <v>718</v>
      </c>
      <c r="K20" s="6" t="s">
        <v>718</v>
      </c>
      <c r="T20" s="6" t="s">
        <v>718</v>
      </c>
      <c r="U20" s="6" t="s">
        <v>718</v>
      </c>
      <c r="V20" s="6" t="s">
        <v>718</v>
      </c>
      <c r="W20" s="6" t="s">
        <v>718</v>
      </c>
      <c r="X20" s="6" t="s">
        <v>718</v>
      </c>
      <c r="Y20" s="6" t="s">
        <v>718</v>
      </c>
      <c r="Z20" s="6" t="s">
        <v>718</v>
      </c>
      <c r="AA20" s="6" t="s">
        <v>718</v>
      </c>
      <c r="AE20" s="6" t="s">
        <v>718</v>
      </c>
      <c r="AF20" s="6" t="s">
        <v>718</v>
      </c>
      <c r="AG20" s="6" t="s">
        <v>1426</v>
      </c>
    </row>
    <row r="21" spans="1:33" x14ac:dyDescent="0.3">
      <c r="A21" s="6" t="s">
        <v>1005</v>
      </c>
      <c r="B21" s="6" t="s">
        <v>99</v>
      </c>
      <c r="C21" s="6" t="s">
        <v>847</v>
      </c>
      <c r="D21" s="6" t="s">
        <v>809</v>
      </c>
      <c r="E21" s="6" t="s">
        <v>718</v>
      </c>
      <c r="F21" s="6" t="s">
        <v>718</v>
      </c>
      <c r="G21" s="6" t="s">
        <v>718</v>
      </c>
      <c r="H21" s="6" t="s">
        <v>718</v>
      </c>
      <c r="I21" s="6" t="s">
        <v>718</v>
      </c>
      <c r="J21" s="6" t="s">
        <v>718</v>
      </c>
      <c r="K21" s="6" t="s">
        <v>812</v>
      </c>
      <c r="T21" s="6" t="s">
        <v>1407</v>
      </c>
      <c r="U21" s="6" t="s">
        <v>1405</v>
      </c>
      <c r="V21" s="6" t="s">
        <v>718</v>
      </c>
      <c r="W21" s="6" t="s">
        <v>718</v>
      </c>
      <c r="X21" s="6" t="s">
        <v>869</v>
      </c>
      <c r="Y21" s="6" t="s">
        <v>718</v>
      </c>
      <c r="Z21" s="6" t="s">
        <v>718</v>
      </c>
      <c r="AA21" s="6">
        <v>1</v>
      </c>
      <c r="AE21" s="6" t="s">
        <v>718</v>
      </c>
      <c r="AF21" s="6" t="s">
        <v>718</v>
      </c>
      <c r="AG21" s="6" t="s">
        <v>1427</v>
      </c>
    </row>
    <row r="22" spans="1:33" x14ac:dyDescent="0.3">
      <c r="A22" s="6" t="s">
        <v>1006</v>
      </c>
      <c r="B22" s="6" t="s">
        <v>99</v>
      </c>
      <c r="C22" s="6" t="s">
        <v>847</v>
      </c>
      <c r="D22" s="6" t="s">
        <v>810</v>
      </c>
      <c r="E22" s="6" t="s">
        <v>718</v>
      </c>
      <c r="F22" s="6" t="s">
        <v>718</v>
      </c>
      <c r="G22" s="6" t="s">
        <v>718</v>
      </c>
      <c r="H22" s="6" t="s">
        <v>718</v>
      </c>
      <c r="I22" s="6" t="s">
        <v>718</v>
      </c>
      <c r="J22" s="6" t="s">
        <v>718</v>
      </c>
      <c r="K22" s="6" t="s">
        <v>813</v>
      </c>
      <c r="T22" s="6" t="s">
        <v>1407</v>
      </c>
      <c r="U22" s="6" t="s">
        <v>1405</v>
      </c>
      <c r="V22" s="6" t="s">
        <v>718</v>
      </c>
      <c r="W22" s="6" t="s">
        <v>718</v>
      </c>
      <c r="X22" s="6" t="s">
        <v>869</v>
      </c>
      <c r="Y22" s="6" t="s">
        <v>718</v>
      </c>
      <c r="Z22" s="6" t="s">
        <v>718</v>
      </c>
      <c r="AA22" s="6">
        <v>1</v>
      </c>
      <c r="AE22" s="6" t="s">
        <v>718</v>
      </c>
      <c r="AF22" s="6" t="s">
        <v>718</v>
      </c>
      <c r="AG22" s="6" t="s">
        <v>1428</v>
      </c>
    </row>
    <row r="23" spans="1:33" x14ac:dyDescent="0.3">
      <c r="A23" s="6" t="s">
        <v>718</v>
      </c>
      <c r="B23" s="6" t="s">
        <v>718</v>
      </c>
      <c r="C23" s="6" t="s">
        <v>718</v>
      </c>
      <c r="D23" s="6" t="s">
        <v>718</v>
      </c>
      <c r="E23" s="6" t="s">
        <v>718</v>
      </c>
      <c r="F23" s="6" t="s">
        <v>718</v>
      </c>
      <c r="G23" s="6" t="s">
        <v>718</v>
      </c>
      <c r="H23" s="6" t="s">
        <v>718</v>
      </c>
      <c r="I23" s="6" t="s">
        <v>718</v>
      </c>
      <c r="J23" s="6" t="s">
        <v>718</v>
      </c>
      <c r="K23" s="6" t="s">
        <v>718</v>
      </c>
      <c r="T23" s="6" t="s">
        <v>718</v>
      </c>
      <c r="U23" s="6" t="s">
        <v>718</v>
      </c>
      <c r="V23" s="6" t="s">
        <v>718</v>
      </c>
      <c r="W23" s="6" t="s">
        <v>718</v>
      </c>
      <c r="X23" s="6" t="s">
        <v>718</v>
      </c>
      <c r="Y23" s="6" t="s">
        <v>718</v>
      </c>
      <c r="Z23" s="6" t="s">
        <v>718</v>
      </c>
      <c r="AA23" s="6" t="s">
        <v>718</v>
      </c>
      <c r="AE23" s="6" t="s">
        <v>718</v>
      </c>
      <c r="AF23" s="6" t="s">
        <v>718</v>
      </c>
      <c r="AG23" s="6" t="s">
        <v>1429</v>
      </c>
    </row>
    <row r="24" spans="1:33" x14ac:dyDescent="0.3">
      <c r="A24" s="6" t="s">
        <v>718</v>
      </c>
      <c r="B24" s="6" t="s">
        <v>718</v>
      </c>
      <c r="C24" s="6" t="s">
        <v>718</v>
      </c>
      <c r="D24" s="6" t="s">
        <v>718</v>
      </c>
      <c r="E24" s="6" t="s">
        <v>718</v>
      </c>
      <c r="F24" s="6" t="s">
        <v>718</v>
      </c>
      <c r="G24" s="6" t="s">
        <v>718</v>
      </c>
      <c r="H24" s="6" t="s">
        <v>718</v>
      </c>
      <c r="I24" s="6" t="s">
        <v>718</v>
      </c>
      <c r="J24" s="6" t="s">
        <v>718</v>
      </c>
      <c r="K24" s="6" t="s">
        <v>718</v>
      </c>
      <c r="T24" s="6" t="s">
        <v>718</v>
      </c>
      <c r="U24" s="6" t="s">
        <v>718</v>
      </c>
      <c r="V24" s="6" t="s">
        <v>718</v>
      </c>
      <c r="W24" s="6" t="s">
        <v>718</v>
      </c>
      <c r="X24" s="6" t="s">
        <v>718</v>
      </c>
      <c r="Y24" s="6" t="s">
        <v>718</v>
      </c>
      <c r="Z24" s="6" t="s">
        <v>718</v>
      </c>
      <c r="AA24" s="6" t="s">
        <v>718</v>
      </c>
      <c r="AE24" s="6" t="s">
        <v>718</v>
      </c>
      <c r="AF24" s="6" t="s">
        <v>718</v>
      </c>
      <c r="AG24" s="6" t="s">
        <v>1430</v>
      </c>
    </row>
    <row r="25" spans="1:33" x14ac:dyDescent="0.3">
      <c r="A25" s="6" t="s">
        <v>1007</v>
      </c>
      <c r="B25" s="6" t="s">
        <v>99</v>
      </c>
      <c r="C25" s="6" t="s">
        <v>847</v>
      </c>
      <c r="D25" s="6" t="s">
        <v>358</v>
      </c>
      <c r="E25" s="6" t="s">
        <v>718</v>
      </c>
      <c r="F25" s="6" t="s">
        <v>718</v>
      </c>
      <c r="G25" s="6" t="s">
        <v>718</v>
      </c>
      <c r="H25" s="6" t="s">
        <v>718</v>
      </c>
      <c r="I25" s="6" t="s">
        <v>718</v>
      </c>
      <c r="J25" s="6" t="s">
        <v>718</v>
      </c>
      <c r="K25" s="6" t="s">
        <v>818</v>
      </c>
      <c r="T25" s="6" t="s">
        <v>1407</v>
      </c>
      <c r="U25" s="6" t="s">
        <v>1405</v>
      </c>
      <c r="V25" s="6" t="s">
        <v>718</v>
      </c>
      <c r="W25" s="6" t="s">
        <v>718</v>
      </c>
      <c r="X25" s="6" t="s">
        <v>869</v>
      </c>
      <c r="Y25" s="6" t="s">
        <v>718</v>
      </c>
      <c r="Z25" s="6" t="s">
        <v>718</v>
      </c>
      <c r="AA25" s="6">
        <v>1</v>
      </c>
      <c r="AE25" s="6" t="s">
        <v>718</v>
      </c>
      <c r="AF25" s="6" t="s">
        <v>718</v>
      </c>
      <c r="AG25" s="6" t="s">
        <v>1431</v>
      </c>
    </row>
    <row r="26" spans="1:33" x14ac:dyDescent="0.3">
      <c r="A26" s="6" t="s">
        <v>718</v>
      </c>
      <c r="B26" s="6" t="s">
        <v>718</v>
      </c>
      <c r="C26" s="6" t="s">
        <v>718</v>
      </c>
      <c r="D26" s="6" t="s">
        <v>718</v>
      </c>
      <c r="E26" s="6" t="s">
        <v>718</v>
      </c>
      <c r="F26" s="6" t="s">
        <v>718</v>
      </c>
      <c r="G26" s="6" t="s">
        <v>718</v>
      </c>
      <c r="H26" s="6" t="s">
        <v>718</v>
      </c>
      <c r="I26" s="6" t="s">
        <v>718</v>
      </c>
      <c r="J26" s="6" t="s">
        <v>718</v>
      </c>
      <c r="K26" s="6" t="s">
        <v>718</v>
      </c>
      <c r="T26" s="6" t="s">
        <v>718</v>
      </c>
      <c r="U26" s="6" t="s">
        <v>718</v>
      </c>
      <c r="V26" s="6" t="s">
        <v>718</v>
      </c>
      <c r="W26" s="6" t="s">
        <v>718</v>
      </c>
      <c r="X26" s="6" t="s">
        <v>718</v>
      </c>
      <c r="Y26" s="6" t="s">
        <v>718</v>
      </c>
      <c r="Z26" s="6" t="s">
        <v>718</v>
      </c>
      <c r="AA26" s="6" t="s">
        <v>718</v>
      </c>
      <c r="AE26" s="6" t="s">
        <v>718</v>
      </c>
      <c r="AF26" s="6" t="s">
        <v>718</v>
      </c>
      <c r="AG26" s="6" t="s">
        <v>1432</v>
      </c>
    </row>
    <row r="27" spans="1:33" x14ac:dyDescent="0.3">
      <c r="A27" s="17" t="s">
        <v>1008</v>
      </c>
      <c r="B27" s="17" t="s">
        <v>99</v>
      </c>
      <c r="C27" s="17" t="s">
        <v>847</v>
      </c>
      <c r="D27" s="17" t="s">
        <v>724</v>
      </c>
      <c r="E27" s="17" t="s">
        <v>718</v>
      </c>
      <c r="F27" s="17" t="s">
        <v>718</v>
      </c>
      <c r="G27" s="17" t="s">
        <v>718</v>
      </c>
      <c r="H27" s="17" t="s">
        <v>718</v>
      </c>
      <c r="I27" s="17" t="s">
        <v>718</v>
      </c>
      <c r="J27" s="17" t="s">
        <v>718</v>
      </c>
      <c r="K27" s="17" t="s">
        <v>726</v>
      </c>
      <c r="L27" s="17"/>
      <c r="M27" s="17"/>
      <c r="N27" s="17"/>
      <c r="O27" s="17"/>
      <c r="P27" s="17"/>
      <c r="Q27" s="17"/>
      <c r="R27" s="17"/>
      <c r="S27" s="17"/>
      <c r="T27" s="17" t="s">
        <v>1407</v>
      </c>
      <c r="U27" s="17" t="s">
        <v>1405</v>
      </c>
      <c r="V27" s="17" t="s">
        <v>718</v>
      </c>
      <c r="W27" s="17" t="s">
        <v>718</v>
      </c>
      <c r="X27" s="17" t="s">
        <v>869</v>
      </c>
      <c r="Y27" s="17" t="s">
        <v>718</v>
      </c>
      <c r="Z27" s="17" t="s">
        <v>307</v>
      </c>
      <c r="AA27" s="17" t="s">
        <v>718</v>
      </c>
      <c r="AB27" s="17"/>
      <c r="AC27" s="17"/>
      <c r="AD27" s="17"/>
      <c r="AE27" s="17" t="s">
        <v>718</v>
      </c>
      <c r="AF27" s="17" t="s">
        <v>718</v>
      </c>
      <c r="AG27" s="17" t="s">
        <v>1433</v>
      </c>
    </row>
    <row r="28" spans="1:33" x14ac:dyDescent="0.3">
      <c r="A28" s="6" t="s">
        <v>1033</v>
      </c>
      <c r="B28" s="6" t="s">
        <v>99</v>
      </c>
      <c r="C28" s="6" t="s">
        <v>847</v>
      </c>
      <c r="D28" s="6" t="s">
        <v>886</v>
      </c>
      <c r="E28" s="6" t="s">
        <v>718</v>
      </c>
      <c r="F28" s="6" t="s">
        <v>718</v>
      </c>
      <c r="G28" s="6" t="s">
        <v>718</v>
      </c>
      <c r="H28" s="6" t="s">
        <v>718</v>
      </c>
      <c r="I28" s="6" t="s">
        <v>718</v>
      </c>
      <c r="J28" s="6" t="s">
        <v>718</v>
      </c>
      <c r="K28" s="6" t="s">
        <v>360</v>
      </c>
      <c r="T28" s="6" t="s">
        <v>1407</v>
      </c>
      <c r="U28" s="6" t="s">
        <v>1405</v>
      </c>
      <c r="V28" s="6" t="s">
        <v>718</v>
      </c>
      <c r="W28" s="6" t="s">
        <v>718</v>
      </c>
      <c r="X28" s="6" t="s">
        <v>869</v>
      </c>
      <c r="Y28" s="6" t="s">
        <v>718</v>
      </c>
      <c r="Z28" s="6" t="s">
        <v>718</v>
      </c>
      <c r="AA28" s="6" t="s">
        <v>718</v>
      </c>
      <c r="AE28" s="6" t="s">
        <v>718</v>
      </c>
      <c r="AF28" s="6" t="s">
        <v>718</v>
      </c>
      <c r="AG28" s="6" t="s">
        <v>1434</v>
      </c>
    </row>
    <row r="29" spans="1:33" x14ac:dyDescent="0.3">
      <c r="A29" s="6" t="s">
        <v>1034</v>
      </c>
      <c r="B29" s="6" t="s">
        <v>99</v>
      </c>
      <c r="C29" s="6" t="s">
        <v>847</v>
      </c>
      <c r="D29" s="6" t="s">
        <v>887</v>
      </c>
      <c r="E29" s="6" t="s">
        <v>718</v>
      </c>
      <c r="F29" s="6" t="s">
        <v>718</v>
      </c>
      <c r="G29" s="6" t="s">
        <v>718</v>
      </c>
      <c r="H29" s="6" t="s">
        <v>718</v>
      </c>
      <c r="I29" s="6" t="s">
        <v>718</v>
      </c>
      <c r="J29" s="6" t="s">
        <v>718</v>
      </c>
      <c r="K29" s="6" t="s">
        <v>423</v>
      </c>
      <c r="T29" s="6" t="s">
        <v>1407</v>
      </c>
      <c r="U29" s="6" t="s">
        <v>1405</v>
      </c>
      <c r="V29" s="6" t="s">
        <v>718</v>
      </c>
      <c r="W29" s="6" t="s">
        <v>718</v>
      </c>
      <c r="X29" s="6" t="s">
        <v>869</v>
      </c>
      <c r="Y29" s="6" t="s">
        <v>718</v>
      </c>
      <c r="Z29" s="6" t="s">
        <v>307</v>
      </c>
      <c r="AA29" s="6" t="s">
        <v>718</v>
      </c>
      <c r="AE29" s="6" t="s">
        <v>718</v>
      </c>
      <c r="AF29" s="6" t="s">
        <v>718</v>
      </c>
      <c r="AG29" s="6" t="s">
        <v>1435</v>
      </c>
    </row>
    <row r="30" spans="1:33" x14ac:dyDescent="0.3">
      <c r="A30" s="6" t="s">
        <v>1035</v>
      </c>
      <c r="B30" s="6" t="s">
        <v>99</v>
      </c>
      <c r="C30" s="6" t="s">
        <v>847</v>
      </c>
      <c r="D30" s="6" t="s">
        <v>888</v>
      </c>
      <c r="E30" s="6" t="s">
        <v>718</v>
      </c>
      <c r="F30" s="6" t="s">
        <v>718</v>
      </c>
      <c r="G30" s="6" t="s">
        <v>718</v>
      </c>
      <c r="H30" s="6" t="s">
        <v>718</v>
      </c>
      <c r="I30" s="6" t="s">
        <v>718</v>
      </c>
      <c r="J30" s="6" t="s">
        <v>718</v>
      </c>
      <c r="K30" s="6" t="s">
        <v>362</v>
      </c>
      <c r="T30" s="6" t="s">
        <v>1407</v>
      </c>
      <c r="U30" s="6" t="s">
        <v>1405</v>
      </c>
      <c r="V30" s="6" t="s">
        <v>718</v>
      </c>
      <c r="W30" s="6" t="s">
        <v>718</v>
      </c>
      <c r="X30" s="6" t="s">
        <v>869</v>
      </c>
      <c r="Y30" s="6" t="s">
        <v>718</v>
      </c>
      <c r="Z30" s="6" t="s">
        <v>718</v>
      </c>
      <c r="AA30" s="6" t="s">
        <v>718</v>
      </c>
      <c r="AE30" s="6" t="s">
        <v>718</v>
      </c>
      <c r="AF30" s="6" t="s">
        <v>718</v>
      </c>
      <c r="AG30" s="6" t="s">
        <v>1436</v>
      </c>
    </row>
    <row r="31" spans="1:33" x14ac:dyDescent="0.3">
      <c r="A31" s="6" t="s">
        <v>1036</v>
      </c>
      <c r="B31" s="6" t="s">
        <v>99</v>
      </c>
      <c r="C31" s="6" t="s">
        <v>847</v>
      </c>
      <c r="D31" s="6" t="s">
        <v>889</v>
      </c>
      <c r="E31" s="6" t="s">
        <v>718</v>
      </c>
      <c r="F31" s="6" t="s">
        <v>718</v>
      </c>
      <c r="G31" s="6" t="s">
        <v>718</v>
      </c>
      <c r="H31" s="6" t="s">
        <v>718</v>
      </c>
      <c r="I31" s="6" t="s">
        <v>718</v>
      </c>
      <c r="J31" s="6" t="s">
        <v>718</v>
      </c>
      <c r="K31" s="6" t="s">
        <v>363</v>
      </c>
      <c r="T31" s="6" t="s">
        <v>1407</v>
      </c>
      <c r="U31" s="6" t="s">
        <v>1405</v>
      </c>
      <c r="V31" s="6" t="s">
        <v>718</v>
      </c>
      <c r="W31" s="6" t="s">
        <v>718</v>
      </c>
      <c r="X31" s="6" t="s">
        <v>869</v>
      </c>
      <c r="Y31" s="6" t="s">
        <v>718</v>
      </c>
      <c r="Z31" s="6" t="s">
        <v>718</v>
      </c>
      <c r="AA31" s="6" t="s">
        <v>718</v>
      </c>
      <c r="AE31" s="6" t="s">
        <v>718</v>
      </c>
      <c r="AF31" s="6" t="s">
        <v>718</v>
      </c>
      <c r="AG31" s="6" t="s">
        <v>1437</v>
      </c>
    </row>
    <row r="32" spans="1:33" x14ac:dyDescent="0.3">
      <c r="A32" s="6" t="s">
        <v>1037</v>
      </c>
      <c r="B32" s="6" t="s">
        <v>99</v>
      </c>
      <c r="C32" s="6" t="s">
        <v>847</v>
      </c>
      <c r="D32" s="6" t="s">
        <v>890</v>
      </c>
      <c r="E32" s="6" t="s">
        <v>718</v>
      </c>
      <c r="F32" s="6" t="s">
        <v>718</v>
      </c>
      <c r="G32" s="6" t="s">
        <v>718</v>
      </c>
      <c r="H32" s="6" t="s">
        <v>718</v>
      </c>
      <c r="I32" s="6" t="s">
        <v>718</v>
      </c>
      <c r="J32" s="6" t="s">
        <v>718</v>
      </c>
      <c r="K32" s="6" t="s">
        <v>364</v>
      </c>
      <c r="T32" s="6" t="s">
        <v>1407</v>
      </c>
      <c r="U32" s="6" t="s">
        <v>1405</v>
      </c>
      <c r="V32" s="6" t="s">
        <v>718</v>
      </c>
      <c r="W32" s="6" t="s">
        <v>718</v>
      </c>
      <c r="X32" s="6" t="s">
        <v>869</v>
      </c>
      <c r="Y32" s="6" t="s">
        <v>718</v>
      </c>
      <c r="Z32" s="6" t="s">
        <v>307</v>
      </c>
      <c r="AA32" s="6" t="s">
        <v>718</v>
      </c>
      <c r="AE32" s="6" t="s">
        <v>718</v>
      </c>
      <c r="AF32" s="6" t="s">
        <v>718</v>
      </c>
      <c r="AG32" s="6" t="s">
        <v>1438</v>
      </c>
    </row>
    <row r="33" spans="1:33" x14ac:dyDescent="0.3">
      <c r="A33" s="6" t="s">
        <v>1038</v>
      </c>
      <c r="B33" s="6" t="s">
        <v>99</v>
      </c>
      <c r="C33" s="6" t="s">
        <v>847</v>
      </c>
      <c r="D33" s="6" t="s">
        <v>891</v>
      </c>
      <c r="E33" s="6" t="s">
        <v>718</v>
      </c>
      <c r="F33" s="6" t="s">
        <v>718</v>
      </c>
      <c r="G33" s="6" t="s">
        <v>718</v>
      </c>
      <c r="H33" s="6" t="s">
        <v>718</v>
      </c>
      <c r="I33" s="6" t="s">
        <v>718</v>
      </c>
      <c r="J33" s="6" t="s">
        <v>718</v>
      </c>
      <c r="K33" s="6" t="s">
        <v>365</v>
      </c>
      <c r="T33" s="6" t="s">
        <v>1407</v>
      </c>
      <c r="U33" s="6" t="s">
        <v>1405</v>
      </c>
      <c r="V33" s="6" t="s">
        <v>718</v>
      </c>
      <c r="W33" s="6" t="s">
        <v>718</v>
      </c>
      <c r="X33" s="6" t="s">
        <v>869</v>
      </c>
      <c r="Y33" s="6" t="s">
        <v>718</v>
      </c>
      <c r="Z33" s="6" t="s">
        <v>718</v>
      </c>
      <c r="AA33" s="6" t="s">
        <v>718</v>
      </c>
      <c r="AE33" s="6" t="s">
        <v>718</v>
      </c>
      <c r="AF33" s="6" t="s">
        <v>718</v>
      </c>
      <c r="AG33" s="6" t="s">
        <v>1439</v>
      </c>
    </row>
    <row r="34" spans="1:33" x14ac:dyDescent="0.3">
      <c r="A34" s="6" t="s">
        <v>1039</v>
      </c>
      <c r="B34" s="6" t="s">
        <v>99</v>
      </c>
      <c r="C34" s="6" t="s">
        <v>847</v>
      </c>
      <c r="D34" s="6" t="s">
        <v>892</v>
      </c>
      <c r="E34" s="6" t="s">
        <v>718</v>
      </c>
      <c r="F34" s="6" t="s">
        <v>718</v>
      </c>
      <c r="G34" s="6" t="s">
        <v>718</v>
      </c>
      <c r="H34" s="6" t="s">
        <v>718</v>
      </c>
      <c r="I34" s="6" t="s">
        <v>718</v>
      </c>
      <c r="J34" s="6" t="s">
        <v>718</v>
      </c>
      <c r="K34" s="6" t="s">
        <v>424</v>
      </c>
      <c r="T34" s="6" t="s">
        <v>1407</v>
      </c>
      <c r="U34" s="6" t="s">
        <v>1405</v>
      </c>
      <c r="V34" s="6" t="s">
        <v>718</v>
      </c>
      <c r="W34" s="6" t="s">
        <v>718</v>
      </c>
      <c r="X34" s="6" t="s">
        <v>869</v>
      </c>
      <c r="Y34" s="6" t="s">
        <v>718</v>
      </c>
      <c r="Z34" s="6" t="s">
        <v>307</v>
      </c>
      <c r="AA34" s="6" t="s">
        <v>718</v>
      </c>
      <c r="AE34" s="6" t="s">
        <v>718</v>
      </c>
      <c r="AF34" s="6" t="s">
        <v>718</v>
      </c>
      <c r="AG34" s="6" t="s">
        <v>1440</v>
      </c>
    </row>
    <row r="35" spans="1:33" x14ac:dyDescent="0.3">
      <c r="A35" s="6" t="s">
        <v>1040</v>
      </c>
      <c r="B35" s="6" t="s">
        <v>99</v>
      </c>
      <c r="C35" s="6" t="s">
        <v>847</v>
      </c>
      <c r="D35" s="6" t="s">
        <v>893</v>
      </c>
      <c r="E35" s="6" t="s">
        <v>718</v>
      </c>
      <c r="F35" s="6" t="s">
        <v>718</v>
      </c>
      <c r="G35" s="6" t="s">
        <v>718</v>
      </c>
      <c r="H35" s="6" t="s">
        <v>718</v>
      </c>
      <c r="I35" s="6" t="s">
        <v>718</v>
      </c>
      <c r="J35" s="6" t="s">
        <v>718</v>
      </c>
      <c r="K35" s="6" t="s">
        <v>425</v>
      </c>
      <c r="T35" s="6" t="s">
        <v>1407</v>
      </c>
      <c r="U35" s="6" t="s">
        <v>1405</v>
      </c>
      <c r="V35" s="6" t="s">
        <v>718</v>
      </c>
      <c r="W35" s="6" t="s">
        <v>718</v>
      </c>
      <c r="X35" s="6" t="s">
        <v>869</v>
      </c>
      <c r="Y35" s="6" t="s">
        <v>718</v>
      </c>
      <c r="Z35" s="6" t="s">
        <v>307</v>
      </c>
      <c r="AA35" s="6" t="s">
        <v>718</v>
      </c>
      <c r="AE35" s="6" t="s">
        <v>718</v>
      </c>
      <c r="AF35" s="6" t="s">
        <v>718</v>
      </c>
      <c r="AG35" s="6" t="s">
        <v>1441</v>
      </c>
    </row>
    <row r="36" spans="1:33" x14ac:dyDescent="0.3">
      <c r="A36" s="6" t="s">
        <v>1041</v>
      </c>
      <c r="B36" s="6" t="s">
        <v>99</v>
      </c>
      <c r="C36" s="6" t="s">
        <v>847</v>
      </c>
      <c r="D36" s="6" t="s">
        <v>894</v>
      </c>
      <c r="E36" s="6" t="s">
        <v>718</v>
      </c>
      <c r="F36" s="6" t="s">
        <v>718</v>
      </c>
      <c r="G36" s="6" t="s">
        <v>718</v>
      </c>
      <c r="H36" s="6" t="s">
        <v>718</v>
      </c>
      <c r="I36" s="6" t="s">
        <v>718</v>
      </c>
      <c r="J36" s="6" t="s">
        <v>718</v>
      </c>
      <c r="K36" s="6" t="s">
        <v>368</v>
      </c>
      <c r="T36" s="6" t="s">
        <v>1407</v>
      </c>
      <c r="U36" s="6" t="s">
        <v>1405</v>
      </c>
      <c r="V36" s="6" t="s">
        <v>718</v>
      </c>
      <c r="W36" s="6" t="s">
        <v>718</v>
      </c>
      <c r="X36" s="6" t="s">
        <v>869</v>
      </c>
      <c r="Y36" s="6" t="s">
        <v>718</v>
      </c>
      <c r="Z36" s="6" t="s">
        <v>718</v>
      </c>
      <c r="AA36" s="6" t="s">
        <v>718</v>
      </c>
      <c r="AE36" s="6" t="s">
        <v>718</v>
      </c>
      <c r="AF36" s="6" t="s">
        <v>718</v>
      </c>
      <c r="AG36" s="6" t="s">
        <v>1442</v>
      </c>
    </row>
    <row r="37" spans="1:33" x14ac:dyDescent="0.3">
      <c r="A37" s="6" t="s">
        <v>1042</v>
      </c>
      <c r="B37" s="6" t="s">
        <v>99</v>
      </c>
      <c r="C37" s="6" t="s">
        <v>847</v>
      </c>
      <c r="D37" s="6" t="s">
        <v>895</v>
      </c>
      <c r="E37" s="6" t="s">
        <v>718</v>
      </c>
      <c r="F37" s="6" t="s">
        <v>718</v>
      </c>
      <c r="G37" s="6" t="s">
        <v>718</v>
      </c>
      <c r="H37" s="6" t="s">
        <v>718</v>
      </c>
      <c r="I37" s="6" t="s">
        <v>718</v>
      </c>
      <c r="J37" s="6" t="s">
        <v>718</v>
      </c>
      <c r="K37" s="6" t="s">
        <v>426</v>
      </c>
      <c r="T37" s="6" t="s">
        <v>1407</v>
      </c>
      <c r="U37" s="6" t="s">
        <v>1405</v>
      </c>
      <c r="V37" s="6" t="s">
        <v>718</v>
      </c>
      <c r="W37" s="6" t="s">
        <v>718</v>
      </c>
      <c r="X37" s="6" t="s">
        <v>869</v>
      </c>
      <c r="Y37" s="6" t="s">
        <v>718</v>
      </c>
      <c r="Z37" s="6" t="s">
        <v>307</v>
      </c>
      <c r="AA37" s="6" t="s">
        <v>718</v>
      </c>
      <c r="AE37" s="6" t="s">
        <v>718</v>
      </c>
      <c r="AF37" s="6" t="s">
        <v>718</v>
      </c>
      <c r="AG37" s="6" t="s">
        <v>1443</v>
      </c>
    </row>
    <row r="38" spans="1:33" x14ac:dyDescent="0.3">
      <c r="A38" s="6" t="s">
        <v>1043</v>
      </c>
      <c r="B38" s="6" t="s">
        <v>99</v>
      </c>
      <c r="C38" s="6" t="s">
        <v>847</v>
      </c>
      <c r="D38" s="6" t="s">
        <v>896</v>
      </c>
      <c r="E38" s="6" t="s">
        <v>718</v>
      </c>
      <c r="F38" s="6" t="s">
        <v>718</v>
      </c>
      <c r="G38" s="6" t="s">
        <v>718</v>
      </c>
      <c r="H38" s="6" t="s">
        <v>718</v>
      </c>
      <c r="I38" s="6" t="s">
        <v>718</v>
      </c>
      <c r="J38" s="6" t="s">
        <v>718</v>
      </c>
      <c r="K38" s="6" t="s">
        <v>370</v>
      </c>
      <c r="T38" s="6" t="s">
        <v>1407</v>
      </c>
      <c r="U38" s="6" t="s">
        <v>1405</v>
      </c>
      <c r="V38" s="6" t="s">
        <v>718</v>
      </c>
      <c r="W38" s="6" t="s">
        <v>718</v>
      </c>
      <c r="X38" s="6" t="s">
        <v>869</v>
      </c>
      <c r="Y38" s="6" t="s">
        <v>718</v>
      </c>
      <c r="Z38" s="6" t="s">
        <v>718</v>
      </c>
      <c r="AA38" s="6" t="s">
        <v>718</v>
      </c>
      <c r="AE38" s="6" t="s">
        <v>718</v>
      </c>
      <c r="AF38" s="6" t="s">
        <v>718</v>
      </c>
      <c r="AG38" s="6" t="s">
        <v>1444</v>
      </c>
    </row>
    <row r="39" spans="1:33" x14ac:dyDescent="0.3">
      <c r="A39" s="6" t="s">
        <v>1044</v>
      </c>
      <c r="B39" s="6" t="s">
        <v>99</v>
      </c>
      <c r="C39" s="6" t="s">
        <v>847</v>
      </c>
      <c r="D39" s="6" t="s">
        <v>897</v>
      </c>
      <c r="E39" s="6" t="s">
        <v>718</v>
      </c>
      <c r="F39" s="6" t="s">
        <v>718</v>
      </c>
      <c r="G39" s="6" t="s">
        <v>718</v>
      </c>
      <c r="H39" s="6" t="s">
        <v>718</v>
      </c>
      <c r="I39" s="6" t="s">
        <v>718</v>
      </c>
      <c r="J39" s="6" t="s">
        <v>718</v>
      </c>
      <c r="K39" s="6" t="s">
        <v>427</v>
      </c>
      <c r="T39" s="6" t="s">
        <v>1407</v>
      </c>
      <c r="U39" s="6" t="s">
        <v>1405</v>
      </c>
      <c r="V39" s="6" t="s">
        <v>718</v>
      </c>
      <c r="W39" s="6" t="s">
        <v>718</v>
      </c>
      <c r="X39" s="6" t="s">
        <v>869</v>
      </c>
      <c r="Y39" s="6" t="s">
        <v>718</v>
      </c>
      <c r="Z39" s="6" t="s">
        <v>718</v>
      </c>
      <c r="AA39" s="6" t="s">
        <v>718</v>
      </c>
      <c r="AE39" s="6" t="s">
        <v>718</v>
      </c>
      <c r="AF39" s="6" t="s">
        <v>718</v>
      </c>
      <c r="AG39" s="6" t="s">
        <v>1445</v>
      </c>
    </row>
    <row r="40" spans="1:33" x14ac:dyDescent="0.3">
      <c r="A40" s="6" t="s">
        <v>1045</v>
      </c>
      <c r="B40" s="6" t="s">
        <v>99</v>
      </c>
      <c r="C40" s="6" t="s">
        <v>847</v>
      </c>
      <c r="D40" s="6" t="s">
        <v>898</v>
      </c>
      <c r="E40" s="6" t="s">
        <v>718</v>
      </c>
      <c r="F40" s="6" t="s">
        <v>718</v>
      </c>
      <c r="G40" s="6" t="s">
        <v>718</v>
      </c>
      <c r="H40" s="6" t="s">
        <v>718</v>
      </c>
      <c r="I40" s="6" t="s">
        <v>718</v>
      </c>
      <c r="J40" s="6" t="s">
        <v>718</v>
      </c>
      <c r="K40" s="6" t="s">
        <v>428</v>
      </c>
      <c r="T40" s="6" t="s">
        <v>1407</v>
      </c>
      <c r="U40" s="6" t="s">
        <v>1405</v>
      </c>
      <c r="V40" s="6" t="s">
        <v>718</v>
      </c>
      <c r="W40" s="6" t="s">
        <v>718</v>
      </c>
      <c r="X40" s="6" t="s">
        <v>869</v>
      </c>
      <c r="Y40" s="6" t="s">
        <v>718</v>
      </c>
      <c r="Z40" s="6" t="s">
        <v>718</v>
      </c>
      <c r="AA40" s="6" t="s">
        <v>718</v>
      </c>
      <c r="AE40" s="6" t="s">
        <v>718</v>
      </c>
      <c r="AF40" s="6" t="s">
        <v>718</v>
      </c>
      <c r="AG40" s="6" t="s">
        <v>1446</v>
      </c>
    </row>
    <row r="41" spans="1:33" x14ac:dyDescent="0.3">
      <c r="A41" s="6" t="s">
        <v>1046</v>
      </c>
      <c r="B41" s="6" t="s">
        <v>99</v>
      </c>
      <c r="C41" s="6" t="s">
        <v>847</v>
      </c>
      <c r="D41" s="6" t="s">
        <v>899</v>
      </c>
      <c r="E41" s="6" t="s">
        <v>718</v>
      </c>
      <c r="F41" s="6" t="s">
        <v>718</v>
      </c>
      <c r="G41" s="6" t="s">
        <v>718</v>
      </c>
      <c r="H41" s="6" t="s">
        <v>718</v>
      </c>
      <c r="I41" s="6" t="s">
        <v>718</v>
      </c>
      <c r="J41" s="6" t="s">
        <v>718</v>
      </c>
      <c r="K41" s="6" t="s">
        <v>429</v>
      </c>
      <c r="T41" s="6" t="s">
        <v>1407</v>
      </c>
      <c r="U41" s="6" t="s">
        <v>1405</v>
      </c>
      <c r="V41" s="6" t="s">
        <v>718</v>
      </c>
      <c r="W41" s="6" t="s">
        <v>718</v>
      </c>
      <c r="X41" s="6" t="s">
        <v>869</v>
      </c>
      <c r="Y41" s="6" t="s">
        <v>718</v>
      </c>
      <c r="Z41" s="6" t="s">
        <v>718</v>
      </c>
      <c r="AA41" s="6" t="s">
        <v>718</v>
      </c>
      <c r="AE41" s="6" t="s">
        <v>718</v>
      </c>
      <c r="AF41" s="6" t="s">
        <v>718</v>
      </c>
      <c r="AG41" s="6" t="s">
        <v>1447</v>
      </c>
    </row>
    <row r="42" spans="1:33" x14ac:dyDescent="0.3">
      <c r="A42" s="6" t="s">
        <v>1047</v>
      </c>
      <c r="B42" s="6" t="s">
        <v>99</v>
      </c>
      <c r="C42" s="6" t="s">
        <v>847</v>
      </c>
      <c r="D42" s="6" t="s">
        <v>900</v>
      </c>
      <c r="E42" s="6" t="s">
        <v>718</v>
      </c>
      <c r="F42" s="6" t="s">
        <v>718</v>
      </c>
      <c r="G42" s="6" t="s">
        <v>718</v>
      </c>
      <c r="H42" s="6" t="s">
        <v>718</v>
      </c>
      <c r="I42" s="6" t="s">
        <v>718</v>
      </c>
      <c r="J42" s="6" t="s">
        <v>718</v>
      </c>
      <c r="K42" s="6" t="s">
        <v>430</v>
      </c>
      <c r="T42" s="6" t="s">
        <v>1407</v>
      </c>
      <c r="U42" s="6" t="s">
        <v>1405</v>
      </c>
      <c r="V42" s="6" t="s">
        <v>718</v>
      </c>
      <c r="W42" s="6" t="s">
        <v>718</v>
      </c>
      <c r="X42" s="6" t="s">
        <v>869</v>
      </c>
      <c r="Y42" s="6" t="s">
        <v>718</v>
      </c>
      <c r="Z42" s="6" t="s">
        <v>718</v>
      </c>
      <c r="AA42" s="6" t="s">
        <v>718</v>
      </c>
      <c r="AE42" s="6" t="s">
        <v>718</v>
      </c>
      <c r="AF42" s="6" t="s">
        <v>718</v>
      </c>
      <c r="AG42" s="6" t="s">
        <v>1448</v>
      </c>
    </row>
    <row r="43" spans="1:33" x14ac:dyDescent="0.3">
      <c r="A43" s="6" t="s">
        <v>1048</v>
      </c>
      <c r="B43" s="6" t="s">
        <v>99</v>
      </c>
      <c r="C43" s="6" t="s">
        <v>847</v>
      </c>
      <c r="D43" s="6" t="s">
        <v>901</v>
      </c>
      <c r="E43" s="6" t="s">
        <v>718</v>
      </c>
      <c r="F43" s="6" t="s">
        <v>718</v>
      </c>
      <c r="G43" s="6" t="s">
        <v>718</v>
      </c>
      <c r="H43" s="6" t="s">
        <v>718</v>
      </c>
      <c r="I43" s="6" t="s">
        <v>718</v>
      </c>
      <c r="J43" s="6" t="s">
        <v>718</v>
      </c>
      <c r="K43" s="6" t="s">
        <v>431</v>
      </c>
      <c r="T43" s="6" t="s">
        <v>1407</v>
      </c>
      <c r="U43" s="6" t="s">
        <v>1405</v>
      </c>
      <c r="V43" s="6" t="s">
        <v>718</v>
      </c>
      <c r="W43" s="6" t="s">
        <v>718</v>
      </c>
      <c r="X43" s="6" t="s">
        <v>869</v>
      </c>
      <c r="Y43" s="6" t="s">
        <v>718</v>
      </c>
      <c r="Z43" s="6" t="s">
        <v>718</v>
      </c>
      <c r="AA43" s="6" t="s">
        <v>718</v>
      </c>
      <c r="AE43" s="6" t="s">
        <v>718</v>
      </c>
      <c r="AF43" s="6" t="s">
        <v>718</v>
      </c>
      <c r="AG43" s="6" t="s">
        <v>1449</v>
      </c>
    </row>
    <row r="44" spans="1:33" x14ac:dyDescent="0.3">
      <c r="A44" s="6" t="s">
        <v>1049</v>
      </c>
      <c r="B44" s="6" t="s">
        <v>99</v>
      </c>
      <c r="C44" s="6" t="s">
        <v>847</v>
      </c>
      <c r="D44" s="6" t="s">
        <v>902</v>
      </c>
      <c r="E44" s="6" t="s">
        <v>718</v>
      </c>
      <c r="F44" s="6" t="s">
        <v>718</v>
      </c>
      <c r="G44" s="6" t="s">
        <v>718</v>
      </c>
      <c r="H44" s="6" t="s">
        <v>718</v>
      </c>
      <c r="I44" s="6" t="s">
        <v>718</v>
      </c>
      <c r="J44" s="6" t="s">
        <v>718</v>
      </c>
      <c r="K44" s="6" t="s">
        <v>432</v>
      </c>
      <c r="T44" s="6" t="s">
        <v>1407</v>
      </c>
      <c r="U44" s="6" t="s">
        <v>1405</v>
      </c>
      <c r="V44" s="6" t="s">
        <v>718</v>
      </c>
      <c r="W44" s="6" t="s">
        <v>718</v>
      </c>
      <c r="X44" s="6" t="s">
        <v>869</v>
      </c>
      <c r="Y44" s="6" t="s">
        <v>718</v>
      </c>
      <c r="Z44" s="6" t="s">
        <v>718</v>
      </c>
      <c r="AA44" s="6" t="s">
        <v>718</v>
      </c>
      <c r="AE44" s="6" t="s">
        <v>718</v>
      </c>
      <c r="AF44" s="6" t="s">
        <v>718</v>
      </c>
      <c r="AG44" s="6" t="s">
        <v>1450</v>
      </c>
    </row>
    <row r="45" spans="1:33" x14ac:dyDescent="0.3">
      <c r="A45" s="6" t="s">
        <v>1050</v>
      </c>
      <c r="B45" s="6" t="s">
        <v>99</v>
      </c>
      <c r="C45" s="6" t="s">
        <v>847</v>
      </c>
      <c r="D45" s="6" t="s">
        <v>903</v>
      </c>
      <c r="E45" s="6" t="s">
        <v>718</v>
      </c>
      <c r="F45" s="6" t="s">
        <v>718</v>
      </c>
      <c r="G45" s="6" t="s">
        <v>718</v>
      </c>
      <c r="H45" s="6" t="s">
        <v>718</v>
      </c>
      <c r="I45" s="6" t="s">
        <v>718</v>
      </c>
      <c r="J45" s="6" t="s">
        <v>718</v>
      </c>
      <c r="K45" s="6" t="s">
        <v>730</v>
      </c>
      <c r="T45" s="6" t="s">
        <v>1407</v>
      </c>
      <c r="U45" s="6" t="s">
        <v>1405</v>
      </c>
      <c r="V45" s="6" t="s">
        <v>718</v>
      </c>
      <c r="W45" s="6" t="s">
        <v>718</v>
      </c>
      <c r="X45" s="6" t="s">
        <v>869</v>
      </c>
      <c r="Y45" s="6" t="s">
        <v>718</v>
      </c>
      <c r="Z45" s="6" t="s">
        <v>308</v>
      </c>
      <c r="AA45" s="6" t="s">
        <v>718</v>
      </c>
      <c r="AE45" s="6" t="s">
        <v>718</v>
      </c>
      <c r="AF45" s="6" t="s">
        <v>718</v>
      </c>
      <c r="AG45" s="6" t="s">
        <v>1451</v>
      </c>
    </row>
    <row r="46" spans="1:33" x14ac:dyDescent="0.3">
      <c r="A46" s="6" t="s">
        <v>1051</v>
      </c>
      <c r="B46" s="6" t="s">
        <v>99</v>
      </c>
      <c r="C46" s="6" t="s">
        <v>847</v>
      </c>
      <c r="D46" s="6" t="s">
        <v>904</v>
      </c>
      <c r="E46" s="6" t="s">
        <v>718</v>
      </c>
      <c r="F46" s="6" t="s">
        <v>718</v>
      </c>
      <c r="G46" s="6" t="s">
        <v>718</v>
      </c>
      <c r="H46" s="6" t="s">
        <v>718</v>
      </c>
      <c r="I46" s="6" t="s">
        <v>718</v>
      </c>
      <c r="J46" s="6" t="s">
        <v>718</v>
      </c>
      <c r="K46" s="6" t="s">
        <v>732</v>
      </c>
      <c r="T46" s="6" t="s">
        <v>1407</v>
      </c>
      <c r="U46" s="6" t="s">
        <v>1405</v>
      </c>
      <c r="V46" s="6" t="s">
        <v>718</v>
      </c>
      <c r="W46" s="6" t="s">
        <v>718</v>
      </c>
      <c r="X46" s="6" t="s">
        <v>869</v>
      </c>
      <c r="Y46" s="6" t="s">
        <v>718</v>
      </c>
      <c r="Z46" s="6" t="s">
        <v>308</v>
      </c>
      <c r="AA46" s="6" t="s">
        <v>718</v>
      </c>
      <c r="AE46" s="6" t="s">
        <v>718</v>
      </c>
      <c r="AF46" s="6" t="s">
        <v>718</v>
      </c>
      <c r="AG46" s="6" t="s">
        <v>1452</v>
      </c>
    </row>
    <row r="47" spans="1:33" x14ac:dyDescent="0.3">
      <c r="A47" s="6" t="s">
        <v>1052</v>
      </c>
      <c r="B47" s="6" t="s">
        <v>99</v>
      </c>
      <c r="C47" s="6" t="s">
        <v>847</v>
      </c>
      <c r="D47" s="6" t="s">
        <v>905</v>
      </c>
      <c r="E47" s="6" t="s">
        <v>718</v>
      </c>
      <c r="F47" s="6" t="s">
        <v>718</v>
      </c>
      <c r="G47" s="6" t="s">
        <v>718</v>
      </c>
      <c r="H47" s="6" t="s">
        <v>718</v>
      </c>
      <c r="I47" s="6" t="s">
        <v>718</v>
      </c>
      <c r="J47" s="6" t="s">
        <v>718</v>
      </c>
      <c r="K47" s="6" t="s">
        <v>733</v>
      </c>
      <c r="T47" s="6" t="s">
        <v>1407</v>
      </c>
      <c r="U47" s="6" t="s">
        <v>1405</v>
      </c>
      <c r="V47" s="6" t="s">
        <v>718</v>
      </c>
      <c r="W47" s="6" t="s">
        <v>718</v>
      </c>
      <c r="X47" s="6" t="s">
        <v>869</v>
      </c>
      <c r="Y47" s="6" t="s">
        <v>718</v>
      </c>
      <c r="Z47" s="6" t="s">
        <v>718</v>
      </c>
      <c r="AA47" s="6" t="s">
        <v>718</v>
      </c>
      <c r="AE47" s="6" t="s">
        <v>718</v>
      </c>
      <c r="AF47" s="6" t="s">
        <v>718</v>
      </c>
      <c r="AG47" s="6" t="s">
        <v>1453</v>
      </c>
    </row>
    <row r="48" spans="1:33" x14ac:dyDescent="0.3">
      <c r="A48" s="6" t="s">
        <v>1053</v>
      </c>
      <c r="B48" s="6" t="s">
        <v>99</v>
      </c>
      <c r="C48" s="6" t="s">
        <v>847</v>
      </c>
      <c r="D48" s="6" t="s">
        <v>906</v>
      </c>
      <c r="E48" s="6" t="s">
        <v>718</v>
      </c>
      <c r="F48" s="6" t="s">
        <v>718</v>
      </c>
      <c r="G48" s="6" t="s">
        <v>718</v>
      </c>
      <c r="H48" s="6" t="s">
        <v>718</v>
      </c>
      <c r="I48" s="6" t="s">
        <v>718</v>
      </c>
      <c r="J48" s="6" t="s">
        <v>718</v>
      </c>
      <c r="K48" s="6" t="s">
        <v>734</v>
      </c>
      <c r="T48" s="6" t="s">
        <v>1407</v>
      </c>
      <c r="U48" s="6" t="s">
        <v>1405</v>
      </c>
      <c r="V48" s="6" t="s">
        <v>718</v>
      </c>
      <c r="W48" s="6" t="s">
        <v>718</v>
      </c>
      <c r="X48" s="6" t="s">
        <v>869</v>
      </c>
      <c r="Y48" s="6" t="s">
        <v>718</v>
      </c>
      <c r="Z48" s="6" t="s">
        <v>308</v>
      </c>
      <c r="AA48" s="6" t="s">
        <v>718</v>
      </c>
      <c r="AE48" s="6" t="s">
        <v>718</v>
      </c>
      <c r="AF48" s="6" t="s">
        <v>718</v>
      </c>
      <c r="AG48" s="6" t="s">
        <v>1454</v>
      </c>
    </row>
    <row r="49" spans="1:33" x14ac:dyDescent="0.3">
      <c r="A49" s="6" t="s">
        <v>1054</v>
      </c>
      <c r="B49" s="6" t="s">
        <v>99</v>
      </c>
      <c r="C49" s="6" t="s">
        <v>847</v>
      </c>
      <c r="D49" s="6" t="s">
        <v>907</v>
      </c>
      <c r="E49" s="6" t="s">
        <v>718</v>
      </c>
      <c r="F49" s="6" t="s">
        <v>718</v>
      </c>
      <c r="G49" s="6" t="s">
        <v>718</v>
      </c>
      <c r="H49" s="6" t="s">
        <v>718</v>
      </c>
      <c r="I49" s="6" t="s">
        <v>718</v>
      </c>
      <c r="J49" s="6" t="s">
        <v>718</v>
      </c>
      <c r="K49" s="6" t="s">
        <v>735</v>
      </c>
      <c r="T49" s="6" t="s">
        <v>1407</v>
      </c>
      <c r="U49" s="6" t="s">
        <v>1405</v>
      </c>
      <c r="V49" s="6" t="s">
        <v>718</v>
      </c>
      <c r="W49" s="6" t="s">
        <v>718</v>
      </c>
      <c r="X49" s="6" t="s">
        <v>869</v>
      </c>
      <c r="Y49" s="6" t="s">
        <v>718</v>
      </c>
      <c r="Z49" s="6" t="s">
        <v>308</v>
      </c>
      <c r="AA49" s="6" t="s">
        <v>718</v>
      </c>
      <c r="AE49" s="6" t="s">
        <v>718</v>
      </c>
      <c r="AF49" s="6" t="s">
        <v>718</v>
      </c>
      <c r="AG49" s="6" t="s">
        <v>1455</v>
      </c>
    </row>
    <row r="50" spans="1:33" x14ac:dyDescent="0.3">
      <c r="A50" s="6" t="s">
        <v>1055</v>
      </c>
      <c r="B50" s="6" t="s">
        <v>99</v>
      </c>
      <c r="C50" s="6" t="s">
        <v>847</v>
      </c>
      <c r="D50" s="6" t="s">
        <v>908</v>
      </c>
      <c r="E50" s="6" t="s">
        <v>718</v>
      </c>
      <c r="F50" s="6" t="s">
        <v>718</v>
      </c>
      <c r="G50" s="6" t="s">
        <v>718</v>
      </c>
      <c r="H50" s="6" t="s">
        <v>718</v>
      </c>
      <c r="I50" s="6" t="s">
        <v>718</v>
      </c>
      <c r="J50" s="6" t="s">
        <v>718</v>
      </c>
      <c r="K50" s="6" t="s">
        <v>736</v>
      </c>
      <c r="T50" s="6" t="s">
        <v>1407</v>
      </c>
      <c r="U50" s="6" t="s">
        <v>1405</v>
      </c>
      <c r="V50" s="6" t="s">
        <v>718</v>
      </c>
      <c r="W50" s="6" t="s">
        <v>718</v>
      </c>
      <c r="X50" s="6" t="s">
        <v>869</v>
      </c>
      <c r="Y50" s="6" t="s">
        <v>718</v>
      </c>
      <c r="Z50" s="6" t="s">
        <v>718</v>
      </c>
      <c r="AA50" s="6" t="s">
        <v>718</v>
      </c>
      <c r="AE50" s="6" t="s">
        <v>718</v>
      </c>
      <c r="AF50" s="6" t="s">
        <v>718</v>
      </c>
      <c r="AG50" s="6" t="s">
        <v>1456</v>
      </c>
    </row>
    <row r="51" spans="1:33" x14ac:dyDescent="0.3">
      <c r="A51" s="6" t="s">
        <v>1056</v>
      </c>
      <c r="B51" s="6" t="s">
        <v>99</v>
      </c>
      <c r="C51" s="6" t="s">
        <v>847</v>
      </c>
      <c r="D51" s="6" t="s">
        <v>909</v>
      </c>
      <c r="E51" s="6" t="s">
        <v>718</v>
      </c>
      <c r="F51" s="6" t="s">
        <v>718</v>
      </c>
      <c r="G51" s="6" t="s">
        <v>718</v>
      </c>
      <c r="H51" s="6" t="s">
        <v>718</v>
      </c>
      <c r="I51" s="6" t="s">
        <v>718</v>
      </c>
      <c r="J51" s="6" t="s">
        <v>718</v>
      </c>
      <c r="K51" s="6" t="s">
        <v>738</v>
      </c>
      <c r="T51" s="6" t="s">
        <v>1407</v>
      </c>
      <c r="U51" s="6" t="s">
        <v>1405</v>
      </c>
      <c r="V51" s="6" t="s">
        <v>718</v>
      </c>
      <c r="W51" s="6" t="s">
        <v>718</v>
      </c>
      <c r="X51" s="6" t="s">
        <v>869</v>
      </c>
      <c r="Y51" s="6" t="s">
        <v>718</v>
      </c>
      <c r="Z51" s="6" t="s">
        <v>718</v>
      </c>
      <c r="AA51" s="6" t="s">
        <v>718</v>
      </c>
      <c r="AE51" s="6" t="s">
        <v>718</v>
      </c>
      <c r="AF51" s="6" t="s">
        <v>718</v>
      </c>
      <c r="AG51" s="6" t="s">
        <v>1457</v>
      </c>
    </row>
    <row r="52" spans="1:33" x14ac:dyDescent="0.3">
      <c r="A52" s="6" t="s">
        <v>1057</v>
      </c>
      <c r="B52" s="6" t="s">
        <v>99</v>
      </c>
      <c r="C52" s="6" t="s">
        <v>847</v>
      </c>
      <c r="D52" s="6" t="s">
        <v>910</v>
      </c>
      <c r="E52" s="6" t="s">
        <v>718</v>
      </c>
      <c r="F52" s="6" t="s">
        <v>718</v>
      </c>
      <c r="G52" s="6" t="s">
        <v>718</v>
      </c>
      <c r="H52" s="6" t="s">
        <v>718</v>
      </c>
      <c r="I52" s="6" t="s">
        <v>718</v>
      </c>
      <c r="J52" s="6" t="s">
        <v>718</v>
      </c>
      <c r="K52" s="6" t="s">
        <v>739</v>
      </c>
      <c r="T52" s="6" t="s">
        <v>1407</v>
      </c>
      <c r="U52" s="6" t="s">
        <v>1405</v>
      </c>
      <c r="V52" s="6" t="s">
        <v>718</v>
      </c>
      <c r="W52" s="6" t="s">
        <v>718</v>
      </c>
      <c r="X52" s="6" t="s">
        <v>869</v>
      </c>
      <c r="Y52" s="6" t="s">
        <v>718</v>
      </c>
      <c r="Z52" s="6" t="s">
        <v>718</v>
      </c>
      <c r="AA52" s="6" t="s">
        <v>718</v>
      </c>
      <c r="AE52" s="6" t="s">
        <v>718</v>
      </c>
      <c r="AF52" s="6" t="s">
        <v>718</v>
      </c>
      <c r="AG52" s="6" t="s">
        <v>1458</v>
      </c>
    </row>
    <row r="53" spans="1:33" x14ac:dyDescent="0.3">
      <c r="A53" s="6" t="s">
        <v>1058</v>
      </c>
      <c r="B53" s="6" t="s">
        <v>113</v>
      </c>
      <c r="C53" s="6" t="s">
        <v>847</v>
      </c>
      <c r="D53" s="6" t="s">
        <v>911</v>
      </c>
      <c r="E53" s="6" t="s">
        <v>718</v>
      </c>
      <c r="F53" s="6" t="s">
        <v>718</v>
      </c>
      <c r="G53" s="6" t="s">
        <v>718</v>
      </c>
      <c r="H53" s="6" t="s">
        <v>718</v>
      </c>
      <c r="I53" s="6" t="s">
        <v>718</v>
      </c>
      <c r="J53" s="6" t="s">
        <v>718</v>
      </c>
      <c r="K53" s="6" t="s">
        <v>740</v>
      </c>
      <c r="T53" s="6" t="s">
        <v>1407</v>
      </c>
      <c r="U53" s="6" t="s">
        <v>1405</v>
      </c>
      <c r="V53" s="6" t="s">
        <v>718</v>
      </c>
      <c r="W53" s="6" t="s">
        <v>718</v>
      </c>
      <c r="X53" s="6" t="s">
        <v>869</v>
      </c>
      <c r="Y53" s="6" t="s">
        <v>718</v>
      </c>
      <c r="Z53" s="6" t="s">
        <v>718</v>
      </c>
      <c r="AA53" s="6" t="s">
        <v>718</v>
      </c>
      <c r="AE53" s="6" t="s">
        <v>718</v>
      </c>
      <c r="AF53" s="6" t="s">
        <v>718</v>
      </c>
      <c r="AG53" s="6" t="s">
        <v>1459</v>
      </c>
    </row>
    <row r="54" spans="1:33" x14ac:dyDescent="0.3">
      <c r="A54" s="6" t="s">
        <v>1059</v>
      </c>
      <c r="B54" s="6" t="s">
        <v>99</v>
      </c>
      <c r="C54" s="6" t="s">
        <v>847</v>
      </c>
      <c r="D54" s="6" t="s">
        <v>912</v>
      </c>
      <c r="E54" s="6" t="s">
        <v>718</v>
      </c>
      <c r="F54" s="6" t="s">
        <v>718</v>
      </c>
      <c r="G54" s="6" t="s">
        <v>718</v>
      </c>
      <c r="H54" s="6" t="s">
        <v>718</v>
      </c>
      <c r="I54" s="6" t="s">
        <v>718</v>
      </c>
      <c r="J54" s="6" t="s">
        <v>718</v>
      </c>
      <c r="K54" s="6" t="s">
        <v>741</v>
      </c>
      <c r="T54" s="6" t="s">
        <v>1407</v>
      </c>
      <c r="U54" s="6" t="s">
        <v>1405</v>
      </c>
      <c r="V54" s="6" t="s">
        <v>718</v>
      </c>
      <c r="W54" s="6" t="s">
        <v>718</v>
      </c>
      <c r="X54" s="6" t="s">
        <v>869</v>
      </c>
      <c r="Y54" s="6" t="s">
        <v>718</v>
      </c>
      <c r="Z54" s="6" t="s">
        <v>718</v>
      </c>
      <c r="AA54" s="6" t="s">
        <v>718</v>
      </c>
      <c r="AE54" s="6" t="s">
        <v>718</v>
      </c>
      <c r="AF54" s="6" t="s">
        <v>718</v>
      </c>
      <c r="AG54" s="6" t="s">
        <v>1460</v>
      </c>
    </row>
    <row r="55" spans="1:33" x14ac:dyDescent="0.3">
      <c r="A55" s="6" t="s">
        <v>1060</v>
      </c>
      <c r="B55" s="6" t="s">
        <v>99</v>
      </c>
      <c r="C55" s="6" t="s">
        <v>847</v>
      </c>
      <c r="D55" s="6" t="s">
        <v>913</v>
      </c>
      <c r="E55" s="6" t="s">
        <v>718</v>
      </c>
      <c r="F55" s="6" t="s">
        <v>718</v>
      </c>
      <c r="G55" s="6" t="s">
        <v>718</v>
      </c>
      <c r="H55" s="6" t="s">
        <v>718</v>
      </c>
      <c r="I55" s="6" t="s">
        <v>718</v>
      </c>
      <c r="J55" s="6" t="s">
        <v>718</v>
      </c>
      <c r="K55" s="6" t="s">
        <v>742</v>
      </c>
      <c r="T55" s="6" t="s">
        <v>1407</v>
      </c>
      <c r="U55" s="6" t="s">
        <v>1405</v>
      </c>
      <c r="V55" s="6" t="s">
        <v>718</v>
      </c>
      <c r="W55" s="6" t="s">
        <v>718</v>
      </c>
      <c r="X55" s="6" t="s">
        <v>869</v>
      </c>
      <c r="Y55" s="6" t="s">
        <v>718</v>
      </c>
      <c r="Z55" s="6" t="s">
        <v>718</v>
      </c>
      <c r="AA55" s="6" t="s">
        <v>718</v>
      </c>
      <c r="AE55" s="6" t="s">
        <v>718</v>
      </c>
      <c r="AF55" s="6" t="s">
        <v>718</v>
      </c>
      <c r="AG55" s="6" t="s">
        <v>1461</v>
      </c>
    </row>
    <row r="56" spans="1:33" x14ac:dyDescent="0.3">
      <c r="A56" s="6" t="s">
        <v>1061</v>
      </c>
      <c r="B56" s="6" t="s">
        <v>99</v>
      </c>
      <c r="C56" s="6" t="s">
        <v>847</v>
      </c>
      <c r="D56" s="6" t="s">
        <v>914</v>
      </c>
      <c r="E56" s="6" t="s">
        <v>718</v>
      </c>
      <c r="F56" s="6" t="s">
        <v>718</v>
      </c>
      <c r="G56" s="6" t="s">
        <v>718</v>
      </c>
      <c r="H56" s="6" t="s">
        <v>718</v>
      </c>
      <c r="I56" s="6" t="s">
        <v>718</v>
      </c>
      <c r="J56" s="6" t="s">
        <v>718</v>
      </c>
      <c r="K56" s="6" t="s">
        <v>743</v>
      </c>
      <c r="T56" s="6" t="s">
        <v>1407</v>
      </c>
      <c r="U56" s="6" t="s">
        <v>1405</v>
      </c>
      <c r="V56" s="6" t="s">
        <v>718</v>
      </c>
      <c r="W56" s="6" t="s">
        <v>718</v>
      </c>
      <c r="X56" s="6" t="s">
        <v>869</v>
      </c>
      <c r="Y56" s="6" t="s">
        <v>718</v>
      </c>
      <c r="Z56" s="6" t="s">
        <v>718</v>
      </c>
      <c r="AA56" s="6" t="s">
        <v>718</v>
      </c>
      <c r="AE56" s="6" t="s">
        <v>718</v>
      </c>
      <c r="AF56" s="6" t="s">
        <v>718</v>
      </c>
      <c r="AG56" s="6" t="s">
        <v>1462</v>
      </c>
    </row>
    <row r="57" spans="1:33" x14ac:dyDescent="0.3">
      <c r="A57" s="6" t="s">
        <v>1062</v>
      </c>
      <c r="B57" s="6" t="s">
        <v>99</v>
      </c>
      <c r="C57" s="6" t="s">
        <v>847</v>
      </c>
      <c r="D57" s="6" t="s">
        <v>915</v>
      </c>
      <c r="E57" s="6" t="s">
        <v>718</v>
      </c>
      <c r="F57" s="6" t="s">
        <v>718</v>
      </c>
      <c r="G57" s="6" t="s">
        <v>718</v>
      </c>
      <c r="H57" s="6" t="s">
        <v>718</v>
      </c>
      <c r="I57" s="6" t="s">
        <v>718</v>
      </c>
      <c r="J57" s="6" t="s">
        <v>718</v>
      </c>
      <c r="K57" s="6" t="s">
        <v>745</v>
      </c>
      <c r="T57" s="6" t="s">
        <v>1407</v>
      </c>
      <c r="U57" s="6" t="s">
        <v>1405</v>
      </c>
      <c r="V57" s="6" t="s">
        <v>718</v>
      </c>
      <c r="W57" s="6" t="s">
        <v>718</v>
      </c>
      <c r="X57" s="6" t="s">
        <v>869</v>
      </c>
      <c r="Y57" s="6" t="s">
        <v>718</v>
      </c>
      <c r="Z57" s="6" t="s">
        <v>307</v>
      </c>
      <c r="AA57" s="6" t="s">
        <v>718</v>
      </c>
      <c r="AE57" s="6" t="s">
        <v>718</v>
      </c>
      <c r="AF57" s="6" t="s">
        <v>718</v>
      </c>
      <c r="AG57" s="6" t="s">
        <v>1463</v>
      </c>
    </row>
    <row r="58" spans="1:33" x14ac:dyDescent="0.3">
      <c r="A58" s="6" t="s">
        <v>1063</v>
      </c>
      <c r="B58" s="6" t="s">
        <v>99</v>
      </c>
      <c r="C58" s="6" t="s">
        <v>847</v>
      </c>
      <c r="D58" s="6" t="s">
        <v>916</v>
      </c>
      <c r="E58" s="6" t="s">
        <v>718</v>
      </c>
      <c r="F58" s="6" t="s">
        <v>718</v>
      </c>
      <c r="G58" s="6" t="s">
        <v>718</v>
      </c>
      <c r="H58" s="6" t="s">
        <v>718</v>
      </c>
      <c r="I58" s="6" t="s">
        <v>718</v>
      </c>
      <c r="J58" s="6" t="s">
        <v>718</v>
      </c>
      <c r="K58" s="6" t="s">
        <v>746</v>
      </c>
      <c r="T58" s="6" t="s">
        <v>1407</v>
      </c>
      <c r="U58" s="6" t="s">
        <v>1405</v>
      </c>
      <c r="V58" s="6" t="s">
        <v>718</v>
      </c>
      <c r="W58" s="6" t="s">
        <v>718</v>
      </c>
      <c r="X58" s="6" t="s">
        <v>869</v>
      </c>
      <c r="Y58" s="6" t="s">
        <v>718</v>
      </c>
      <c r="Z58" s="6" t="s">
        <v>718</v>
      </c>
      <c r="AA58" s="6" t="s">
        <v>718</v>
      </c>
      <c r="AE58" s="6" t="s">
        <v>718</v>
      </c>
      <c r="AF58" s="6" t="s">
        <v>718</v>
      </c>
      <c r="AG58" s="6" t="s">
        <v>1464</v>
      </c>
    </row>
    <row r="59" spans="1:33" x14ac:dyDescent="0.3">
      <c r="A59" s="6" t="s">
        <v>1064</v>
      </c>
      <c r="B59" s="6" t="s">
        <v>99</v>
      </c>
      <c r="C59" s="6" t="s">
        <v>847</v>
      </c>
      <c r="D59" s="6" t="s">
        <v>917</v>
      </c>
      <c r="E59" s="6" t="s">
        <v>718</v>
      </c>
      <c r="F59" s="6" t="s">
        <v>718</v>
      </c>
      <c r="G59" s="6" t="s">
        <v>718</v>
      </c>
      <c r="H59" s="6" t="s">
        <v>718</v>
      </c>
      <c r="I59" s="6" t="s">
        <v>718</v>
      </c>
      <c r="J59" s="6" t="s">
        <v>718</v>
      </c>
      <c r="K59" s="6" t="s">
        <v>747</v>
      </c>
      <c r="T59" s="6" t="s">
        <v>1407</v>
      </c>
      <c r="U59" s="6" t="s">
        <v>1405</v>
      </c>
      <c r="V59" s="6" t="s">
        <v>718</v>
      </c>
      <c r="W59" s="6" t="s">
        <v>718</v>
      </c>
      <c r="X59" s="6" t="s">
        <v>869</v>
      </c>
      <c r="Y59" s="6" t="s">
        <v>718</v>
      </c>
      <c r="Z59" s="6" t="s">
        <v>307</v>
      </c>
      <c r="AA59" s="6" t="s">
        <v>718</v>
      </c>
      <c r="AE59" s="6" t="s">
        <v>718</v>
      </c>
      <c r="AF59" s="6" t="s">
        <v>718</v>
      </c>
      <c r="AG59" s="6" t="s">
        <v>1465</v>
      </c>
    </row>
    <row r="60" spans="1:33" x14ac:dyDescent="0.3">
      <c r="A60" s="6" t="s">
        <v>1065</v>
      </c>
      <c r="B60" s="6" t="s">
        <v>99</v>
      </c>
      <c r="C60" s="6" t="s">
        <v>847</v>
      </c>
      <c r="D60" s="6" t="s">
        <v>918</v>
      </c>
      <c r="E60" s="6" t="s">
        <v>718</v>
      </c>
      <c r="F60" s="6" t="s">
        <v>718</v>
      </c>
      <c r="G60" s="6" t="s">
        <v>718</v>
      </c>
      <c r="H60" s="6" t="s">
        <v>718</v>
      </c>
      <c r="I60" s="6" t="s">
        <v>718</v>
      </c>
      <c r="J60" s="6" t="s">
        <v>718</v>
      </c>
      <c r="K60" s="6" t="s">
        <v>748</v>
      </c>
      <c r="T60" s="6" t="s">
        <v>1407</v>
      </c>
      <c r="U60" s="6" t="s">
        <v>1405</v>
      </c>
      <c r="V60" s="6" t="s">
        <v>718</v>
      </c>
      <c r="W60" s="6" t="s">
        <v>718</v>
      </c>
      <c r="X60" s="6" t="s">
        <v>869</v>
      </c>
      <c r="Y60" s="6" t="s">
        <v>718</v>
      </c>
      <c r="Z60" s="6" t="s">
        <v>718</v>
      </c>
      <c r="AA60" s="6" t="s">
        <v>718</v>
      </c>
      <c r="AE60" s="6" t="s">
        <v>718</v>
      </c>
      <c r="AF60" s="6" t="s">
        <v>718</v>
      </c>
      <c r="AG60" s="6" t="s">
        <v>1466</v>
      </c>
    </row>
    <row r="61" spans="1:33" x14ac:dyDescent="0.3">
      <c r="A61" s="6" t="s">
        <v>1066</v>
      </c>
      <c r="B61" s="6" t="s">
        <v>99</v>
      </c>
      <c r="C61" s="6" t="s">
        <v>847</v>
      </c>
      <c r="D61" s="6" t="s">
        <v>919</v>
      </c>
      <c r="E61" s="6" t="s">
        <v>718</v>
      </c>
      <c r="F61" s="6" t="s">
        <v>718</v>
      </c>
      <c r="G61" s="6" t="s">
        <v>718</v>
      </c>
      <c r="H61" s="6" t="s">
        <v>718</v>
      </c>
      <c r="I61" s="6" t="s">
        <v>718</v>
      </c>
      <c r="J61" s="6" t="s">
        <v>718</v>
      </c>
      <c r="K61" s="6" t="s">
        <v>749</v>
      </c>
      <c r="T61" s="6" t="s">
        <v>1407</v>
      </c>
      <c r="U61" s="6" t="s">
        <v>1405</v>
      </c>
      <c r="V61" s="6" t="s">
        <v>718</v>
      </c>
      <c r="W61" s="6" t="s">
        <v>718</v>
      </c>
      <c r="X61" s="6" t="s">
        <v>869</v>
      </c>
      <c r="Y61" s="6" t="s">
        <v>718</v>
      </c>
      <c r="Z61" s="6" t="s">
        <v>307</v>
      </c>
      <c r="AA61" s="6" t="s">
        <v>718</v>
      </c>
      <c r="AE61" s="6" t="s">
        <v>718</v>
      </c>
      <c r="AF61" s="6" t="s">
        <v>718</v>
      </c>
      <c r="AG61" s="6" t="s">
        <v>1467</v>
      </c>
    </row>
    <row r="62" spans="1:33" x14ac:dyDescent="0.3">
      <c r="A62" s="6" t="s">
        <v>1067</v>
      </c>
      <c r="B62" s="6" t="s">
        <v>99</v>
      </c>
      <c r="C62" s="6" t="s">
        <v>847</v>
      </c>
      <c r="D62" s="6" t="s">
        <v>920</v>
      </c>
      <c r="E62" s="6" t="s">
        <v>718</v>
      </c>
      <c r="F62" s="6" t="s">
        <v>718</v>
      </c>
      <c r="G62" s="6" t="s">
        <v>718</v>
      </c>
      <c r="H62" s="6" t="s">
        <v>718</v>
      </c>
      <c r="I62" s="6" t="s">
        <v>718</v>
      </c>
      <c r="J62" s="6" t="s">
        <v>718</v>
      </c>
      <c r="K62" s="6" t="s">
        <v>750</v>
      </c>
      <c r="T62" s="6" t="s">
        <v>1407</v>
      </c>
      <c r="U62" s="6" t="s">
        <v>1405</v>
      </c>
      <c r="V62" s="6" t="s">
        <v>718</v>
      </c>
      <c r="W62" s="6" t="s">
        <v>718</v>
      </c>
      <c r="X62" s="6" t="s">
        <v>869</v>
      </c>
      <c r="Y62" s="6" t="s">
        <v>718</v>
      </c>
      <c r="Z62" s="6" t="s">
        <v>718</v>
      </c>
      <c r="AA62" s="6" t="s">
        <v>718</v>
      </c>
      <c r="AE62" s="6" t="s">
        <v>718</v>
      </c>
      <c r="AF62" s="6" t="s">
        <v>718</v>
      </c>
      <c r="AG62" s="6" t="s">
        <v>1468</v>
      </c>
    </row>
    <row r="63" spans="1:33" x14ac:dyDescent="0.3">
      <c r="A63" s="6" t="s">
        <v>1068</v>
      </c>
      <c r="B63" s="6" t="s">
        <v>99</v>
      </c>
      <c r="C63" s="6" t="s">
        <v>847</v>
      </c>
      <c r="D63" s="6" t="s">
        <v>921</v>
      </c>
      <c r="E63" s="6" t="s">
        <v>718</v>
      </c>
      <c r="F63" s="6" t="s">
        <v>718</v>
      </c>
      <c r="G63" s="6" t="s">
        <v>718</v>
      </c>
      <c r="H63" s="6" t="s">
        <v>718</v>
      </c>
      <c r="I63" s="6" t="s">
        <v>718</v>
      </c>
      <c r="J63" s="6" t="s">
        <v>718</v>
      </c>
      <c r="K63" s="6" t="s">
        <v>798</v>
      </c>
      <c r="T63" s="6" t="s">
        <v>1407</v>
      </c>
      <c r="U63" s="6" t="s">
        <v>1405</v>
      </c>
      <c r="V63" s="6" t="s">
        <v>718</v>
      </c>
      <c r="W63" s="6" t="s">
        <v>718</v>
      </c>
      <c r="X63" s="6" t="s">
        <v>869</v>
      </c>
      <c r="Y63" s="6" t="s">
        <v>718</v>
      </c>
      <c r="Z63" s="6" t="s">
        <v>718</v>
      </c>
      <c r="AA63" s="6" t="s">
        <v>718</v>
      </c>
      <c r="AE63" s="6" t="s">
        <v>718</v>
      </c>
      <c r="AF63" s="6" t="s">
        <v>718</v>
      </c>
      <c r="AG63" s="6" t="s">
        <v>1469</v>
      </c>
    </row>
    <row r="64" spans="1:33" x14ac:dyDescent="0.3">
      <c r="A64" s="6" t="s">
        <v>1069</v>
      </c>
      <c r="B64" s="6" t="s">
        <v>99</v>
      </c>
      <c r="C64" s="6" t="s">
        <v>847</v>
      </c>
      <c r="D64" s="6" t="s">
        <v>922</v>
      </c>
      <c r="E64" s="6" t="s">
        <v>718</v>
      </c>
      <c r="F64" s="6" t="s">
        <v>718</v>
      </c>
      <c r="G64" s="6" t="s">
        <v>718</v>
      </c>
      <c r="H64" s="6" t="s">
        <v>718</v>
      </c>
      <c r="I64" s="6" t="s">
        <v>718</v>
      </c>
      <c r="J64" s="6" t="s">
        <v>718</v>
      </c>
      <c r="K64" s="6" t="s">
        <v>799</v>
      </c>
      <c r="T64" s="6" t="s">
        <v>1407</v>
      </c>
      <c r="U64" s="6" t="s">
        <v>1405</v>
      </c>
      <c r="V64" s="6" t="s">
        <v>718</v>
      </c>
      <c r="W64" s="6" t="s">
        <v>718</v>
      </c>
      <c r="X64" s="6" t="s">
        <v>869</v>
      </c>
      <c r="Y64" s="6" t="s">
        <v>718</v>
      </c>
      <c r="Z64" s="6" t="s">
        <v>718</v>
      </c>
      <c r="AA64" s="6" t="s">
        <v>718</v>
      </c>
      <c r="AE64" s="6" t="s">
        <v>718</v>
      </c>
      <c r="AF64" s="6" t="s">
        <v>718</v>
      </c>
      <c r="AG64" s="6" t="s">
        <v>1470</v>
      </c>
    </row>
    <row r="65" spans="1:33" x14ac:dyDescent="0.3">
      <c r="A65" s="6" t="s">
        <v>1070</v>
      </c>
      <c r="B65" s="6" t="s">
        <v>99</v>
      </c>
      <c r="C65" s="6" t="s">
        <v>847</v>
      </c>
      <c r="D65" s="6" t="s">
        <v>923</v>
      </c>
      <c r="E65" s="6" t="s">
        <v>718</v>
      </c>
      <c r="F65" s="6" t="s">
        <v>718</v>
      </c>
      <c r="G65" s="6" t="s">
        <v>718</v>
      </c>
      <c r="H65" s="6" t="s">
        <v>718</v>
      </c>
      <c r="I65" s="6" t="s">
        <v>718</v>
      </c>
      <c r="J65" s="6" t="s">
        <v>718</v>
      </c>
      <c r="K65" s="6" t="s">
        <v>753</v>
      </c>
      <c r="T65" s="6" t="s">
        <v>1407</v>
      </c>
      <c r="U65" s="6" t="s">
        <v>1405</v>
      </c>
      <c r="V65" s="6" t="s">
        <v>718</v>
      </c>
      <c r="W65" s="6" t="s">
        <v>718</v>
      </c>
      <c r="X65" s="6" t="s">
        <v>869</v>
      </c>
      <c r="Y65" s="6" t="s">
        <v>718</v>
      </c>
      <c r="Z65" s="6" t="s">
        <v>718</v>
      </c>
      <c r="AA65" s="6" t="s">
        <v>718</v>
      </c>
      <c r="AE65" s="6" t="s">
        <v>718</v>
      </c>
      <c r="AF65" s="6" t="s">
        <v>718</v>
      </c>
      <c r="AG65" s="6" t="s">
        <v>1471</v>
      </c>
    </row>
    <row r="66" spans="1:33" x14ac:dyDescent="0.3">
      <c r="A66" s="6" t="s">
        <v>1071</v>
      </c>
      <c r="B66" s="6" t="s">
        <v>99</v>
      </c>
      <c r="C66" s="6" t="s">
        <v>847</v>
      </c>
      <c r="D66" s="6" t="s">
        <v>924</v>
      </c>
      <c r="E66" s="6" t="s">
        <v>718</v>
      </c>
      <c r="F66" s="6" t="s">
        <v>718</v>
      </c>
      <c r="G66" s="6" t="s">
        <v>718</v>
      </c>
      <c r="H66" s="6" t="s">
        <v>718</v>
      </c>
      <c r="I66" s="6" t="s">
        <v>718</v>
      </c>
      <c r="J66" s="6" t="s">
        <v>718</v>
      </c>
      <c r="K66" s="6" t="s">
        <v>754</v>
      </c>
      <c r="T66" s="6" t="s">
        <v>1407</v>
      </c>
      <c r="U66" s="6" t="s">
        <v>1405</v>
      </c>
      <c r="V66" s="6" t="s">
        <v>718</v>
      </c>
      <c r="W66" s="6" t="s">
        <v>718</v>
      </c>
      <c r="X66" s="6" t="s">
        <v>869</v>
      </c>
      <c r="Y66" s="6" t="s">
        <v>718</v>
      </c>
      <c r="Z66" s="6" t="s">
        <v>718</v>
      </c>
      <c r="AA66" s="6" t="s">
        <v>718</v>
      </c>
      <c r="AE66" s="6" t="s">
        <v>718</v>
      </c>
      <c r="AF66" s="6" t="s">
        <v>718</v>
      </c>
      <c r="AG66" s="6" t="s">
        <v>1472</v>
      </c>
    </row>
    <row r="67" spans="1:33" x14ac:dyDescent="0.3">
      <c r="A67" s="6" t="s">
        <v>1072</v>
      </c>
      <c r="B67" s="6" t="s">
        <v>99</v>
      </c>
      <c r="C67" s="6" t="s">
        <v>847</v>
      </c>
      <c r="D67" s="6" t="s">
        <v>925</v>
      </c>
      <c r="E67" s="6" t="s">
        <v>718</v>
      </c>
      <c r="F67" s="6" t="s">
        <v>718</v>
      </c>
      <c r="G67" s="6" t="s">
        <v>718</v>
      </c>
      <c r="H67" s="6" t="s">
        <v>718</v>
      </c>
      <c r="I67" s="6" t="s">
        <v>718</v>
      </c>
      <c r="J67" s="6" t="s">
        <v>718</v>
      </c>
      <c r="K67" s="6" t="s">
        <v>834</v>
      </c>
      <c r="T67" s="6" t="s">
        <v>1407</v>
      </c>
      <c r="U67" s="6" t="s">
        <v>1405</v>
      </c>
      <c r="V67" s="6" t="s">
        <v>718</v>
      </c>
      <c r="W67" s="6" t="s">
        <v>718</v>
      </c>
      <c r="X67" s="6" t="s">
        <v>869</v>
      </c>
      <c r="Y67" s="6" t="s">
        <v>718</v>
      </c>
      <c r="Z67" s="6" t="s">
        <v>718</v>
      </c>
      <c r="AA67" s="6" t="s">
        <v>718</v>
      </c>
      <c r="AE67" s="6" t="s">
        <v>718</v>
      </c>
      <c r="AF67" s="6" t="s">
        <v>718</v>
      </c>
      <c r="AG67" s="6" t="s">
        <v>1473</v>
      </c>
    </row>
    <row r="68" spans="1:33" x14ac:dyDescent="0.3">
      <c r="A68" s="6" t="s">
        <v>1073</v>
      </c>
      <c r="B68" s="6" t="s">
        <v>99</v>
      </c>
      <c r="C68" s="6" t="s">
        <v>847</v>
      </c>
      <c r="D68" s="6" t="s">
        <v>926</v>
      </c>
      <c r="E68" s="6" t="s">
        <v>718</v>
      </c>
      <c r="F68" s="6" t="s">
        <v>718</v>
      </c>
      <c r="G68" s="6" t="s">
        <v>718</v>
      </c>
      <c r="H68" s="6" t="s">
        <v>718</v>
      </c>
      <c r="I68" s="6" t="s">
        <v>718</v>
      </c>
      <c r="J68" s="6" t="s">
        <v>718</v>
      </c>
      <c r="K68" s="6" t="s">
        <v>756</v>
      </c>
      <c r="T68" s="6" t="s">
        <v>1407</v>
      </c>
      <c r="U68" s="6" t="s">
        <v>1405</v>
      </c>
      <c r="V68" s="6" t="s">
        <v>718</v>
      </c>
      <c r="W68" s="6" t="s">
        <v>718</v>
      </c>
      <c r="X68" s="6" t="s">
        <v>869</v>
      </c>
      <c r="Y68" s="6" t="s">
        <v>718</v>
      </c>
      <c r="Z68" s="6" t="s">
        <v>718</v>
      </c>
      <c r="AA68" s="6" t="s">
        <v>718</v>
      </c>
      <c r="AE68" s="6" t="s">
        <v>718</v>
      </c>
      <c r="AF68" s="6" t="s">
        <v>718</v>
      </c>
      <c r="AG68" s="6" t="s">
        <v>1474</v>
      </c>
    </row>
    <row r="69" spans="1:33" x14ac:dyDescent="0.3">
      <c r="A69" s="6" t="s">
        <v>1074</v>
      </c>
      <c r="B69" s="6" t="s">
        <v>99</v>
      </c>
      <c r="C69" s="6" t="s">
        <v>847</v>
      </c>
      <c r="D69" s="6" t="s">
        <v>927</v>
      </c>
      <c r="E69" s="6" t="s">
        <v>718</v>
      </c>
      <c r="F69" s="6" t="s">
        <v>718</v>
      </c>
      <c r="G69" s="6" t="s">
        <v>718</v>
      </c>
      <c r="H69" s="6" t="s">
        <v>718</v>
      </c>
      <c r="I69" s="6" t="s">
        <v>718</v>
      </c>
      <c r="J69" s="6" t="s">
        <v>718</v>
      </c>
      <c r="K69" s="6" t="s">
        <v>757</v>
      </c>
      <c r="T69" s="6" t="s">
        <v>1407</v>
      </c>
      <c r="U69" s="6" t="s">
        <v>1405</v>
      </c>
      <c r="V69" s="6" t="s">
        <v>718</v>
      </c>
      <c r="W69" s="6" t="s">
        <v>718</v>
      </c>
      <c r="X69" s="6" t="s">
        <v>869</v>
      </c>
      <c r="Y69" s="6" t="s">
        <v>718</v>
      </c>
      <c r="Z69" s="6" t="s">
        <v>307</v>
      </c>
      <c r="AA69" s="6" t="s">
        <v>718</v>
      </c>
      <c r="AE69" s="6" t="s">
        <v>718</v>
      </c>
      <c r="AF69" s="6" t="s">
        <v>718</v>
      </c>
      <c r="AG69" s="6" t="s">
        <v>1475</v>
      </c>
    </row>
    <row r="70" spans="1:33" x14ac:dyDescent="0.3">
      <c r="A70" s="6" t="s">
        <v>1075</v>
      </c>
      <c r="B70" s="6" t="s">
        <v>99</v>
      </c>
      <c r="C70" s="6" t="s">
        <v>847</v>
      </c>
      <c r="D70" s="6" t="s">
        <v>928</v>
      </c>
      <c r="E70" s="6" t="s">
        <v>718</v>
      </c>
      <c r="F70" s="6" t="s">
        <v>718</v>
      </c>
      <c r="G70" s="6" t="s">
        <v>718</v>
      </c>
      <c r="H70" s="6" t="s">
        <v>718</v>
      </c>
      <c r="I70" s="6" t="s">
        <v>718</v>
      </c>
      <c r="J70" s="6" t="s">
        <v>718</v>
      </c>
      <c r="K70" s="6" t="s">
        <v>758</v>
      </c>
      <c r="T70" s="6" t="s">
        <v>1407</v>
      </c>
      <c r="U70" s="6" t="s">
        <v>1405</v>
      </c>
      <c r="V70" s="6" t="s">
        <v>718</v>
      </c>
      <c r="W70" s="6" t="s">
        <v>718</v>
      </c>
      <c r="X70" s="6" t="s">
        <v>869</v>
      </c>
      <c r="Y70" s="6" t="s">
        <v>718</v>
      </c>
      <c r="Z70" s="6" t="s">
        <v>307</v>
      </c>
      <c r="AA70" s="6" t="s">
        <v>718</v>
      </c>
      <c r="AE70" s="6" t="s">
        <v>718</v>
      </c>
      <c r="AF70" s="6" t="s">
        <v>718</v>
      </c>
      <c r="AG70" s="6" t="s">
        <v>1476</v>
      </c>
    </row>
    <row r="71" spans="1:33" x14ac:dyDescent="0.3">
      <c r="A71" s="6" t="s">
        <v>1076</v>
      </c>
      <c r="B71" s="6" t="s">
        <v>99</v>
      </c>
      <c r="C71" s="6" t="s">
        <v>847</v>
      </c>
      <c r="D71" s="6" t="s">
        <v>929</v>
      </c>
      <c r="E71" s="6" t="s">
        <v>718</v>
      </c>
      <c r="F71" s="6" t="s">
        <v>718</v>
      </c>
      <c r="G71" s="6" t="s">
        <v>718</v>
      </c>
      <c r="H71" s="6" t="s">
        <v>718</v>
      </c>
      <c r="I71" s="6" t="s">
        <v>718</v>
      </c>
      <c r="J71" s="6" t="s">
        <v>718</v>
      </c>
      <c r="K71" s="6" t="s">
        <v>759</v>
      </c>
      <c r="T71" s="6" t="s">
        <v>1407</v>
      </c>
      <c r="U71" s="6" t="s">
        <v>1405</v>
      </c>
      <c r="V71" s="6" t="s">
        <v>718</v>
      </c>
      <c r="W71" s="6" t="s">
        <v>718</v>
      </c>
      <c r="X71" s="6" t="s">
        <v>869</v>
      </c>
      <c r="Y71" s="6" t="s">
        <v>718</v>
      </c>
      <c r="Z71" s="6" t="s">
        <v>307</v>
      </c>
      <c r="AA71" s="6" t="s">
        <v>718</v>
      </c>
      <c r="AE71" s="6" t="s">
        <v>718</v>
      </c>
      <c r="AF71" s="6" t="s">
        <v>718</v>
      </c>
      <c r="AG71" s="6" t="s">
        <v>1477</v>
      </c>
    </row>
    <row r="72" spans="1:33" x14ac:dyDescent="0.3">
      <c r="A72" s="6" t="s">
        <v>1077</v>
      </c>
      <c r="B72" s="6" t="s">
        <v>99</v>
      </c>
      <c r="C72" s="6" t="s">
        <v>847</v>
      </c>
      <c r="D72" s="6" t="s">
        <v>930</v>
      </c>
      <c r="E72" s="6" t="s">
        <v>718</v>
      </c>
      <c r="F72" s="6" t="s">
        <v>718</v>
      </c>
      <c r="G72" s="6" t="s">
        <v>718</v>
      </c>
      <c r="H72" s="6" t="s">
        <v>718</v>
      </c>
      <c r="I72" s="6" t="s">
        <v>718</v>
      </c>
      <c r="J72" s="6" t="s">
        <v>718</v>
      </c>
      <c r="K72" s="6" t="s">
        <v>760</v>
      </c>
      <c r="T72" s="6" t="s">
        <v>1407</v>
      </c>
      <c r="U72" s="6" t="s">
        <v>1405</v>
      </c>
      <c r="V72" s="6" t="s">
        <v>718</v>
      </c>
      <c r="W72" s="6" t="s">
        <v>718</v>
      </c>
      <c r="X72" s="6" t="s">
        <v>869</v>
      </c>
      <c r="Y72" s="6" t="s">
        <v>718</v>
      </c>
      <c r="Z72" s="6" t="s">
        <v>307</v>
      </c>
      <c r="AA72" s="6" t="s">
        <v>718</v>
      </c>
      <c r="AE72" s="6" t="s">
        <v>718</v>
      </c>
      <c r="AF72" s="6" t="s">
        <v>718</v>
      </c>
      <c r="AG72" s="6" t="s">
        <v>1478</v>
      </c>
    </row>
    <row r="73" spans="1:33" x14ac:dyDescent="0.3">
      <c r="A73" s="6" t="s">
        <v>1078</v>
      </c>
      <c r="B73" s="6" t="s">
        <v>99</v>
      </c>
      <c r="C73" s="6" t="s">
        <v>847</v>
      </c>
      <c r="D73" s="6" t="s">
        <v>931</v>
      </c>
      <c r="E73" s="6" t="s">
        <v>718</v>
      </c>
      <c r="F73" s="6" t="s">
        <v>718</v>
      </c>
      <c r="G73" s="6" t="s">
        <v>718</v>
      </c>
      <c r="H73" s="6" t="s">
        <v>718</v>
      </c>
      <c r="I73" s="6" t="s">
        <v>718</v>
      </c>
      <c r="J73" s="6" t="s">
        <v>718</v>
      </c>
      <c r="K73" s="6" t="s">
        <v>761</v>
      </c>
      <c r="T73" s="6" t="s">
        <v>1407</v>
      </c>
      <c r="U73" s="6" t="s">
        <v>1405</v>
      </c>
      <c r="V73" s="6" t="s">
        <v>718</v>
      </c>
      <c r="W73" s="6" t="s">
        <v>718</v>
      </c>
      <c r="X73" s="6" t="s">
        <v>869</v>
      </c>
      <c r="Y73" s="6" t="s">
        <v>718</v>
      </c>
      <c r="Z73" s="6" t="s">
        <v>718</v>
      </c>
      <c r="AA73" s="6" t="s">
        <v>718</v>
      </c>
      <c r="AE73" s="6" t="s">
        <v>718</v>
      </c>
      <c r="AF73" s="6" t="s">
        <v>718</v>
      </c>
      <c r="AG73" s="6" t="s">
        <v>1479</v>
      </c>
    </row>
    <row r="74" spans="1:33" x14ac:dyDescent="0.3">
      <c r="A74" s="6" t="s">
        <v>1079</v>
      </c>
      <c r="B74" s="6" t="s">
        <v>99</v>
      </c>
      <c r="C74" s="6" t="s">
        <v>847</v>
      </c>
      <c r="D74" s="6" t="s">
        <v>932</v>
      </c>
      <c r="E74" s="6" t="s">
        <v>718</v>
      </c>
      <c r="F74" s="6" t="s">
        <v>718</v>
      </c>
      <c r="G74" s="6" t="s">
        <v>718</v>
      </c>
      <c r="H74" s="6" t="s">
        <v>718</v>
      </c>
      <c r="I74" s="6" t="s">
        <v>718</v>
      </c>
      <c r="J74" s="6" t="s">
        <v>718</v>
      </c>
      <c r="K74" s="6" t="s">
        <v>792</v>
      </c>
      <c r="T74" s="6" t="s">
        <v>1407</v>
      </c>
      <c r="U74" s="6" t="s">
        <v>1405</v>
      </c>
      <c r="V74" s="6" t="s">
        <v>718</v>
      </c>
      <c r="W74" s="6" t="s">
        <v>718</v>
      </c>
      <c r="X74" s="6" t="s">
        <v>869</v>
      </c>
      <c r="Y74" s="6" t="s">
        <v>718</v>
      </c>
      <c r="Z74" s="6" t="s">
        <v>718</v>
      </c>
      <c r="AA74" s="6" t="s">
        <v>718</v>
      </c>
      <c r="AE74" s="6" t="s">
        <v>718</v>
      </c>
      <c r="AF74" s="6" t="s">
        <v>718</v>
      </c>
      <c r="AG74" s="6" t="s">
        <v>1480</v>
      </c>
    </row>
    <row r="75" spans="1:33" x14ac:dyDescent="0.3">
      <c r="A75" s="6" t="s">
        <v>1080</v>
      </c>
      <c r="B75" s="6" t="s">
        <v>99</v>
      </c>
      <c r="C75" s="6" t="s">
        <v>847</v>
      </c>
      <c r="D75" s="6" t="s">
        <v>933</v>
      </c>
      <c r="E75" s="6" t="s">
        <v>718</v>
      </c>
      <c r="F75" s="6" t="s">
        <v>718</v>
      </c>
      <c r="G75" s="6" t="s">
        <v>718</v>
      </c>
      <c r="H75" s="6" t="s">
        <v>718</v>
      </c>
      <c r="I75" s="6" t="s">
        <v>718</v>
      </c>
      <c r="J75" s="6" t="s">
        <v>718</v>
      </c>
      <c r="K75" s="6" t="s">
        <v>794</v>
      </c>
      <c r="T75" s="6" t="s">
        <v>1407</v>
      </c>
      <c r="U75" s="6" t="s">
        <v>1405</v>
      </c>
      <c r="V75" s="6" t="s">
        <v>718</v>
      </c>
      <c r="W75" s="6" t="s">
        <v>718</v>
      </c>
      <c r="X75" s="6" t="s">
        <v>869</v>
      </c>
      <c r="Y75" s="6" t="s">
        <v>718</v>
      </c>
      <c r="Z75" s="6" t="s">
        <v>718</v>
      </c>
      <c r="AA75" s="6" t="s">
        <v>718</v>
      </c>
      <c r="AE75" s="6" t="s">
        <v>718</v>
      </c>
      <c r="AF75" s="6" t="s">
        <v>718</v>
      </c>
      <c r="AG75" s="6" t="s">
        <v>1481</v>
      </c>
    </row>
    <row r="76" spans="1:33" x14ac:dyDescent="0.3">
      <c r="A76" s="6" t="s">
        <v>1081</v>
      </c>
      <c r="B76" s="6" t="s">
        <v>99</v>
      </c>
      <c r="C76" s="6" t="s">
        <v>847</v>
      </c>
      <c r="D76" s="6" t="s">
        <v>934</v>
      </c>
      <c r="E76" s="6" t="s">
        <v>718</v>
      </c>
      <c r="F76" s="6" t="s">
        <v>718</v>
      </c>
      <c r="G76" s="6" t="s">
        <v>718</v>
      </c>
      <c r="H76" s="6" t="s">
        <v>718</v>
      </c>
      <c r="I76" s="6" t="s">
        <v>718</v>
      </c>
      <c r="J76" s="6" t="s">
        <v>718</v>
      </c>
      <c r="K76" s="6" t="s">
        <v>762</v>
      </c>
      <c r="T76" s="6" t="s">
        <v>1407</v>
      </c>
      <c r="U76" s="6" t="s">
        <v>1405</v>
      </c>
      <c r="V76" s="6" t="s">
        <v>718</v>
      </c>
      <c r="W76" s="6" t="s">
        <v>718</v>
      </c>
      <c r="X76" s="6" t="s">
        <v>869</v>
      </c>
      <c r="Y76" s="6" t="s">
        <v>718</v>
      </c>
      <c r="Z76" s="6" t="s">
        <v>718</v>
      </c>
      <c r="AA76" s="6" t="s">
        <v>718</v>
      </c>
      <c r="AE76" s="6" t="s">
        <v>718</v>
      </c>
      <c r="AF76" s="6" t="s">
        <v>718</v>
      </c>
      <c r="AG76" s="6" t="s">
        <v>1482</v>
      </c>
    </row>
    <row r="77" spans="1:33" x14ac:dyDescent="0.3">
      <c r="A77" s="6" t="s">
        <v>1082</v>
      </c>
      <c r="B77" s="6" t="s">
        <v>99</v>
      </c>
      <c r="C77" s="6" t="s">
        <v>847</v>
      </c>
      <c r="D77" s="6" t="s">
        <v>935</v>
      </c>
      <c r="E77" s="6" t="s">
        <v>718</v>
      </c>
      <c r="F77" s="6" t="s">
        <v>718</v>
      </c>
      <c r="G77" s="6" t="s">
        <v>718</v>
      </c>
      <c r="H77" s="6" t="s">
        <v>718</v>
      </c>
      <c r="I77" s="6" t="s">
        <v>718</v>
      </c>
      <c r="J77" s="6" t="s">
        <v>718</v>
      </c>
      <c r="K77" s="6" t="s">
        <v>763</v>
      </c>
      <c r="T77" s="6" t="s">
        <v>1407</v>
      </c>
      <c r="U77" s="6" t="s">
        <v>1405</v>
      </c>
      <c r="V77" s="6" t="s">
        <v>718</v>
      </c>
      <c r="W77" s="6" t="s">
        <v>718</v>
      </c>
      <c r="X77" s="6" t="s">
        <v>869</v>
      </c>
      <c r="Y77" s="6" t="s">
        <v>718</v>
      </c>
      <c r="Z77" s="6" t="s">
        <v>718</v>
      </c>
      <c r="AA77" s="6" t="s">
        <v>718</v>
      </c>
      <c r="AE77" s="6" t="s">
        <v>718</v>
      </c>
      <c r="AF77" s="6" t="s">
        <v>718</v>
      </c>
      <c r="AG77" s="6" t="s">
        <v>1483</v>
      </c>
    </row>
    <row r="78" spans="1:33" x14ac:dyDescent="0.3">
      <c r="A78" s="6" t="s">
        <v>1083</v>
      </c>
      <c r="B78" s="6" t="s">
        <v>99</v>
      </c>
      <c r="C78" s="6" t="s">
        <v>847</v>
      </c>
      <c r="D78" s="6" t="s">
        <v>936</v>
      </c>
      <c r="E78" s="6" t="s">
        <v>718</v>
      </c>
      <c r="F78" s="6" t="s">
        <v>718</v>
      </c>
      <c r="G78" s="6" t="s">
        <v>718</v>
      </c>
      <c r="H78" s="6" t="s">
        <v>718</v>
      </c>
      <c r="I78" s="6" t="s">
        <v>718</v>
      </c>
      <c r="J78" s="6" t="s">
        <v>718</v>
      </c>
      <c r="K78" s="6" t="s">
        <v>764</v>
      </c>
      <c r="T78" s="6" t="s">
        <v>1407</v>
      </c>
      <c r="U78" s="6" t="s">
        <v>1405</v>
      </c>
      <c r="V78" s="6" t="s">
        <v>718</v>
      </c>
      <c r="W78" s="6" t="s">
        <v>718</v>
      </c>
      <c r="X78" s="6" t="s">
        <v>869</v>
      </c>
      <c r="Y78" s="6" t="s">
        <v>718</v>
      </c>
      <c r="Z78" s="6" t="s">
        <v>718</v>
      </c>
      <c r="AA78" s="6" t="s">
        <v>718</v>
      </c>
      <c r="AE78" s="6" t="s">
        <v>718</v>
      </c>
      <c r="AF78" s="6" t="s">
        <v>718</v>
      </c>
      <c r="AG78" s="6" t="s">
        <v>1484</v>
      </c>
    </row>
    <row r="79" spans="1:33" x14ac:dyDescent="0.3">
      <c r="A79" s="6" t="s">
        <v>1084</v>
      </c>
      <c r="B79" s="6" t="s">
        <v>99</v>
      </c>
      <c r="C79" s="6" t="s">
        <v>847</v>
      </c>
      <c r="D79" s="6" t="s">
        <v>937</v>
      </c>
      <c r="E79" s="6" t="s">
        <v>718</v>
      </c>
      <c r="F79" s="6" t="s">
        <v>718</v>
      </c>
      <c r="G79" s="6" t="s">
        <v>718</v>
      </c>
      <c r="H79" s="6" t="s">
        <v>718</v>
      </c>
      <c r="I79" s="6" t="s">
        <v>718</v>
      </c>
      <c r="J79" s="6" t="s">
        <v>718</v>
      </c>
      <c r="K79" s="6" t="s">
        <v>765</v>
      </c>
      <c r="T79" s="6" t="s">
        <v>1407</v>
      </c>
      <c r="U79" s="6" t="s">
        <v>1405</v>
      </c>
      <c r="V79" s="6" t="s">
        <v>718</v>
      </c>
      <c r="W79" s="6" t="s">
        <v>718</v>
      </c>
      <c r="X79" s="6" t="s">
        <v>869</v>
      </c>
      <c r="Y79" s="6" t="s">
        <v>718</v>
      </c>
      <c r="Z79" s="6" t="s">
        <v>718</v>
      </c>
      <c r="AA79" s="6" t="s">
        <v>718</v>
      </c>
      <c r="AE79" s="6" t="s">
        <v>718</v>
      </c>
      <c r="AF79" s="6" t="s">
        <v>718</v>
      </c>
      <c r="AG79" s="6" t="s">
        <v>1485</v>
      </c>
    </row>
    <row r="80" spans="1:33" x14ac:dyDescent="0.3">
      <c r="A80" s="6" t="s">
        <v>1085</v>
      </c>
      <c r="B80" s="6" t="s">
        <v>99</v>
      </c>
      <c r="C80" s="6" t="s">
        <v>847</v>
      </c>
      <c r="D80" s="6" t="s">
        <v>938</v>
      </c>
      <c r="E80" s="6" t="s">
        <v>718</v>
      </c>
      <c r="F80" s="6" t="s">
        <v>718</v>
      </c>
      <c r="G80" s="6" t="s">
        <v>718</v>
      </c>
      <c r="H80" s="6" t="s">
        <v>718</v>
      </c>
      <c r="I80" s="6" t="s">
        <v>718</v>
      </c>
      <c r="J80" s="6" t="s">
        <v>718</v>
      </c>
      <c r="K80" s="6" t="s">
        <v>766</v>
      </c>
      <c r="T80" s="6" t="s">
        <v>1407</v>
      </c>
      <c r="U80" s="6" t="s">
        <v>1405</v>
      </c>
      <c r="V80" s="6" t="s">
        <v>718</v>
      </c>
      <c r="W80" s="6" t="s">
        <v>718</v>
      </c>
      <c r="X80" s="6" t="s">
        <v>869</v>
      </c>
      <c r="Y80" s="6" t="s">
        <v>718</v>
      </c>
      <c r="Z80" s="6" t="s">
        <v>718</v>
      </c>
      <c r="AA80" s="6" t="s">
        <v>718</v>
      </c>
      <c r="AE80" s="6" t="s">
        <v>718</v>
      </c>
      <c r="AF80" s="6" t="s">
        <v>718</v>
      </c>
      <c r="AG80" s="6" t="s">
        <v>1486</v>
      </c>
    </row>
    <row r="81" spans="1:33" x14ac:dyDescent="0.3">
      <c r="A81" s="6" t="s">
        <v>1086</v>
      </c>
      <c r="B81" s="6" t="s">
        <v>99</v>
      </c>
      <c r="C81" s="6" t="s">
        <v>847</v>
      </c>
      <c r="D81" s="6" t="s">
        <v>939</v>
      </c>
      <c r="E81" s="6" t="s">
        <v>718</v>
      </c>
      <c r="F81" s="6" t="s">
        <v>718</v>
      </c>
      <c r="G81" s="6" t="s">
        <v>718</v>
      </c>
      <c r="H81" s="6" t="s">
        <v>718</v>
      </c>
      <c r="I81" s="6" t="s">
        <v>718</v>
      </c>
      <c r="J81" s="6" t="s">
        <v>718</v>
      </c>
      <c r="K81" s="6" t="s">
        <v>767</v>
      </c>
      <c r="T81" s="6" t="s">
        <v>1407</v>
      </c>
      <c r="U81" s="6" t="s">
        <v>1405</v>
      </c>
      <c r="V81" s="6" t="s">
        <v>718</v>
      </c>
      <c r="W81" s="6" t="s">
        <v>718</v>
      </c>
      <c r="X81" s="6" t="s">
        <v>869</v>
      </c>
      <c r="Y81" s="6" t="s">
        <v>718</v>
      </c>
      <c r="Z81" s="6" t="s">
        <v>718</v>
      </c>
      <c r="AA81" s="6" t="s">
        <v>718</v>
      </c>
      <c r="AE81" s="6" t="s">
        <v>718</v>
      </c>
      <c r="AF81" s="6" t="s">
        <v>718</v>
      </c>
      <c r="AG81" s="6" t="s">
        <v>1487</v>
      </c>
    </row>
    <row r="82" spans="1:33" x14ac:dyDescent="0.3">
      <c r="A82" s="6" t="s">
        <v>1087</v>
      </c>
      <c r="B82" s="6" t="s">
        <v>99</v>
      </c>
      <c r="C82" s="6" t="s">
        <v>847</v>
      </c>
      <c r="D82" s="6" t="s">
        <v>940</v>
      </c>
      <c r="E82" s="6" t="s">
        <v>718</v>
      </c>
      <c r="F82" s="6" t="s">
        <v>718</v>
      </c>
      <c r="G82" s="6" t="s">
        <v>718</v>
      </c>
      <c r="H82" s="6" t="s">
        <v>718</v>
      </c>
      <c r="I82" s="6" t="s">
        <v>718</v>
      </c>
      <c r="J82" s="6" t="s">
        <v>718</v>
      </c>
      <c r="K82" s="6" t="s">
        <v>768</v>
      </c>
      <c r="T82" s="6" t="s">
        <v>1407</v>
      </c>
      <c r="U82" s="6" t="s">
        <v>1405</v>
      </c>
      <c r="V82" s="6" t="s">
        <v>718</v>
      </c>
      <c r="W82" s="6" t="s">
        <v>718</v>
      </c>
      <c r="X82" s="6" t="s">
        <v>869</v>
      </c>
      <c r="Y82" s="6" t="s">
        <v>718</v>
      </c>
      <c r="Z82" s="6" t="s">
        <v>718</v>
      </c>
      <c r="AA82" s="6" t="s">
        <v>718</v>
      </c>
      <c r="AE82" s="6" t="s">
        <v>718</v>
      </c>
      <c r="AF82" s="6" t="s">
        <v>718</v>
      </c>
      <c r="AG82" s="6" t="s">
        <v>1488</v>
      </c>
    </row>
    <row r="83" spans="1:33" x14ac:dyDescent="0.3">
      <c r="A83" s="6" t="s">
        <v>1088</v>
      </c>
      <c r="B83" s="6" t="s">
        <v>99</v>
      </c>
      <c r="C83" s="6" t="s">
        <v>847</v>
      </c>
      <c r="D83" s="6" t="s">
        <v>941</v>
      </c>
      <c r="E83" s="6" t="s">
        <v>718</v>
      </c>
      <c r="F83" s="6" t="s">
        <v>718</v>
      </c>
      <c r="G83" s="6" t="s">
        <v>718</v>
      </c>
      <c r="H83" s="6" t="s">
        <v>718</v>
      </c>
      <c r="I83" s="6" t="s">
        <v>718</v>
      </c>
      <c r="J83" s="6" t="s">
        <v>718</v>
      </c>
      <c r="K83" s="6" t="s">
        <v>769</v>
      </c>
      <c r="T83" s="6" t="s">
        <v>1407</v>
      </c>
      <c r="U83" s="6" t="s">
        <v>1405</v>
      </c>
      <c r="V83" s="6" t="s">
        <v>718</v>
      </c>
      <c r="W83" s="6" t="s">
        <v>718</v>
      </c>
      <c r="X83" s="6" t="s">
        <v>869</v>
      </c>
      <c r="Y83" s="6" t="s">
        <v>718</v>
      </c>
      <c r="Z83" s="6" t="s">
        <v>718</v>
      </c>
      <c r="AA83" s="6" t="s">
        <v>718</v>
      </c>
      <c r="AE83" s="6" t="s">
        <v>718</v>
      </c>
      <c r="AF83" s="6" t="s">
        <v>718</v>
      </c>
      <c r="AG83" s="6" t="s">
        <v>1489</v>
      </c>
    </row>
    <row r="84" spans="1:33" x14ac:dyDescent="0.3">
      <c r="A84" s="6" t="s">
        <v>1089</v>
      </c>
      <c r="B84" s="6" t="s">
        <v>99</v>
      </c>
      <c r="C84" s="6" t="s">
        <v>847</v>
      </c>
      <c r="D84" s="6" t="s">
        <v>942</v>
      </c>
      <c r="E84" s="6" t="s">
        <v>718</v>
      </c>
      <c r="F84" s="6" t="s">
        <v>718</v>
      </c>
      <c r="G84" s="6" t="s">
        <v>718</v>
      </c>
      <c r="H84" s="6" t="s">
        <v>718</v>
      </c>
      <c r="I84" s="6" t="s">
        <v>718</v>
      </c>
      <c r="J84" s="6" t="s">
        <v>718</v>
      </c>
      <c r="K84" s="6" t="s">
        <v>770</v>
      </c>
      <c r="T84" s="6" t="s">
        <v>1407</v>
      </c>
      <c r="U84" s="6" t="s">
        <v>1405</v>
      </c>
      <c r="V84" s="6" t="s">
        <v>718</v>
      </c>
      <c r="W84" s="6" t="s">
        <v>718</v>
      </c>
      <c r="X84" s="6" t="s">
        <v>869</v>
      </c>
      <c r="Y84" s="6" t="s">
        <v>718</v>
      </c>
      <c r="Z84" s="6" t="s">
        <v>718</v>
      </c>
      <c r="AA84" s="6" t="s">
        <v>718</v>
      </c>
      <c r="AE84" s="6" t="s">
        <v>718</v>
      </c>
      <c r="AF84" s="6" t="s">
        <v>718</v>
      </c>
      <c r="AG84" s="6" t="s">
        <v>1490</v>
      </c>
    </row>
    <row r="85" spans="1:33" x14ac:dyDescent="0.3">
      <c r="A85" s="6" t="s">
        <v>1090</v>
      </c>
      <c r="B85" s="6" t="s">
        <v>99</v>
      </c>
      <c r="C85" s="6" t="s">
        <v>847</v>
      </c>
      <c r="D85" s="6" t="s">
        <v>943</v>
      </c>
      <c r="E85" s="6" t="s">
        <v>718</v>
      </c>
      <c r="F85" s="6" t="s">
        <v>718</v>
      </c>
      <c r="G85" s="6" t="s">
        <v>718</v>
      </c>
      <c r="H85" s="6" t="s">
        <v>718</v>
      </c>
      <c r="I85" s="6" t="s">
        <v>718</v>
      </c>
      <c r="J85" s="6" t="s">
        <v>718</v>
      </c>
      <c r="K85" s="6" t="s">
        <v>771</v>
      </c>
      <c r="T85" s="6" t="s">
        <v>1407</v>
      </c>
      <c r="U85" s="6" t="s">
        <v>1405</v>
      </c>
      <c r="V85" s="6" t="s">
        <v>718</v>
      </c>
      <c r="W85" s="6" t="s">
        <v>718</v>
      </c>
      <c r="X85" s="6" t="s">
        <v>869</v>
      </c>
      <c r="Y85" s="6" t="s">
        <v>718</v>
      </c>
      <c r="Z85" s="6" t="s">
        <v>718</v>
      </c>
      <c r="AA85" s="6" t="s">
        <v>718</v>
      </c>
      <c r="AE85" s="6" t="s">
        <v>718</v>
      </c>
      <c r="AF85" s="6" t="s">
        <v>718</v>
      </c>
      <c r="AG85" s="6" t="s">
        <v>1491</v>
      </c>
    </row>
    <row r="86" spans="1:33" x14ac:dyDescent="0.3">
      <c r="A86" s="6" t="s">
        <v>1091</v>
      </c>
      <c r="B86" s="6" t="s">
        <v>99</v>
      </c>
      <c r="C86" s="6" t="s">
        <v>847</v>
      </c>
      <c r="D86" s="6" t="s">
        <v>944</v>
      </c>
      <c r="E86" s="6" t="s">
        <v>718</v>
      </c>
      <c r="F86" s="6" t="s">
        <v>718</v>
      </c>
      <c r="G86" s="6" t="s">
        <v>718</v>
      </c>
      <c r="H86" s="6" t="s">
        <v>718</v>
      </c>
      <c r="I86" s="6" t="s">
        <v>718</v>
      </c>
      <c r="J86" s="6" t="s">
        <v>718</v>
      </c>
      <c r="K86" s="6" t="s">
        <v>772</v>
      </c>
      <c r="T86" s="6" t="s">
        <v>1407</v>
      </c>
      <c r="U86" s="6" t="s">
        <v>1405</v>
      </c>
      <c r="V86" s="6" t="s">
        <v>718</v>
      </c>
      <c r="W86" s="6" t="s">
        <v>718</v>
      </c>
      <c r="X86" s="6" t="s">
        <v>869</v>
      </c>
      <c r="Y86" s="6" t="s">
        <v>718</v>
      </c>
      <c r="Z86" s="6" t="s">
        <v>718</v>
      </c>
      <c r="AA86" s="6" t="s">
        <v>718</v>
      </c>
      <c r="AE86" s="6" t="s">
        <v>718</v>
      </c>
      <c r="AF86" s="6" t="s">
        <v>718</v>
      </c>
      <c r="AG86" s="6" t="s">
        <v>1492</v>
      </c>
    </row>
    <row r="87" spans="1:33" x14ac:dyDescent="0.3">
      <c r="A87" s="6" t="s">
        <v>1092</v>
      </c>
      <c r="B87" s="6" t="s">
        <v>99</v>
      </c>
      <c r="C87" s="6" t="s">
        <v>847</v>
      </c>
      <c r="D87" s="6" t="s">
        <v>945</v>
      </c>
      <c r="E87" s="6" t="s">
        <v>718</v>
      </c>
      <c r="F87" s="6" t="s">
        <v>718</v>
      </c>
      <c r="G87" s="6" t="s">
        <v>718</v>
      </c>
      <c r="H87" s="6" t="s">
        <v>718</v>
      </c>
      <c r="I87" s="6" t="s">
        <v>718</v>
      </c>
      <c r="J87" s="6" t="s">
        <v>718</v>
      </c>
      <c r="K87" s="6" t="s">
        <v>773</v>
      </c>
      <c r="T87" s="6" t="s">
        <v>1407</v>
      </c>
      <c r="U87" s="6" t="s">
        <v>1405</v>
      </c>
      <c r="V87" s="6" t="s">
        <v>718</v>
      </c>
      <c r="W87" s="6" t="s">
        <v>718</v>
      </c>
      <c r="X87" s="6" t="s">
        <v>869</v>
      </c>
      <c r="Y87" s="6" t="s">
        <v>718</v>
      </c>
      <c r="Z87" s="6" t="s">
        <v>307</v>
      </c>
      <c r="AA87" s="6" t="s">
        <v>718</v>
      </c>
      <c r="AE87" s="6" t="s">
        <v>718</v>
      </c>
      <c r="AF87" s="6" t="s">
        <v>718</v>
      </c>
      <c r="AG87" s="6" t="s">
        <v>1493</v>
      </c>
    </row>
    <row r="88" spans="1:33" x14ac:dyDescent="0.3">
      <c r="A88" s="6" t="s">
        <v>1093</v>
      </c>
      <c r="B88" s="6" t="s">
        <v>99</v>
      </c>
      <c r="C88" s="6" t="s">
        <v>847</v>
      </c>
      <c r="D88" s="6" t="s">
        <v>946</v>
      </c>
      <c r="E88" s="6" t="s">
        <v>718</v>
      </c>
      <c r="F88" s="6" t="s">
        <v>718</v>
      </c>
      <c r="G88" s="6" t="s">
        <v>718</v>
      </c>
      <c r="H88" s="6" t="s">
        <v>718</v>
      </c>
      <c r="I88" s="6" t="s">
        <v>718</v>
      </c>
      <c r="J88" s="6" t="s">
        <v>718</v>
      </c>
      <c r="K88" s="6" t="s">
        <v>774</v>
      </c>
      <c r="T88" s="6" t="s">
        <v>1407</v>
      </c>
      <c r="U88" s="6" t="s">
        <v>1405</v>
      </c>
      <c r="V88" s="6" t="s">
        <v>718</v>
      </c>
      <c r="W88" s="6" t="s">
        <v>718</v>
      </c>
      <c r="X88" s="6" t="s">
        <v>869</v>
      </c>
      <c r="Y88" s="6" t="s">
        <v>718</v>
      </c>
      <c r="Z88" s="6" t="s">
        <v>307</v>
      </c>
      <c r="AA88" s="6" t="s">
        <v>718</v>
      </c>
      <c r="AE88" s="6" t="s">
        <v>718</v>
      </c>
      <c r="AF88" s="6" t="s">
        <v>718</v>
      </c>
      <c r="AG88" s="6" t="s">
        <v>1494</v>
      </c>
    </row>
    <row r="89" spans="1:33" x14ac:dyDescent="0.3">
      <c r="A89" s="6" t="s">
        <v>1094</v>
      </c>
      <c r="B89" s="6" t="s">
        <v>99</v>
      </c>
      <c r="C89" s="6" t="s">
        <v>847</v>
      </c>
      <c r="D89" s="6" t="s">
        <v>947</v>
      </c>
      <c r="E89" s="6" t="s">
        <v>718</v>
      </c>
      <c r="F89" s="6" t="s">
        <v>718</v>
      </c>
      <c r="G89" s="6" t="s">
        <v>718</v>
      </c>
      <c r="H89" s="6" t="s">
        <v>718</v>
      </c>
      <c r="I89" s="6" t="s">
        <v>718</v>
      </c>
      <c r="J89" s="6" t="s">
        <v>718</v>
      </c>
      <c r="K89" s="6" t="s">
        <v>775</v>
      </c>
      <c r="T89" s="6" t="s">
        <v>1407</v>
      </c>
      <c r="U89" s="6" t="s">
        <v>1405</v>
      </c>
      <c r="V89" s="6" t="s">
        <v>718</v>
      </c>
      <c r="W89" s="6" t="s">
        <v>718</v>
      </c>
      <c r="X89" s="6" t="s">
        <v>869</v>
      </c>
      <c r="Y89" s="6" t="s">
        <v>718</v>
      </c>
      <c r="Z89" s="6" t="s">
        <v>307</v>
      </c>
      <c r="AA89" s="6" t="s">
        <v>718</v>
      </c>
      <c r="AE89" s="6" t="s">
        <v>718</v>
      </c>
      <c r="AF89" s="6" t="s">
        <v>718</v>
      </c>
      <c r="AG89" s="6" t="s">
        <v>1495</v>
      </c>
    </row>
    <row r="90" spans="1:33" x14ac:dyDescent="0.3">
      <c r="A90" s="6" t="s">
        <v>1095</v>
      </c>
      <c r="B90" s="6" t="s">
        <v>99</v>
      </c>
      <c r="C90" s="6" t="s">
        <v>847</v>
      </c>
      <c r="D90" s="6" t="s">
        <v>948</v>
      </c>
      <c r="E90" s="6" t="s">
        <v>718</v>
      </c>
      <c r="F90" s="6" t="s">
        <v>718</v>
      </c>
      <c r="G90" s="6" t="s">
        <v>718</v>
      </c>
      <c r="H90" s="6" t="s">
        <v>718</v>
      </c>
      <c r="I90" s="6" t="s">
        <v>718</v>
      </c>
      <c r="J90" s="6" t="s">
        <v>718</v>
      </c>
      <c r="K90" s="6" t="s">
        <v>799</v>
      </c>
      <c r="T90" s="6" t="s">
        <v>1407</v>
      </c>
      <c r="U90" s="6" t="s">
        <v>1405</v>
      </c>
      <c r="V90" s="6" t="s">
        <v>718</v>
      </c>
      <c r="W90" s="6" t="s">
        <v>718</v>
      </c>
      <c r="X90" s="6" t="s">
        <v>869</v>
      </c>
      <c r="Y90" s="6" t="s">
        <v>718</v>
      </c>
      <c r="Z90" s="6" t="s">
        <v>307</v>
      </c>
      <c r="AA90" s="6" t="s">
        <v>718</v>
      </c>
      <c r="AE90" s="6" t="s">
        <v>718</v>
      </c>
      <c r="AF90" s="6" t="s">
        <v>718</v>
      </c>
      <c r="AG90" s="6" t="s">
        <v>1496</v>
      </c>
    </row>
    <row r="91" spans="1:33" x14ac:dyDescent="0.3">
      <c r="A91" s="6" t="s">
        <v>1096</v>
      </c>
      <c r="B91" s="6" t="s">
        <v>99</v>
      </c>
      <c r="C91" s="6" t="s">
        <v>847</v>
      </c>
      <c r="D91" s="6" t="s">
        <v>949</v>
      </c>
      <c r="E91" s="6" t="s">
        <v>718</v>
      </c>
      <c r="F91" s="6" t="s">
        <v>718</v>
      </c>
      <c r="G91" s="6" t="s">
        <v>718</v>
      </c>
      <c r="H91" s="6" t="s">
        <v>718</v>
      </c>
      <c r="I91" s="6" t="s">
        <v>718</v>
      </c>
      <c r="J91" s="6" t="s">
        <v>718</v>
      </c>
      <c r="K91" s="6" t="s">
        <v>800</v>
      </c>
      <c r="T91" s="6" t="s">
        <v>1407</v>
      </c>
      <c r="U91" s="6" t="s">
        <v>1405</v>
      </c>
      <c r="V91" s="6" t="s">
        <v>718</v>
      </c>
      <c r="W91" s="6" t="s">
        <v>718</v>
      </c>
      <c r="X91" s="6" t="s">
        <v>869</v>
      </c>
      <c r="Y91" s="6" t="s">
        <v>718</v>
      </c>
      <c r="Z91" s="6" t="s">
        <v>307</v>
      </c>
      <c r="AA91" s="6" t="s">
        <v>718</v>
      </c>
      <c r="AE91" s="6" t="s">
        <v>718</v>
      </c>
      <c r="AF91" s="6" t="s">
        <v>718</v>
      </c>
      <c r="AG91" s="6" t="s">
        <v>1497</v>
      </c>
    </row>
    <row r="92" spans="1:33" x14ac:dyDescent="0.3">
      <c r="A92" s="6" t="s">
        <v>1097</v>
      </c>
      <c r="B92" s="6" t="s">
        <v>99</v>
      </c>
      <c r="C92" s="6" t="s">
        <v>847</v>
      </c>
      <c r="D92" s="6" t="s">
        <v>950</v>
      </c>
      <c r="E92" s="6" t="s">
        <v>718</v>
      </c>
      <c r="F92" s="6" t="s">
        <v>718</v>
      </c>
      <c r="G92" s="6" t="s">
        <v>718</v>
      </c>
      <c r="H92" s="6" t="s">
        <v>718</v>
      </c>
      <c r="I92" s="6" t="s">
        <v>718</v>
      </c>
      <c r="J92" s="6" t="s">
        <v>718</v>
      </c>
      <c r="K92" s="6" t="s">
        <v>777</v>
      </c>
      <c r="T92" s="6" t="s">
        <v>1407</v>
      </c>
      <c r="U92" s="6" t="s">
        <v>1405</v>
      </c>
      <c r="V92" s="6" t="s">
        <v>718</v>
      </c>
      <c r="W92" s="6" t="s">
        <v>718</v>
      </c>
      <c r="X92" s="6" t="s">
        <v>869</v>
      </c>
      <c r="Y92" s="6" t="s">
        <v>718</v>
      </c>
      <c r="Z92" s="6" t="s">
        <v>307</v>
      </c>
      <c r="AA92" s="6" t="s">
        <v>718</v>
      </c>
      <c r="AE92" s="6" t="s">
        <v>718</v>
      </c>
      <c r="AF92" s="6" t="s">
        <v>718</v>
      </c>
      <c r="AG92" s="6" t="s">
        <v>1498</v>
      </c>
    </row>
    <row r="93" spans="1:33" x14ac:dyDescent="0.3">
      <c r="A93" s="6" t="s">
        <v>1098</v>
      </c>
      <c r="B93" s="6" t="s">
        <v>99</v>
      </c>
      <c r="C93" s="6" t="s">
        <v>847</v>
      </c>
      <c r="D93" s="6" t="s">
        <v>951</v>
      </c>
      <c r="E93" s="6" t="s">
        <v>718</v>
      </c>
      <c r="F93" s="6" t="s">
        <v>718</v>
      </c>
      <c r="G93" s="6" t="s">
        <v>718</v>
      </c>
      <c r="H93" s="6" t="s">
        <v>718</v>
      </c>
      <c r="I93" s="6" t="s">
        <v>718</v>
      </c>
      <c r="J93" s="6" t="s">
        <v>718</v>
      </c>
      <c r="K93" s="6" t="s">
        <v>778</v>
      </c>
      <c r="T93" s="6" t="s">
        <v>1407</v>
      </c>
      <c r="U93" s="6" t="s">
        <v>1405</v>
      </c>
      <c r="V93" s="6" t="s">
        <v>718</v>
      </c>
      <c r="W93" s="6" t="s">
        <v>718</v>
      </c>
      <c r="X93" s="6" t="s">
        <v>869</v>
      </c>
      <c r="Y93" s="6" t="s">
        <v>718</v>
      </c>
      <c r="Z93" s="6" t="s">
        <v>307</v>
      </c>
      <c r="AA93" s="6" t="s">
        <v>718</v>
      </c>
      <c r="AE93" s="6" t="s">
        <v>718</v>
      </c>
      <c r="AF93" s="6" t="s">
        <v>718</v>
      </c>
      <c r="AG93" s="6" t="s">
        <v>1499</v>
      </c>
    </row>
    <row r="94" spans="1:33" x14ac:dyDescent="0.3">
      <c r="A94" s="6" t="s">
        <v>1099</v>
      </c>
      <c r="B94" s="6" t="s">
        <v>99</v>
      </c>
      <c r="C94" s="6" t="s">
        <v>847</v>
      </c>
      <c r="D94" s="6" t="s">
        <v>952</v>
      </c>
      <c r="E94" s="6" t="s">
        <v>718</v>
      </c>
      <c r="F94" s="6" t="s">
        <v>718</v>
      </c>
      <c r="G94" s="6" t="s">
        <v>718</v>
      </c>
      <c r="H94" s="6" t="s">
        <v>718</v>
      </c>
      <c r="I94" s="6" t="s">
        <v>718</v>
      </c>
      <c r="J94" s="6" t="s">
        <v>718</v>
      </c>
      <c r="K94" s="6" t="s">
        <v>779</v>
      </c>
      <c r="T94" s="6" t="s">
        <v>1407</v>
      </c>
      <c r="U94" s="6" t="s">
        <v>1405</v>
      </c>
      <c r="V94" s="6" t="s">
        <v>718</v>
      </c>
      <c r="W94" s="6" t="s">
        <v>718</v>
      </c>
      <c r="X94" s="6" t="s">
        <v>869</v>
      </c>
      <c r="Y94" s="6" t="s">
        <v>718</v>
      </c>
      <c r="Z94" s="6" t="s">
        <v>307</v>
      </c>
      <c r="AA94" s="6" t="s">
        <v>718</v>
      </c>
      <c r="AE94" s="6" t="s">
        <v>718</v>
      </c>
      <c r="AF94" s="6" t="s">
        <v>718</v>
      </c>
      <c r="AG94" s="6" t="s">
        <v>1500</v>
      </c>
    </row>
    <row r="95" spans="1:33" x14ac:dyDescent="0.3">
      <c r="A95" s="6" t="s">
        <v>1100</v>
      </c>
      <c r="B95" s="6" t="s">
        <v>99</v>
      </c>
      <c r="C95" s="6" t="s">
        <v>847</v>
      </c>
      <c r="D95" s="6" t="s">
        <v>953</v>
      </c>
      <c r="E95" s="6" t="s">
        <v>718</v>
      </c>
      <c r="F95" s="6" t="s">
        <v>718</v>
      </c>
      <c r="G95" s="6" t="s">
        <v>718</v>
      </c>
      <c r="H95" s="6" t="s">
        <v>718</v>
      </c>
      <c r="I95" s="6" t="s">
        <v>718</v>
      </c>
      <c r="J95" s="6" t="s">
        <v>718</v>
      </c>
      <c r="K95" s="6" t="s">
        <v>792</v>
      </c>
      <c r="T95" s="6" t="s">
        <v>1407</v>
      </c>
      <c r="U95" s="6" t="s">
        <v>1405</v>
      </c>
      <c r="V95" s="6" t="s">
        <v>718</v>
      </c>
      <c r="W95" s="6" t="s">
        <v>718</v>
      </c>
      <c r="X95" s="6" t="s">
        <v>869</v>
      </c>
      <c r="Y95" s="6" t="s">
        <v>718</v>
      </c>
      <c r="Z95" s="6" t="s">
        <v>307</v>
      </c>
      <c r="AA95" s="6" t="s">
        <v>718</v>
      </c>
      <c r="AE95" s="6" t="s">
        <v>718</v>
      </c>
      <c r="AF95" s="6" t="s">
        <v>718</v>
      </c>
      <c r="AG95" s="6" t="s">
        <v>1501</v>
      </c>
    </row>
    <row r="96" spans="1:33" x14ac:dyDescent="0.3">
      <c r="A96" s="6" t="s">
        <v>1101</v>
      </c>
      <c r="B96" s="6" t="s">
        <v>99</v>
      </c>
      <c r="C96" s="6" t="s">
        <v>847</v>
      </c>
      <c r="D96" s="6" t="s">
        <v>954</v>
      </c>
      <c r="E96" s="6" t="s">
        <v>718</v>
      </c>
      <c r="F96" s="6" t="s">
        <v>718</v>
      </c>
      <c r="G96" s="6" t="s">
        <v>718</v>
      </c>
      <c r="H96" s="6" t="s">
        <v>718</v>
      </c>
      <c r="I96" s="6" t="s">
        <v>718</v>
      </c>
      <c r="J96" s="6" t="s">
        <v>718</v>
      </c>
      <c r="K96" s="6" t="s">
        <v>796</v>
      </c>
      <c r="T96" s="6" t="s">
        <v>1407</v>
      </c>
      <c r="U96" s="6" t="s">
        <v>1405</v>
      </c>
      <c r="V96" s="6" t="s">
        <v>718</v>
      </c>
      <c r="W96" s="6" t="s">
        <v>718</v>
      </c>
      <c r="X96" s="6" t="s">
        <v>869</v>
      </c>
      <c r="Y96" s="6" t="s">
        <v>718</v>
      </c>
      <c r="Z96" s="6" t="s">
        <v>307</v>
      </c>
      <c r="AA96" s="6" t="s">
        <v>718</v>
      </c>
      <c r="AE96" s="6" t="s">
        <v>718</v>
      </c>
      <c r="AF96" s="6" t="s">
        <v>718</v>
      </c>
      <c r="AG96" s="6" t="s">
        <v>1502</v>
      </c>
    </row>
    <row r="97" spans="1:33" x14ac:dyDescent="0.3">
      <c r="A97" s="6" t="s">
        <v>1102</v>
      </c>
      <c r="B97" s="6" t="s">
        <v>99</v>
      </c>
      <c r="C97" s="6" t="s">
        <v>847</v>
      </c>
      <c r="D97" s="6" t="s">
        <v>955</v>
      </c>
      <c r="E97" s="6" t="s">
        <v>718</v>
      </c>
      <c r="F97" s="6" t="s">
        <v>718</v>
      </c>
      <c r="G97" s="6" t="s">
        <v>718</v>
      </c>
      <c r="H97" s="6" t="s">
        <v>718</v>
      </c>
      <c r="I97" s="6" t="s">
        <v>718</v>
      </c>
      <c r="J97" s="6" t="s">
        <v>718</v>
      </c>
      <c r="K97" s="6" t="s">
        <v>780</v>
      </c>
      <c r="T97" s="6" t="s">
        <v>1407</v>
      </c>
      <c r="U97" s="6" t="s">
        <v>1405</v>
      </c>
      <c r="V97" s="6" t="s">
        <v>718</v>
      </c>
      <c r="W97" s="6" t="s">
        <v>718</v>
      </c>
      <c r="X97" s="6" t="s">
        <v>869</v>
      </c>
      <c r="Y97" s="6" t="s">
        <v>718</v>
      </c>
      <c r="Z97" s="6" t="s">
        <v>307</v>
      </c>
      <c r="AA97" s="6" t="s">
        <v>718</v>
      </c>
      <c r="AE97" s="6" t="s">
        <v>718</v>
      </c>
      <c r="AF97" s="6" t="s">
        <v>718</v>
      </c>
      <c r="AG97" s="6" t="s">
        <v>1503</v>
      </c>
    </row>
    <row r="98" spans="1:33" x14ac:dyDescent="0.3">
      <c r="A98" s="6" t="s">
        <v>1103</v>
      </c>
      <c r="B98" s="6" t="s">
        <v>99</v>
      </c>
      <c r="C98" s="6" t="s">
        <v>847</v>
      </c>
      <c r="D98" s="6" t="s">
        <v>956</v>
      </c>
      <c r="E98" s="6" t="s">
        <v>718</v>
      </c>
      <c r="F98" s="6" t="s">
        <v>718</v>
      </c>
      <c r="G98" s="6" t="s">
        <v>718</v>
      </c>
      <c r="H98" s="6" t="s">
        <v>718</v>
      </c>
      <c r="I98" s="6" t="s">
        <v>718</v>
      </c>
      <c r="J98" s="6" t="s">
        <v>718</v>
      </c>
      <c r="K98" s="6" t="s">
        <v>781</v>
      </c>
      <c r="T98" s="6" t="s">
        <v>1407</v>
      </c>
      <c r="U98" s="6" t="s">
        <v>1405</v>
      </c>
      <c r="V98" s="6" t="s">
        <v>718</v>
      </c>
      <c r="W98" s="6" t="s">
        <v>718</v>
      </c>
      <c r="X98" s="6" t="s">
        <v>869</v>
      </c>
      <c r="Y98" s="6" t="s">
        <v>718</v>
      </c>
      <c r="Z98" s="6" t="s">
        <v>307</v>
      </c>
      <c r="AA98" s="6" t="s">
        <v>718</v>
      </c>
      <c r="AE98" s="6" t="s">
        <v>718</v>
      </c>
      <c r="AF98" s="6" t="s">
        <v>718</v>
      </c>
      <c r="AG98" s="6" t="s">
        <v>1504</v>
      </c>
    </row>
    <row r="99" spans="1:33" x14ac:dyDescent="0.3">
      <c r="A99" s="6" t="s">
        <v>1104</v>
      </c>
      <c r="B99" s="6" t="s">
        <v>99</v>
      </c>
      <c r="C99" s="6" t="s">
        <v>847</v>
      </c>
      <c r="D99" s="6" t="s">
        <v>957</v>
      </c>
      <c r="E99" s="6" t="s">
        <v>718</v>
      </c>
      <c r="F99" s="6" t="s">
        <v>718</v>
      </c>
      <c r="G99" s="6" t="s">
        <v>718</v>
      </c>
      <c r="H99" s="6" t="s">
        <v>718</v>
      </c>
      <c r="I99" s="6" t="s">
        <v>718</v>
      </c>
      <c r="J99" s="6" t="s">
        <v>718</v>
      </c>
      <c r="K99" s="6" t="s">
        <v>782</v>
      </c>
      <c r="T99" s="6" t="s">
        <v>1407</v>
      </c>
      <c r="U99" s="6" t="s">
        <v>1405</v>
      </c>
      <c r="V99" s="6" t="s">
        <v>718</v>
      </c>
      <c r="W99" s="6" t="s">
        <v>718</v>
      </c>
      <c r="X99" s="6" t="s">
        <v>869</v>
      </c>
      <c r="Y99" s="6" t="s">
        <v>718</v>
      </c>
      <c r="Z99" s="6" t="s">
        <v>307</v>
      </c>
      <c r="AA99" s="6" t="s">
        <v>718</v>
      </c>
      <c r="AE99" s="6" t="s">
        <v>718</v>
      </c>
      <c r="AF99" s="6" t="s">
        <v>718</v>
      </c>
      <c r="AG99" s="6" t="s">
        <v>1505</v>
      </c>
    </row>
    <row r="100" spans="1:33" x14ac:dyDescent="0.3">
      <c r="A100" s="6" t="s">
        <v>1105</v>
      </c>
      <c r="B100" s="6" t="s">
        <v>99</v>
      </c>
      <c r="C100" s="6" t="s">
        <v>847</v>
      </c>
      <c r="D100" s="6" t="s">
        <v>958</v>
      </c>
      <c r="E100" s="6" t="s">
        <v>718</v>
      </c>
      <c r="F100" s="6" t="s">
        <v>718</v>
      </c>
      <c r="G100" s="6" t="s">
        <v>718</v>
      </c>
      <c r="H100" s="6" t="s">
        <v>718</v>
      </c>
      <c r="I100" s="6" t="s">
        <v>718</v>
      </c>
      <c r="J100" s="6" t="s">
        <v>718</v>
      </c>
      <c r="K100" s="6" t="s">
        <v>783</v>
      </c>
      <c r="T100" s="6" t="s">
        <v>1407</v>
      </c>
      <c r="U100" s="6" t="s">
        <v>1405</v>
      </c>
      <c r="V100" s="6" t="s">
        <v>718</v>
      </c>
      <c r="W100" s="6" t="s">
        <v>718</v>
      </c>
      <c r="X100" s="6" t="s">
        <v>869</v>
      </c>
      <c r="Y100" s="6" t="s">
        <v>718</v>
      </c>
      <c r="Z100" s="6" t="s">
        <v>307</v>
      </c>
      <c r="AA100" s="6" t="s">
        <v>718</v>
      </c>
      <c r="AE100" s="6" t="s">
        <v>718</v>
      </c>
      <c r="AF100" s="6" t="s">
        <v>718</v>
      </c>
      <c r="AG100" s="6" t="s">
        <v>1506</v>
      </c>
    </row>
  </sheetData>
  <printOptions gridLines="1"/>
  <pageMargins left="0" right="0" top="0" bottom="0" header="0" footer="0"/>
  <pageSetup paperSize="8" scale="42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theme="1" tint="0.499984740745262"/>
    <pageSetUpPr fitToPage="1"/>
  </sheetPr>
  <dimension ref="A1:AD100"/>
  <sheetViews>
    <sheetView topLeftCell="C86" zoomScaleNormal="100" workbookViewId="0">
      <selection activeCell="C13" sqref="C13"/>
    </sheetView>
  </sheetViews>
  <sheetFormatPr defaultColWidth="9.109375" defaultRowHeight="14.4" x14ac:dyDescent="0.3"/>
  <cols>
    <col min="1" max="1" width="28.5546875" style="6" bestFit="1" customWidth="1"/>
    <col min="2" max="2" width="20" style="6" bestFit="1" customWidth="1"/>
    <col min="3" max="3" width="48.109375" style="6" bestFit="1" customWidth="1"/>
    <col min="4" max="4" width="28.5546875" style="6" bestFit="1" customWidth="1"/>
    <col min="5" max="5" width="9.109375" style="6" bestFit="1" customWidth="1"/>
    <col min="6" max="6" width="12.88671875" style="6" bestFit="1" customWidth="1"/>
    <col min="7" max="7" width="7.5546875" style="6" bestFit="1" customWidth="1"/>
    <col min="8" max="8" width="7.44140625" style="6" bestFit="1" customWidth="1"/>
    <col min="9" max="9" width="8" style="6" bestFit="1" customWidth="1"/>
    <col min="10" max="10" width="48.109375" style="6" bestFit="1" customWidth="1"/>
    <col min="11" max="11" width="12.6640625" style="6" bestFit="1" customWidth="1"/>
    <col min="12" max="12" width="8.88671875" style="6" bestFit="1" customWidth="1"/>
    <col min="13" max="20" width="12.109375" style="6" bestFit="1" customWidth="1"/>
    <col min="21" max="21" width="10.88671875" style="6" bestFit="1" customWidth="1"/>
    <col min="22" max="22" width="14.88671875" style="6" bestFit="1" customWidth="1"/>
    <col min="23" max="23" width="10.5546875" style="6" bestFit="1" customWidth="1"/>
    <col min="24" max="24" width="14.33203125" style="6" bestFit="1" customWidth="1"/>
    <col min="25" max="25" width="12" style="6" bestFit="1" customWidth="1"/>
    <col min="26" max="26" width="9.5546875" style="6" bestFit="1" customWidth="1"/>
    <col min="27" max="27" width="8.88671875" style="6" bestFit="1" customWidth="1"/>
    <col min="28" max="28" width="7.6640625" style="6" bestFit="1" customWidth="1"/>
    <col min="29" max="29" width="13.5546875" style="6" customWidth="1"/>
    <col min="30" max="16384" width="9.109375" style="6"/>
  </cols>
  <sheetData>
    <row r="1" spans="1:30" x14ac:dyDescent="0.3">
      <c r="A1" s="68" t="s">
        <v>31</v>
      </c>
      <c r="B1" s="68" t="s">
        <v>0</v>
      </c>
      <c r="C1" s="68" t="s">
        <v>32</v>
      </c>
      <c r="D1" s="68" t="s">
        <v>33</v>
      </c>
      <c r="E1" s="68" t="s">
        <v>34</v>
      </c>
      <c r="F1" s="68" t="s">
        <v>35</v>
      </c>
      <c r="G1" s="68" t="s">
        <v>36</v>
      </c>
      <c r="H1" s="68" t="s">
        <v>37</v>
      </c>
      <c r="I1" s="68" t="s">
        <v>38</v>
      </c>
      <c r="J1" s="68" t="s">
        <v>10</v>
      </c>
      <c r="K1" s="68" t="s">
        <v>39</v>
      </c>
      <c r="L1" s="68" t="s">
        <v>40</v>
      </c>
      <c r="M1" s="68" t="s">
        <v>23</v>
      </c>
      <c r="N1" s="68" t="s">
        <v>24</v>
      </c>
      <c r="O1" s="68" t="s">
        <v>25</v>
      </c>
      <c r="P1" s="68" t="s">
        <v>26</v>
      </c>
      <c r="Q1" s="68" t="s">
        <v>27</v>
      </c>
      <c r="R1" s="68" t="s">
        <v>28</v>
      </c>
      <c r="S1" s="68" t="s">
        <v>29</v>
      </c>
      <c r="T1" s="68" t="s">
        <v>30</v>
      </c>
      <c r="U1" s="68" t="s">
        <v>19</v>
      </c>
      <c r="V1" s="68" t="s">
        <v>18</v>
      </c>
      <c r="W1" s="68" t="s">
        <v>41</v>
      </c>
      <c r="X1" s="68" t="s">
        <v>42</v>
      </c>
      <c r="Y1" s="68" t="s">
        <v>11</v>
      </c>
      <c r="Z1" s="68" t="s">
        <v>12</v>
      </c>
      <c r="AA1" s="68" t="s">
        <v>20</v>
      </c>
      <c r="AB1" s="68" t="s">
        <v>21</v>
      </c>
      <c r="AC1" s="68" t="s">
        <v>22</v>
      </c>
      <c r="AD1" s="17"/>
    </row>
    <row r="2" spans="1:30" x14ac:dyDescent="0.3">
      <c r="A2" s="6" t="s">
        <v>718</v>
      </c>
      <c r="B2" s="6" t="s">
        <v>718</v>
      </c>
      <c r="C2" s="6" t="s">
        <v>718</v>
      </c>
      <c r="D2" s="6" t="s">
        <v>718</v>
      </c>
      <c r="E2" s="6" t="s">
        <v>718</v>
      </c>
      <c r="F2" s="6" t="s">
        <v>718</v>
      </c>
      <c r="G2" s="6" t="s">
        <v>718</v>
      </c>
      <c r="H2" s="6" t="s">
        <v>718</v>
      </c>
      <c r="I2" s="6" t="s">
        <v>718</v>
      </c>
      <c r="J2" s="6" t="s">
        <v>718</v>
      </c>
      <c r="M2" s="6" t="s">
        <v>718</v>
      </c>
      <c r="U2" s="6" t="s">
        <v>718</v>
      </c>
      <c r="AA2" s="6" t="s">
        <v>718</v>
      </c>
      <c r="AB2" s="6" t="s">
        <v>718</v>
      </c>
    </row>
    <row r="3" spans="1:30" x14ac:dyDescent="0.3">
      <c r="A3" s="6" t="s">
        <v>982</v>
      </c>
      <c r="B3" s="6" t="s">
        <v>982</v>
      </c>
      <c r="C3" s="6" t="s">
        <v>357</v>
      </c>
      <c r="D3" s="6" t="s">
        <v>982</v>
      </c>
      <c r="E3" s="6" t="s">
        <v>848</v>
      </c>
      <c r="F3" s="6" t="s">
        <v>719</v>
      </c>
      <c r="G3" s="6" t="s">
        <v>850</v>
      </c>
      <c r="H3" s="6" t="s">
        <v>842</v>
      </c>
      <c r="I3" s="6" t="s">
        <v>849</v>
      </c>
      <c r="J3" s="6" t="s">
        <v>357</v>
      </c>
      <c r="M3" s="6" t="s">
        <v>869</v>
      </c>
      <c r="U3" s="6" t="s">
        <v>1407</v>
      </c>
      <c r="AA3" s="6" t="s">
        <v>1405</v>
      </c>
      <c r="AB3" s="6" t="s">
        <v>718</v>
      </c>
    </row>
    <row r="4" spans="1:30" x14ac:dyDescent="0.3">
      <c r="A4" s="6" t="s">
        <v>718</v>
      </c>
      <c r="B4" s="6" t="s">
        <v>718</v>
      </c>
      <c r="C4" s="6" t="s">
        <v>718</v>
      </c>
      <c r="D4" s="6" t="s">
        <v>718</v>
      </c>
      <c r="E4" s="6" t="s">
        <v>718</v>
      </c>
      <c r="F4" s="6" t="s">
        <v>718</v>
      </c>
      <c r="G4" s="6" t="s">
        <v>718</v>
      </c>
      <c r="H4" s="6" t="s">
        <v>718</v>
      </c>
      <c r="I4" s="6" t="s">
        <v>718</v>
      </c>
      <c r="J4" s="6" t="s">
        <v>718</v>
      </c>
      <c r="M4" s="6" t="s">
        <v>718</v>
      </c>
      <c r="U4" s="6" t="s">
        <v>718</v>
      </c>
      <c r="AA4" s="6" t="s">
        <v>718</v>
      </c>
      <c r="AB4" s="6" t="s">
        <v>718</v>
      </c>
    </row>
    <row r="5" spans="1:30" x14ac:dyDescent="0.3">
      <c r="A5" s="6" t="s">
        <v>718</v>
      </c>
      <c r="B5" s="6" t="s">
        <v>718</v>
      </c>
      <c r="C5" s="6" t="s">
        <v>718</v>
      </c>
      <c r="D5" s="6" t="s">
        <v>718</v>
      </c>
      <c r="E5" s="6" t="s">
        <v>718</v>
      </c>
      <c r="F5" s="6" t="s">
        <v>718</v>
      </c>
      <c r="G5" s="6" t="s">
        <v>718</v>
      </c>
      <c r="H5" s="6" t="s">
        <v>718</v>
      </c>
      <c r="I5" s="6" t="s">
        <v>718</v>
      </c>
      <c r="J5" s="6" t="s">
        <v>718</v>
      </c>
      <c r="M5" s="6" t="s">
        <v>718</v>
      </c>
      <c r="U5" s="6" t="s">
        <v>718</v>
      </c>
      <c r="AA5" s="6" t="s">
        <v>718</v>
      </c>
      <c r="AB5" s="6" t="s">
        <v>718</v>
      </c>
    </row>
    <row r="6" spans="1:30" x14ac:dyDescent="0.3">
      <c r="A6" s="17" t="s">
        <v>718</v>
      </c>
      <c r="B6" s="17" t="s">
        <v>718</v>
      </c>
      <c r="C6" s="17" t="s">
        <v>718</v>
      </c>
      <c r="D6" s="17" t="s">
        <v>718</v>
      </c>
      <c r="E6" s="17" t="s">
        <v>718</v>
      </c>
      <c r="F6" s="17" t="s">
        <v>718</v>
      </c>
      <c r="G6" s="17" t="s">
        <v>718</v>
      </c>
      <c r="H6" s="17" t="s">
        <v>718</v>
      </c>
      <c r="I6" s="17" t="s">
        <v>718</v>
      </c>
      <c r="J6" s="17" t="s">
        <v>718</v>
      </c>
      <c r="K6" s="17"/>
      <c r="L6" s="17"/>
      <c r="M6" s="17" t="s">
        <v>718</v>
      </c>
      <c r="N6" s="17"/>
      <c r="O6" s="17"/>
      <c r="P6" s="17"/>
      <c r="Q6" s="17"/>
      <c r="R6" s="17"/>
      <c r="S6" s="17"/>
      <c r="T6" s="17"/>
      <c r="U6" s="17" t="s">
        <v>718</v>
      </c>
      <c r="V6" s="17"/>
      <c r="W6" s="17"/>
      <c r="X6" s="17"/>
      <c r="Y6" s="17"/>
      <c r="Z6" s="17"/>
      <c r="AA6" s="17" t="s">
        <v>718</v>
      </c>
      <c r="AB6" s="17" t="s">
        <v>718</v>
      </c>
      <c r="AC6" s="17"/>
    </row>
    <row r="7" spans="1:30" x14ac:dyDescent="0.3">
      <c r="A7" s="6" t="s">
        <v>994</v>
      </c>
      <c r="B7" s="6" t="s">
        <v>994</v>
      </c>
      <c r="C7" s="6" t="s">
        <v>345</v>
      </c>
      <c r="D7" s="6" t="s">
        <v>994</v>
      </c>
      <c r="E7" s="6" t="s">
        <v>848</v>
      </c>
      <c r="F7" s="6" t="s">
        <v>308</v>
      </c>
      <c r="G7" s="6" t="s">
        <v>850</v>
      </c>
      <c r="H7" s="6" t="s">
        <v>842</v>
      </c>
      <c r="I7" s="6" t="s">
        <v>849</v>
      </c>
      <c r="J7" s="6" t="s">
        <v>345</v>
      </c>
      <c r="M7" s="6" t="s">
        <v>869</v>
      </c>
      <c r="U7" s="6" t="s">
        <v>1407</v>
      </c>
      <c r="AA7" s="6" t="s">
        <v>1405</v>
      </c>
      <c r="AB7" s="6" t="s">
        <v>718</v>
      </c>
    </row>
    <row r="8" spans="1:30" x14ac:dyDescent="0.3">
      <c r="A8" s="6" t="s">
        <v>995</v>
      </c>
      <c r="B8" s="6" t="s">
        <v>995</v>
      </c>
      <c r="C8" s="6" t="s">
        <v>359</v>
      </c>
      <c r="D8" s="6" t="s">
        <v>995</v>
      </c>
      <c r="E8" s="6" t="s">
        <v>848</v>
      </c>
      <c r="F8" s="6" t="s">
        <v>308</v>
      </c>
      <c r="G8" s="6" t="s">
        <v>850</v>
      </c>
      <c r="H8" s="6" t="s">
        <v>842</v>
      </c>
      <c r="I8" s="6" t="s">
        <v>849</v>
      </c>
      <c r="J8" s="6" t="s">
        <v>359</v>
      </c>
      <c r="M8" s="6" t="s">
        <v>869</v>
      </c>
      <c r="U8" s="6" t="s">
        <v>1407</v>
      </c>
      <c r="AA8" s="6" t="s">
        <v>1405</v>
      </c>
      <c r="AB8" s="6" t="s">
        <v>718</v>
      </c>
    </row>
    <row r="9" spans="1:30" x14ac:dyDescent="0.3">
      <c r="A9" s="6" t="s">
        <v>718</v>
      </c>
      <c r="B9" s="6" t="s">
        <v>718</v>
      </c>
      <c r="C9" s="6" t="s">
        <v>718</v>
      </c>
      <c r="D9" s="6" t="s">
        <v>718</v>
      </c>
      <c r="E9" s="6" t="s">
        <v>718</v>
      </c>
      <c r="F9" s="6" t="s">
        <v>718</v>
      </c>
      <c r="G9" s="6" t="s">
        <v>718</v>
      </c>
      <c r="H9" s="6" t="s">
        <v>718</v>
      </c>
      <c r="I9" s="6" t="s">
        <v>718</v>
      </c>
      <c r="J9" s="6" t="s">
        <v>718</v>
      </c>
      <c r="M9" s="6" t="s">
        <v>718</v>
      </c>
      <c r="U9" s="6" t="s">
        <v>718</v>
      </c>
      <c r="AA9" s="6" t="s">
        <v>718</v>
      </c>
      <c r="AB9" s="6" t="s">
        <v>718</v>
      </c>
    </row>
    <row r="10" spans="1:30" x14ac:dyDescent="0.3">
      <c r="A10" s="6" t="s">
        <v>718</v>
      </c>
      <c r="B10" s="6" t="s">
        <v>718</v>
      </c>
      <c r="C10" s="6" t="s">
        <v>718</v>
      </c>
      <c r="D10" s="6" t="s">
        <v>718</v>
      </c>
      <c r="E10" s="6" t="s">
        <v>718</v>
      </c>
      <c r="F10" s="6" t="s">
        <v>718</v>
      </c>
      <c r="G10" s="6" t="s">
        <v>718</v>
      </c>
      <c r="H10" s="6" t="s">
        <v>718</v>
      </c>
      <c r="I10" s="6" t="s">
        <v>718</v>
      </c>
      <c r="J10" s="6" t="s">
        <v>718</v>
      </c>
      <c r="M10" s="6" t="s">
        <v>718</v>
      </c>
      <c r="U10" s="6" t="s">
        <v>718</v>
      </c>
      <c r="AA10" s="6" t="s">
        <v>718</v>
      </c>
      <c r="AB10" s="6" t="s">
        <v>718</v>
      </c>
    </row>
    <row r="11" spans="1:30" x14ac:dyDescent="0.3">
      <c r="A11" s="6" t="s">
        <v>718</v>
      </c>
      <c r="B11" s="6" t="s">
        <v>718</v>
      </c>
      <c r="C11" s="6" t="s">
        <v>718</v>
      </c>
      <c r="D11" s="6" t="s">
        <v>718</v>
      </c>
      <c r="E11" s="6" t="s">
        <v>718</v>
      </c>
      <c r="F11" s="6" t="s">
        <v>718</v>
      </c>
      <c r="G11" s="6" t="s">
        <v>718</v>
      </c>
      <c r="H11" s="6" t="s">
        <v>718</v>
      </c>
      <c r="I11" s="6" t="s">
        <v>718</v>
      </c>
      <c r="J11" s="6" t="s">
        <v>718</v>
      </c>
      <c r="M11" s="6" t="s">
        <v>718</v>
      </c>
      <c r="U11" s="6" t="s">
        <v>718</v>
      </c>
      <c r="AA11" s="6" t="s">
        <v>718</v>
      </c>
      <c r="AB11" s="6" t="s">
        <v>718</v>
      </c>
    </row>
    <row r="12" spans="1:30" x14ac:dyDescent="0.3">
      <c r="A12" s="6" t="s">
        <v>718</v>
      </c>
      <c r="B12" s="6" t="s">
        <v>718</v>
      </c>
      <c r="C12" s="6" t="s">
        <v>718</v>
      </c>
      <c r="D12" s="6" t="s">
        <v>718</v>
      </c>
      <c r="E12" s="6" t="s">
        <v>718</v>
      </c>
      <c r="F12" s="6" t="s">
        <v>718</v>
      </c>
      <c r="G12" s="6" t="s">
        <v>718</v>
      </c>
      <c r="H12" s="6" t="s">
        <v>718</v>
      </c>
      <c r="I12" s="6" t="s">
        <v>718</v>
      </c>
      <c r="J12" s="6" t="s">
        <v>718</v>
      </c>
      <c r="M12" s="6" t="s">
        <v>718</v>
      </c>
      <c r="U12" s="6" t="s">
        <v>718</v>
      </c>
      <c r="AA12" s="6" t="s">
        <v>718</v>
      </c>
      <c r="AB12" s="6" t="s">
        <v>718</v>
      </c>
    </row>
    <row r="13" spans="1:30" x14ac:dyDescent="0.3">
      <c r="A13" s="6" t="s">
        <v>718</v>
      </c>
      <c r="B13" s="6" t="s">
        <v>718</v>
      </c>
      <c r="C13" s="6" t="s">
        <v>718</v>
      </c>
      <c r="D13" s="6" t="s">
        <v>718</v>
      </c>
      <c r="E13" s="6" t="s">
        <v>718</v>
      </c>
      <c r="F13" s="6" t="s">
        <v>718</v>
      </c>
      <c r="G13" s="6" t="s">
        <v>718</v>
      </c>
      <c r="H13" s="6" t="s">
        <v>718</v>
      </c>
      <c r="I13" s="6" t="s">
        <v>718</v>
      </c>
      <c r="J13" s="6" t="s">
        <v>718</v>
      </c>
      <c r="M13" s="6" t="s">
        <v>718</v>
      </c>
      <c r="U13" s="6" t="s">
        <v>718</v>
      </c>
      <c r="AA13" s="6" t="s">
        <v>718</v>
      </c>
      <c r="AB13" s="6" t="s">
        <v>718</v>
      </c>
    </row>
    <row r="14" spans="1:30" x14ac:dyDescent="0.3">
      <c r="A14" s="6" t="s">
        <v>718</v>
      </c>
      <c r="B14" s="6" t="s">
        <v>718</v>
      </c>
      <c r="C14" s="6" t="s">
        <v>718</v>
      </c>
      <c r="D14" s="6" t="s">
        <v>718</v>
      </c>
      <c r="E14" s="6" t="s">
        <v>718</v>
      </c>
      <c r="F14" s="6" t="s">
        <v>718</v>
      </c>
      <c r="G14" s="6" t="s">
        <v>718</v>
      </c>
      <c r="H14" s="6" t="s">
        <v>718</v>
      </c>
      <c r="I14" s="6" t="s">
        <v>718</v>
      </c>
      <c r="J14" s="6" t="s">
        <v>718</v>
      </c>
      <c r="M14" s="6" t="s">
        <v>718</v>
      </c>
      <c r="U14" s="6" t="s">
        <v>718</v>
      </c>
      <c r="AA14" s="6" t="s">
        <v>718</v>
      </c>
      <c r="AB14" s="6" t="s">
        <v>718</v>
      </c>
    </row>
    <row r="15" spans="1:30" x14ac:dyDescent="0.3">
      <c r="A15" s="6" t="s">
        <v>718</v>
      </c>
      <c r="B15" s="6" t="s">
        <v>718</v>
      </c>
      <c r="C15" s="6" t="s">
        <v>718</v>
      </c>
      <c r="D15" s="6" t="s">
        <v>718</v>
      </c>
      <c r="E15" s="6" t="s">
        <v>718</v>
      </c>
      <c r="F15" s="6" t="s">
        <v>718</v>
      </c>
      <c r="G15" s="6" t="s">
        <v>718</v>
      </c>
      <c r="H15" s="6" t="s">
        <v>718</v>
      </c>
      <c r="I15" s="6" t="s">
        <v>718</v>
      </c>
      <c r="J15" s="6" t="s">
        <v>718</v>
      </c>
      <c r="M15" s="6" t="s">
        <v>718</v>
      </c>
      <c r="U15" s="6" t="s">
        <v>718</v>
      </c>
      <c r="AA15" s="6" t="s">
        <v>718</v>
      </c>
      <c r="AB15" s="6" t="s">
        <v>718</v>
      </c>
    </row>
    <row r="16" spans="1:30" x14ac:dyDescent="0.3">
      <c r="A16" s="6" t="s">
        <v>718</v>
      </c>
      <c r="B16" s="6" t="s">
        <v>718</v>
      </c>
      <c r="C16" s="6" t="s">
        <v>718</v>
      </c>
      <c r="D16" s="6" t="s">
        <v>718</v>
      </c>
      <c r="E16" s="6" t="s">
        <v>718</v>
      </c>
      <c r="F16" s="6" t="s">
        <v>718</v>
      </c>
      <c r="G16" s="6" t="s">
        <v>718</v>
      </c>
      <c r="H16" s="6" t="s">
        <v>718</v>
      </c>
      <c r="I16" s="6" t="s">
        <v>718</v>
      </c>
      <c r="J16" s="6" t="s">
        <v>718</v>
      </c>
      <c r="M16" s="6" t="s">
        <v>718</v>
      </c>
      <c r="U16" s="6" t="s">
        <v>718</v>
      </c>
      <c r="AA16" s="6" t="s">
        <v>718</v>
      </c>
      <c r="AB16" s="6" t="s">
        <v>718</v>
      </c>
    </row>
    <row r="17" spans="1:29" x14ac:dyDescent="0.3">
      <c r="A17" s="6" t="s">
        <v>718</v>
      </c>
      <c r="B17" s="6" t="s">
        <v>718</v>
      </c>
      <c r="C17" s="6" t="s">
        <v>718</v>
      </c>
      <c r="D17" s="6" t="s">
        <v>718</v>
      </c>
      <c r="E17" s="6" t="s">
        <v>718</v>
      </c>
      <c r="F17" s="6" t="s">
        <v>718</v>
      </c>
      <c r="G17" s="6" t="s">
        <v>718</v>
      </c>
      <c r="H17" s="6" t="s">
        <v>718</v>
      </c>
      <c r="I17" s="6" t="s">
        <v>718</v>
      </c>
      <c r="J17" s="6" t="s">
        <v>718</v>
      </c>
      <c r="M17" s="6" t="s">
        <v>718</v>
      </c>
      <c r="U17" s="6" t="s">
        <v>718</v>
      </c>
      <c r="AA17" s="6" t="s">
        <v>718</v>
      </c>
      <c r="AB17" s="6" t="s">
        <v>718</v>
      </c>
    </row>
    <row r="18" spans="1:29" x14ac:dyDescent="0.3">
      <c r="A18" s="6" t="s">
        <v>718</v>
      </c>
      <c r="B18" s="6" t="s">
        <v>718</v>
      </c>
      <c r="C18" s="6" t="s">
        <v>718</v>
      </c>
      <c r="D18" s="6" t="s">
        <v>718</v>
      </c>
      <c r="E18" s="6" t="s">
        <v>718</v>
      </c>
      <c r="F18" s="6" t="s">
        <v>718</v>
      </c>
      <c r="G18" s="6" t="s">
        <v>718</v>
      </c>
      <c r="H18" s="6" t="s">
        <v>718</v>
      </c>
      <c r="I18" s="6" t="s">
        <v>718</v>
      </c>
      <c r="J18" s="6" t="s">
        <v>718</v>
      </c>
      <c r="M18" s="6" t="s">
        <v>718</v>
      </c>
      <c r="U18" s="6" t="s">
        <v>718</v>
      </c>
      <c r="AA18" s="6" t="s">
        <v>718</v>
      </c>
      <c r="AB18" s="6" t="s">
        <v>718</v>
      </c>
    </row>
    <row r="19" spans="1:29" x14ac:dyDescent="0.3">
      <c r="A19" s="6" t="s">
        <v>718</v>
      </c>
      <c r="B19" s="6" t="s">
        <v>718</v>
      </c>
      <c r="C19" s="6" t="s">
        <v>718</v>
      </c>
      <c r="D19" s="6" t="s">
        <v>718</v>
      </c>
      <c r="E19" s="6" t="s">
        <v>718</v>
      </c>
      <c r="F19" s="6" t="s">
        <v>718</v>
      </c>
      <c r="G19" s="6" t="s">
        <v>718</v>
      </c>
      <c r="H19" s="6" t="s">
        <v>718</v>
      </c>
      <c r="I19" s="6" t="s">
        <v>718</v>
      </c>
      <c r="J19" s="6" t="s">
        <v>718</v>
      </c>
      <c r="M19" s="6" t="s">
        <v>718</v>
      </c>
      <c r="U19" s="6" t="s">
        <v>718</v>
      </c>
      <c r="AA19" s="6" t="s">
        <v>718</v>
      </c>
      <c r="AB19" s="6" t="s">
        <v>718</v>
      </c>
    </row>
    <row r="20" spans="1:29" x14ac:dyDescent="0.3">
      <c r="A20" s="6" t="s">
        <v>718</v>
      </c>
      <c r="B20" s="6" t="s">
        <v>718</v>
      </c>
      <c r="C20" s="6" t="s">
        <v>718</v>
      </c>
      <c r="D20" s="6" t="s">
        <v>718</v>
      </c>
      <c r="E20" s="6" t="s">
        <v>718</v>
      </c>
      <c r="F20" s="6" t="s">
        <v>718</v>
      </c>
      <c r="G20" s="6" t="s">
        <v>718</v>
      </c>
      <c r="H20" s="6" t="s">
        <v>718</v>
      </c>
      <c r="I20" s="6" t="s">
        <v>718</v>
      </c>
      <c r="J20" s="6" t="s">
        <v>718</v>
      </c>
      <c r="M20" s="6" t="s">
        <v>718</v>
      </c>
      <c r="U20" s="6" t="s">
        <v>718</v>
      </c>
      <c r="AA20" s="6" t="s">
        <v>718</v>
      </c>
      <c r="AB20" s="6" t="s">
        <v>718</v>
      </c>
    </row>
    <row r="21" spans="1:29" x14ac:dyDescent="0.3">
      <c r="A21" s="6" t="s">
        <v>718</v>
      </c>
      <c r="B21" s="6" t="s">
        <v>718</v>
      </c>
      <c r="C21" s="6" t="s">
        <v>718</v>
      </c>
      <c r="D21" s="6" t="s">
        <v>718</v>
      </c>
      <c r="E21" s="6" t="s">
        <v>718</v>
      </c>
      <c r="F21" s="6" t="s">
        <v>718</v>
      </c>
      <c r="G21" s="6" t="s">
        <v>718</v>
      </c>
      <c r="H21" s="6" t="s">
        <v>718</v>
      </c>
      <c r="I21" s="6" t="s">
        <v>718</v>
      </c>
      <c r="J21" s="6" t="s">
        <v>718</v>
      </c>
      <c r="M21" s="6" t="s">
        <v>718</v>
      </c>
      <c r="U21" s="6" t="s">
        <v>718</v>
      </c>
      <c r="AA21" s="6" t="s">
        <v>718</v>
      </c>
      <c r="AB21" s="6" t="s">
        <v>718</v>
      </c>
    </row>
    <row r="22" spans="1:29" x14ac:dyDescent="0.3">
      <c r="A22" s="6" t="s">
        <v>718</v>
      </c>
      <c r="B22" s="6" t="s">
        <v>718</v>
      </c>
      <c r="C22" s="6" t="s">
        <v>718</v>
      </c>
      <c r="D22" s="6" t="s">
        <v>718</v>
      </c>
      <c r="E22" s="6" t="s">
        <v>718</v>
      </c>
      <c r="F22" s="6" t="s">
        <v>718</v>
      </c>
      <c r="G22" s="6" t="s">
        <v>718</v>
      </c>
      <c r="H22" s="6" t="s">
        <v>718</v>
      </c>
      <c r="I22" s="6" t="s">
        <v>718</v>
      </c>
      <c r="J22" s="6" t="s">
        <v>718</v>
      </c>
      <c r="M22" s="6" t="s">
        <v>718</v>
      </c>
      <c r="U22" s="6" t="s">
        <v>718</v>
      </c>
      <c r="AA22" s="6" t="s">
        <v>718</v>
      </c>
      <c r="AB22" s="6" t="s">
        <v>718</v>
      </c>
    </row>
    <row r="23" spans="1:29" x14ac:dyDescent="0.3">
      <c r="A23" s="6" t="s">
        <v>718</v>
      </c>
      <c r="B23" s="6" t="s">
        <v>718</v>
      </c>
      <c r="C23" s="6" t="s">
        <v>718</v>
      </c>
      <c r="D23" s="6" t="s">
        <v>718</v>
      </c>
      <c r="E23" s="6" t="s">
        <v>718</v>
      </c>
      <c r="F23" s="6" t="s">
        <v>718</v>
      </c>
      <c r="G23" s="6" t="s">
        <v>718</v>
      </c>
      <c r="H23" s="6" t="s">
        <v>718</v>
      </c>
      <c r="I23" s="6" t="s">
        <v>718</v>
      </c>
      <c r="J23" s="6" t="s">
        <v>718</v>
      </c>
      <c r="M23" s="6" t="s">
        <v>718</v>
      </c>
      <c r="U23" s="6" t="s">
        <v>718</v>
      </c>
      <c r="AA23" s="6" t="s">
        <v>718</v>
      </c>
      <c r="AB23" s="6" t="s">
        <v>718</v>
      </c>
    </row>
    <row r="24" spans="1:29" x14ac:dyDescent="0.3">
      <c r="A24" s="6" t="s">
        <v>718</v>
      </c>
      <c r="B24" s="6" t="s">
        <v>718</v>
      </c>
      <c r="C24" s="6" t="s">
        <v>718</v>
      </c>
      <c r="D24" s="6" t="s">
        <v>718</v>
      </c>
      <c r="E24" s="6" t="s">
        <v>718</v>
      </c>
      <c r="F24" s="6" t="s">
        <v>718</v>
      </c>
      <c r="G24" s="6" t="s">
        <v>718</v>
      </c>
      <c r="H24" s="6" t="s">
        <v>718</v>
      </c>
      <c r="I24" s="6" t="s">
        <v>718</v>
      </c>
      <c r="J24" s="6" t="s">
        <v>718</v>
      </c>
      <c r="M24" s="6" t="s">
        <v>718</v>
      </c>
      <c r="U24" s="6" t="s">
        <v>718</v>
      </c>
      <c r="AA24" s="6" t="s">
        <v>718</v>
      </c>
      <c r="AB24" s="6" t="s">
        <v>718</v>
      </c>
    </row>
    <row r="25" spans="1:29" x14ac:dyDescent="0.3">
      <c r="A25" s="6" t="s">
        <v>718</v>
      </c>
      <c r="B25" s="6" t="s">
        <v>718</v>
      </c>
      <c r="C25" s="6" t="s">
        <v>718</v>
      </c>
      <c r="D25" s="6" t="s">
        <v>718</v>
      </c>
      <c r="E25" s="6" t="s">
        <v>718</v>
      </c>
      <c r="F25" s="6" t="s">
        <v>718</v>
      </c>
      <c r="G25" s="6" t="s">
        <v>718</v>
      </c>
      <c r="H25" s="6" t="s">
        <v>718</v>
      </c>
      <c r="I25" s="6" t="s">
        <v>718</v>
      </c>
      <c r="J25" s="6" t="s">
        <v>718</v>
      </c>
      <c r="M25" s="6" t="s">
        <v>718</v>
      </c>
      <c r="U25" s="6" t="s">
        <v>718</v>
      </c>
      <c r="AA25" s="6" t="s">
        <v>718</v>
      </c>
      <c r="AB25" s="6" t="s">
        <v>718</v>
      </c>
    </row>
    <row r="26" spans="1:29" x14ac:dyDescent="0.3">
      <c r="A26" s="6" t="s">
        <v>718</v>
      </c>
      <c r="B26" s="6" t="s">
        <v>718</v>
      </c>
      <c r="C26" s="6" t="s">
        <v>718</v>
      </c>
      <c r="D26" s="6" t="s">
        <v>718</v>
      </c>
      <c r="E26" s="6" t="s">
        <v>718</v>
      </c>
      <c r="F26" s="6" t="s">
        <v>718</v>
      </c>
      <c r="G26" s="6" t="s">
        <v>718</v>
      </c>
      <c r="H26" s="6" t="s">
        <v>718</v>
      </c>
      <c r="I26" s="6" t="s">
        <v>718</v>
      </c>
      <c r="J26" s="6" t="s">
        <v>718</v>
      </c>
      <c r="M26" s="6" t="s">
        <v>718</v>
      </c>
      <c r="U26" s="6" t="s">
        <v>718</v>
      </c>
      <c r="AA26" s="6" t="s">
        <v>718</v>
      </c>
      <c r="AB26" s="6" t="s">
        <v>718</v>
      </c>
    </row>
    <row r="27" spans="1:29" x14ac:dyDescent="0.3">
      <c r="A27" s="17" t="s">
        <v>1008</v>
      </c>
      <c r="B27" s="17" t="s">
        <v>1008</v>
      </c>
      <c r="C27" s="17" t="s">
        <v>726</v>
      </c>
      <c r="D27" s="17" t="s">
        <v>1008</v>
      </c>
      <c r="E27" s="17" t="s">
        <v>848</v>
      </c>
      <c r="F27" s="17" t="s">
        <v>307</v>
      </c>
      <c r="G27" s="17" t="s">
        <v>850</v>
      </c>
      <c r="H27" s="17" t="s">
        <v>842</v>
      </c>
      <c r="I27" s="17" t="s">
        <v>849</v>
      </c>
      <c r="J27" s="17" t="s">
        <v>726</v>
      </c>
      <c r="K27" s="17"/>
      <c r="L27" s="17"/>
      <c r="M27" s="17" t="s">
        <v>869</v>
      </c>
      <c r="N27" s="17"/>
      <c r="O27" s="17"/>
      <c r="P27" s="17"/>
      <c r="Q27" s="17"/>
      <c r="R27" s="17"/>
      <c r="S27" s="17"/>
      <c r="T27" s="17"/>
      <c r="U27" s="17" t="s">
        <v>1407</v>
      </c>
      <c r="V27" s="17"/>
      <c r="W27" s="17"/>
      <c r="X27" s="17"/>
      <c r="Y27" s="17"/>
      <c r="Z27" s="17"/>
      <c r="AA27" s="17" t="s">
        <v>1405</v>
      </c>
      <c r="AB27" s="17" t="s">
        <v>718</v>
      </c>
      <c r="AC27" s="17"/>
    </row>
    <row r="28" spans="1:29" x14ac:dyDescent="0.3">
      <c r="A28" s="6" t="s">
        <v>718</v>
      </c>
      <c r="B28" s="6" t="s">
        <v>718</v>
      </c>
      <c r="C28" s="6" t="s">
        <v>718</v>
      </c>
      <c r="D28" s="6" t="s">
        <v>718</v>
      </c>
      <c r="E28" s="6" t="s">
        <v>718</v>
      </c>
      <c r="F28" s="6" t="s">
        <v>718</v>
      </c>
      <c r="G28" s="6" t="s">
        <v>718</v>
      </c>
      <c r="H28" s="6" t="s">
        <v>718</v>
      </c>
      <c r="I28" s="6" t="s">
        <v>718</v>
      </c>
      <c r="J28" s="6" t="s">
        <v>718</v>
      </c>
      <c r="M28" s="6" t="s">
        <v>718</v>
      </c>
      <c r="U28" s="6" t="s">
        <v>718</v>
      </c>
      <c r="AA28" s="6" t="s">
        <v>718</v>
      </c>
      <c r="AB28" s="6" t="s">
        <v>718</v>
      </c>
    </row>
    <row r="29" spans="1:29" x14ac:dyDescent="0.3">
      <c r="A29" s="6" t="s">
        <v>1034</v>
      </c>
      <c r="B29" s="6" t="s">
        <v>1034</v>
      </c>
      <c r="C29" s="6" t="s">
        <v>423</v>
      </c>
      <c r="D29" s="6" t="s">
        <v>1034</v>
      </c>
      <c r="E29" s="6" t="s">
        <v>848</v>
      </c>
      <c r="F29" s="6" t="s">
        <v>307</v>
      </c>
      <c r="G29" s="6" t="s">
        <v>850</v>
      </c>
      <c r="H29" s="6" t="s">
        <v>842</v>
      </c>
      <c r="I29" s="6" t="s">
        <v>849</v>
      </c>
      <c r="J29" s="6" t="s">
        <v>423</v>
      </c>
      <c r="M29" s="6" t="s">
        <v>869</v>
      </c>
      <c r="U29" s="6" t="s">
        <v>1407</v>
      </c>
      <c r="AA29" s="6" t="s">
        <v>1405</v>
      </c>
      <c r="AB29" s="6" t="s">
        <v>718</v>
      </c>
    </row>
    <row r="30" spans="1:29" x14ac:dyDescent="0.3">
      <c r="A30" s="6" t="s">
        <v>718</v>
      </c>
      <c r="B30" s="6" t="s">
        <v>718</v>
      </c>
      <c r="C30" s="6" t="s">
        <v>718</v>
      </c>
      <c r="D30" s="6" t="s">
        <v>718</v>
      </c>
      <c r="E30" s="6" t="s">
        <v>718</v>
      </c>
      <c r="F30" s="6" t="s">
        <v>718</v>
      </c>
      <c r="G30" s="6" t="s">
        <v>718</v>
      </c>
      <c r="H30" s="6" t="s">
        <v>718</v>
      </c>
      <c r="I30" s="6" t="s">
        <v>718</v>
      </c>
      <c r="J30" s="6" t="s">
        <v>718</v>
      </c>
      <c r="M30" s="6" t="s">
        <v>718</v>
      </c>
      <c r="U30" s="6" t="s">
        <v>718</v>
      </c>
      <c r="AA30" s="6" t="s">
        <v>718</v>
      </c>
      <c r="AB30" s="6" t="s">
        <v>718</v>
      </c>
    </row>
    <row r="31" spans="1:29" x14ac:dyDescent="0.3">
      <c r="A31" s="6" t="s">
        <v>718</v>
      </c>
      <c r="B31" s="6" t="s">
        <v>718</v>
      </c>
      <c r="C31" s="6" t="s">
        <v>718</v>
      </c>
      <c r="D31" s="6" t="s">
        <v>718</v>
      </c>
      <c r="E31" s="6" t="s">
        <v>718</v>
      </c>
      <c r="F31" s="6" t="s">
        <v>718</v>
      </c>
      <c r="G31" s="6" t="s">
        <v>718</v>
      </c>
      <c r="H31" s="6" t="s">
        <v>718</v>
      </c>
      <c r="I31" s="6" t="s">
        <v>718</v>
      </c>
      <c r="J31" s="6" t="s">
        <v>718</v>
      </c>
      <c r="M31" s="6" t="s">
        <v>718</v>
      </c>
      <c r="U31" s="6" t="s">
        <v>718</v>
      </c>
      <c r="AA31" s="6" t="s">
        <v>718</v>
      </c>
      <c r="AB31" s="6" t="s">
        <v>718</v>
      </c>
    </row>
    <row r="32" spans="1:29" x14ac:dyDescent="0.3">
      <c r="A32" s="6" t="s">
        <v>1037</v>
      </c>
      <c r="B32" s="6" t="s">
        <v>1037</v>
      </c>
      <c r="C32" s="6" t="s">
        <v>364</v>
      </c>
      <c r="D32" s="6" t="s">
        <v>1037</v>
      </c>
      <c r="E32" s="6" t="s">
        <v>848</v>
      </c>
      <c r="F32" s="6" t="s">
        <v>307</v>
      </c>
      <c r="G32" s="6" t="s">
        <v>850</v>
      </c>
      <c r="H32" s="6" t="s">
        <v>842</v>
      </c>
      <c r="I32" s="6" t="s">
        <v>849</v>
      </c>
      <c r="J32" s="6" t="s">
        <v>364</v>
      </c>
      <c r="M32" s="6" t="s">
        <v>869</v>
      </c>
      <c r="U32" s="6" t="s">
        <v>1407</v>
      </c>
      <c r="AA32" s="6" t="s">
        <v>1405</v>
      </c>
      <c r="AB32" s="6" t="s">
        <v>718</v>
      </c>
    </row>
    <row r="33" spans="1:28" x14ac:dyDescent="0.3">
      <c r="A33" s="6" t="s">
        <v>718</v>
      </c>
      <c r="B33" s="6" t="s">
        <v>718</v>
      </c>
      <c r="C33" s="6" t="s">
        <v>718</v>
      </c>
      <c r="D33" s="6" t="s">
        <v>718</v>
      </c>
      <c r="E33" s="6" t="s">
        <v>718</v>
      </c>
      <c r="F33" s="6" t="s">
        <v>718</v>
      </c>
      <c r="G33" s="6" t="s">
        <v>718</v>
      </c>
      <c r="H33" s="6" t="s">
        <v>718</v>
      </c>
      <c r="I33" s="6" t="s">
        <v>718</v>
      </c>
      <c r="J33" s="6" t="s">
        <v>718</v>
      </c>
      <c r="M33" s="6" t="s">
        <v>718</v>
      </c>
      <c r="U33" s="6" t="s">
        <v>718</v>
      </c>
      <c r="AA33" s="6" t="s">
        <v>718</v>
      </c>
      <c r="AB33" s="6" t="s">
        <v>718</v>
      </c>
    </row>
    <row r="34" spans="1:28" x14ac:dyDescent="0.3">
      <c r="A34" s="6" t="s">
        <v>1039</v>
      </c>
      <c r="B34" s="6" t="s">
        <v>1039</v>
      </c>
      <c r="C34" s="6" t="s">
        <v>424</v>
      </c>
      <c r="D34" s="6" t="s">
        <v>1039</v>
      </c>
      <c r="E34" s="6" t="s">
        <v>848</v>
      </c>
      <c r="F34" s="6" t="s">
        <v>307</v>
      </c>
      <c r="G34" s="6" t="s">
        <v>850</v>
      </c>
      <c r="H34" s="6" t="s">
        <v>842</v>
      </c>
      <c r="I34" s="6" t="s">
        <v>849</v>
      </c>
      <c r="J34" s="6" t="s">
        <v>424</v>
      </c>
      <c r="M34" s="6" t="s">
        <v>869</v>
      </c>
      <c r="U34" s="6" t="s">
        <v>1407</v>
      </c>
      <c r="AA34" s="6" t="s">
        <v>1405</v>
      </c>
      <c r="AB34" s="6" t="s">
        <v>718</v>
      </c>
    </row>
    <row r="35" spans="1:28" x14ac:dyDescent="0.3">
      <c r="A35" s="6" t="s">
        <v>1040</v>
      </c>
      <c r="B35" s="6" t="s">
        <v>1040</v>
      </c>
      <c r="C35" s="6" t="s">
        <v>425</v>
      </c>
      <c r="D35" s="6" t="s">
        <v>1040</v>
      </c>
      <c r="E35" s="6" t="s">
        <v>848</v>
      </c>
      <c r="F35" s="6" t="s">
        <v>307</v>
      </c>
      <c r="G35" s="6" t="s">
        <v>850</v>
      </c>
      <c r="H35" s="6" t="s">
        <v>842</v>
      </c>
      <c r="I35" s="6" t="s">
        <v>849</v>
      </c>
      <c r="J35" s="6" t="s">
        <v>425</v>
      </c>
      <c r="M35" s="6" t="s">
        <v>869</v>
      </c>
      <c r="U35" s="6" t="s">
        <v>1407</v>
      </c>
      <c r="AA35" s="6" t="s">
        <v>1405</v>
      </c>
      <c r="AB35" s="6" t="s">
        <v>718</v>
      </c>
    </row>
    <row r="36" spans="1:28" x14ac:dyDescent="0.3">
      <c r="A36" s="6" t="s">
        <v>718</v>
      </c>
      <c r="B36" s="6" t="s">
        <v>718</v>
      </c>
      <c r="C36" s="6" t="s">
        <v>718</v>
      </c>
      <c r="D36" s="6" t="s">
        <v>718</v>
      </c>
      <c r="E36" s="6" t="s">
        <v>718</v>
      </c>
      <c r="F36" s="6" t="s">
        <v>718</v>
      </c>
      <c r="G36" s="6" t="s">
        <v>718</v>
      </c>
      <c r="H36" s="6" t="s">
        <v>718</v>
      </c>
      <c r="I36" s="6" t="s">
        <v>718</v>
      </c>
      <c r="J36" s="6" t="s">
        <v>718</v>
      </c>
      <c r="M36" s="6" t="s">
        <v>718</v>
      </c>
      <c r="U36" s="6" t="s">
        <v>718</v>
      </c>
      <c r="AA36" s="6" t="s">
        <v>718</v>
      </c>
      <c r="AB36" s="6" t="s">
        <v>718</v>
      </c>
    </row>
    <row r="37" spans="1:28" x14ac:dyDescent="0.3">
      <c r="A37" s="6" t="s">
        <v>1042</v>
      </c>
      <c r="B37" s="6" t="s">
        <v>1042</v>
      </c>
      <c r="C37" s="6" t="s">
        <v>426</v>
      </c>
      <c r="D37" s="6" t="s">
        <v>1042</v>
      </c>
      <c r="E37" s="6" t="s">
        <v>848</v>
      </c>
      <c r="F37" s="6" t="s">
        <v>307</v>
      </c>
      <c r="G37" s="6" t="s">
        <v>850</v>
      </c>
      <c r="H37" s="6" t="s">
        <v>842</v>
      </c>
      <c r="I37" s="6" t="s">
        <v>849</v>
      </c>
      <c r="J37" s="6" t="s">
        <v>426</v>
      </c>
      <c r="M37" s="6" t="s">
        <v>869</v>
      </c>
      <c r="U37" s="6" t="s">
        <v>1407</v>
      </c>
      <c r="AA37" s="6" t="s">
        <v>1405</v>
      </c>
      <c r="AB37" s="6" t="s">
        <v>718</v>
      </c>
    </row>
    <row r="38" spans="1:28" x14ac:dyDescent="0.3">
      <c r="A38" s="6" t="s">
        <v>718</v>
      </c>
      <c r="B38" s="6" t="s">
        <v>718</v>
      </c>
      <c r="C38" s="6" t="s">
        <v>718</v>
      </c>
      <c r="D38" s="6" t="s">
        <v>718</v>
      </c>
      <c r="E38" s="6" t="s">
        <v>718</v>
      </c>
      <c r="F38" s="6" t="s">
        <v>718</v>
      </c>
      <c r="G38" s="6" t="s">
        <v>718</v>
      </c>
      <c r="H38" s="6" t="s">
        <v>718</v>
      </c>
      <c r="I38" s="6" t="s">
        <v>718</v>
      </c>
      <c r="J38" s="6" t="s">
        <v>718</v>
      </c>
      <c r="M38" s="6" t="s">
        <v>718</v>
      </c>
      <c r="U38" s="6" t="s">
        <v>718</v>
      </c>
      <c r="AA38" s="6" t="s">
        <v>718</v>
      </c>
      <c r="AB38" s="6" t="s">
        <v>718</v>
      </c>
    </row>
    <row r="39" spans="1:28" x14ac:dyDescent="0.3">
      <c r="A39" s="6" t="s">
        <v>718</v>
      </c>
      <c r="B39" s="6" t="s">
        <v>718</v>
      </c>
      <c r="C39" s="6" t="s">
        <v>718</v>
      </c>
      <c r="D39" s="6" t="s">
        <v>718</v>
      </c>
      <c r="E39" s="6" t="s">
        <v>718</v>
      </c>
      <c r="F39" s="6" t="s">
        <v>718</v>
      </c>
      <c r="G39" s="6" t="s">
        <v>718</v>
      </c>
      <c r="H39" s="6" t="s">
        <v>718</v>
      </c>
      <c r="I39" s="6" t="s">
        <v>718</v>
      </c>
      <c r="J39" s="6" t="s">
        <v>718</v>
      </c>
      <c r="M39" s="6" t="s">
        <v>718</v>
      </c>
      <c r="U39" s="6" t="s">
        <v>718</v>
      </c>
      <c r="AA39" s="6" t="s">
        <v>718</v>
      </c>
      <c r="AB39" s="6" t="s">
        <v>718</v>
      </c>
    </row>
    <row r="40" spans="1:28" x14ac:dyDescent="0.3">
      <c r="A40" s="6" t="s">
        <v>718</v>
      </c>
      <c r="B40" s="6" t="s">
        <v>718</v>
      </c>
      <c r="C40" s="6" t="s">
        <v>718</v>
      </c>
      <c r="D40" s="6" t="s">
        <v>718</v>
      </c>
      <c r="E40" s="6" t="s">
        <v>718</v>
      </c>
      <c r="F40" s="6" t="s">
        <v>718</v>
      </c>
      <c r="G40" s="6" t="s">
        <v>718</v>
      </c>
      <c r="H40" s="6" t="s">
        <v>718</v>
      </c>
      <c r="I40" s="6" t="s">
        <v>718</v>
      </c>
      <c r="J40" s="6" t="s">
        <v>718</v>
      </c>
      <c r="M40" s="6" t="s">
        <v>718</v>
      </c>
      <c r="U40" s="6" t="s">
        <v>718</v>
      </c>
      <c r="AA40" s="6" t="s">
        <v>718</v>
      </c>
      <c r="AB40" s="6" t="s">
        <v>718</v>
      </c>
    </row>
    <row r="41" spans="1:28" x14ac:dyDescent="0.3">
      <c r="A41" s="6" t="s">
        <v>718</v>
      </c>
      <c r="B41" s="6" t="s">
        <v>718</v>
      </c>
      <c r="C41" s="6" t="s">
        <v>718</v>
      </c>
      <c r="D41" s="6" t="s">
        <v>718</v>
      </c>
      <c r="E41" s="6" t="s">
        <v>718</v>
      </c>
      <c r="F41" s="6" t="s">
        <v>718</v>
      </c>
      <c r="G41" s="6" t="s">
        <v>718</v>
      </c>
      <c r="H41" s="6" t="s">
        <v>718</v>
      </c>
      <c r="I41" s="6" t="s">
        <v>718</v>
      </c>
      <c r="J41" s="6" t="s">
        <v>718</v>
      </c>
      <c r="M41" s="6" t="s">
        <v>718</v>
      </c>
      <c r="U41" s="6" t="s">
        <v>718</v>
      </c>
      <c r="AA41" s="6" t="s">
        <v>718</v>
      </c>
      <c r="AB41" s="6" t="s">
        <v>718</v>
      </c>
    </row>
    <row r="42" spans="1:28" x14ac:dyDescent="0.3">
      <c r="A42" s="6" t="s">
        <v>718</v>
      </c>
      <c r="B42" s="6" t="s">
        <v>718</v>
      </c>
      <c r="C42" s="6" t="s">
        <v>718</v>
      </c>
      <c r="D42" s="6" t="s">
        <v>718</v>
      </c>
      <c r="E42" s="6" t="s">
        <v>718</v>
      </c>
      <c r="F42" s="6" t="s">
        <v>718</v>
      </c>
      <c r="G42" s="6" t="s">
        <v>718</v>
      </c>
      <c r="H42" s="6" t="s">
        <v>718</v>
      </c>
      <c r="I42" s="6" t="s">
        <v>718</v>
      </c>
      <c r="J42" s="6" t="s">
        <v>718</v>
      </c>
      <c r="M42" s="6" t="s">
        <v>718</v>
      </c>
      <c r="U42" s="6" t="s">
        <v>718</v>
      </c>
      <c r="AA42" s="6" t="s">
        <v>718</v>
      </c>
      <c r="AB42" s="6" t="s">
        <v>718</v>
      </c>
    </row>
    <row r="43" spans="1:28" x14ac:dyDescent="0.3">
      <c r="A43" s="6" t="s">
        <v>718</v>
      </c>
      <c r="B43" s="6" t="s">
        <v>718</v>
      </c>
      <c r="C43" s="6" t="s">
        <v>718</v>
      </c>
      <c r="D43" s="6" t="s">
        <v>718</v>
      </c>
      <c r="E43" s="6" t="s">
        <v>718</v>
      </c>
      <c r="F43" s="6" t="s">
        <v>718</v>
      </c>
      <c r="G43" s="6" t="s">
        <v>718</v>
      </c>
      <c r="H43" s="6" t="s">
        <v>718</v>
      </c>
      <c r="I43" s="6" t="s">
        <v>718</v>
      </c>
      <c r="J43" s="6" t="s">
        <v>718</v>
      </c>
      <c r="M43" s="6" t="s">
        <v>718</v>
      </c>
      <c r="U43" s="6" t="s">
        <v>718</v>
      </c>
      <c r="AA43" s="6" t="s">
        <v>718</v>
      </c>
      <c r="AB43" s="6" t="s">
        <v>718</v>
      </c>
    </row>
    <row r="44" spans="1:28" x14ac:dyDescent="0.3">
      <c r="A44" s="6" t="s">
        <v>718</v>
      </c>
      <c r="B44" s="6" t="s">
        <v>718</v>
      </c>
      <c r="C44" s="6" t="s">
        <v>718</v>
      </c>
      <c r="D44" s="6" t="s">
        <v>718</v>
      </c>
      <c r="E44" s="6" t="s">
        <v>718</v>
      </c>
      <c r="F44" s="6" t="s">
        <v>718</v>
      </c>
      <c r="G44" s="6" t="s">
        <v>718</v>
      </c>
      <c r="H44" s="6" t="s">
        <v>718</v>
      </c>
      <c r="I44" s="6" t="s">
        <v>718</v>
      </c>
      <c r="J44" s="6" t="s">
        <v>718</v>
      </c>
      <c r="M44" s="6" t="s">
        <v>718</v>
      </c>
      <c r="U44" s="6" t="s">
        <v>718</v>
      </c>
      <c r="AA44" s="6" t="s">
        <v>718</v>
      </c>
      <c r="AB44" s="6" t="s">
        <v>718</v>
      </c>
    </row>
    <row r="45" spans="1:28" x14ac:dyDescent="0.3">
      <c r="A45" s="6" t="s">
        <v>1050</v>
      </c>
      <c r="B45" s="6" t="s">
        <v>1050</v>
      </c>
      <c r="C45" s="6" t="s">
        <v>730</v>
      </c>
      <c r="D45" s="6" t="s">
        <v>1050</v>
      </c>
      <c r="E45" s="6" t="s">
        <v>848</v>
      </c>
      <c r="F45" s="6" t="s">
        <v>308</v>
      </c>
      <c r="G45" s="6" t="s">
        <v>850</v>
      </c>
      <c r="H45" s="6" t="s">
        <v>842</v>
      </c>
      <c r="I45" s="6" t="s">
        <v>849</v>
      </c>
      <c r="J45" s="6" t="s">
        <v>730</v>
      </c>
      <c r="M45" s="6" t="s">
        <v>869</v>
      </c>
      <c r="U45" s="6" t="s">
        <v>1407</v>
      </c>
      <c r="AA45" s="6" t="s">
        <v>1405</v>
      </c>
      <c r="AB45" s="6" t="s">
        <v>718</v>
      </c>
    </row>
    <row r="46" spans="1:28" x14ac:dyDescent="0.3">
      <c r="A46" s="6" t="s">
        <v>1051</v>
      </c>
      <c r="B46" s="6" t="s">
        <v>1051</v>
      </c>
      <c r="C46" s="6" t="s">
        <v>732</v>
      </c>
      <c r="D46" s="6" t="s">
        <v>1051</v>
      </c>
      <c r="E46" s="6" t="s">
        <v>848</v>
      </c>
      <c r="F46" s="6" t="s">
        <v>308</v>
      </c>
      <c r="G46" s="6" t="s">
        <v>850</v>
      </c>
      <c r="H46" s="6" t="s">
        <v>842</v>
      </c>
      <c r="I46" s="6" t="s">
        <v>849</v>
      </c>
      <c r="J46" s="6" t="s">
        <v>732</v>
      </c>
      <c r="M46" s="6" t="s">
        <v>869</v>
      </c>
      <c r="U46" s="6" t="s">
        <v>1407</v>
      </c>
      <c r="AA46" s="6" t="s">
        <v>1405</v>
      </c>
      <c r="AB46" s="6" t="s">
        <v>718</v>
      </c>
    </row>
    <row r="47" spans="1:28" x14ac:dyDescent="0.3">
      <c r="A47" s="6" t="s">
        <v>718</v>
      </c>
      <c r="B47" s="6" t="s">
        <v>718</v>
      </c>
      <c r="C47" s="6" t="s">
        <v>718</v>
      </c>
      <c r="D47" s="6" t="s">
        <v>718</v>
      </c>
      <c r="E47" s="6" t="s">
        <v>718</v>
      </c>
      <c r="F47" s="6" t="s">
        <v>718</v>
      </c>
      <c r="G47" s="6" t="s">
        <v>718</v>
      </c>
      <c r="H47" s="6" t="s">
        <v>718</v>
      </c>
      <c r="I47" s="6" t="s">
        <v>718</v>
      </c>
      <c r="J47" s="6" t="s">
        <v>718</v>
      </c>
      <c r="M47" s="6" t="s">
        <v>718</v>
      </c>
      <c r="U47" s="6" t="s">
        <v>718</v>
      </c>
      <c r="AA47" s="6" t="s">
        <v>718</v>
      </c>
      <c r="AB47" s="6" t="s">
        <v>718</v>
      </c>
    </row>
    <row r="48" spans="1:28" x14ac:dyDescent="0.3">
      <c r="A48" s="6" t="s">
        <v>1053</v>
      </c>
      <c r="B48" s="6" t="s">
        <v>1053</v>
      </c>
      <c r="C48" s="6" t="s">
        <v>734</v>
      </c>
      <c r="D48" s="6" t="s">
        <v>1053</v>
      </c>
      <c r="E48" s="6" t="s">
        <v>848</v>
      </c>
      <c r="F48" s="6" t="s">
        <v>308</v>
      </c>
      <c r="G48" s="6" t="s">
        <v>850</v>
      </c>
      <c r="H48" s="6" t="s">
        <v>842</v>
      </c>
      <c r="I48" s="6" t="s">
        <v>849</v>
      </c>
      <c r="J48" s="6" t="s">
        <v>734</v>
      </c>
      <c r="M48" s="6" t="s">
        <v>869</v>
      </c>
      <c r="U48" s="6" t="s">
        <v>1407</v>
      </c>
      <c r="AA48" s="6" t="s">
        <v>1405</v>
      </c>
      <c r="AB48" s="6" t="s">
        <v>718</v>
      </c>
    </row>
    <row r="49" spans="1:28" x14ac:dyDescent="0.3">
      <c r="A49" s="6" t="s">
        <v>1054</v>
      </c>
      <c r="B49" s="6" t="s">
        <v>1054</v>
      </c>
      <c r="C49" s="6" t="s">
        <v>735</v>
      </c>
      <c r="D49" s="6" t="s">
        <v>1054</v>
      </c>
      <c r="E49" s="6" t="s">
        <v>848</v>
      </c>
      <c r="F49" s="6" t="s">
        <v>308</v>
      </c>
      <c r="G49" s="6" t="s">
        <v>850</v>
      </c>
      <c r="H49" s="6" t="s">
        <v>842</v>
      </c>
      <c r="I49" s="6" t="s">
        <v>849</v>
      </c>
      <c r="J49" s="6" t="s">
        <v>735</v>
      </c>
      <c r="M49" s="6" t="s">
        <v>869</v>
      </c>
      <c r="U49" s="6" t="s">
        <v>1407</v>
      </c>
      <c r="AA49" s="6" t="s">
        <v>1405</v>
      </c>
      <c r="AB49" s="6" t="s">
        <v>718</v>
      </c>
    </row>
    <row r="50" spans="1:28" x14ac:dyDescent="0.3">
      <c r="A50" s="6" t="s">
        <v>718</v>
      </c>
      <c r="B50" s="6" t="s">
        <v>718</v>
      </c>
      <c r="C50" s="6" t="s">
        <v>718</v>
      </c>
      <c r="D50" s="6" t="s">
        <v>718</v>
      </c>
      <c r="E50" s="6" t="s">
        <v>718</v>
      </c>
      <c r="F50" s="6" t="s">
        <v>718</v>
      </c>
      <c r="G50" s="6" t="s">
        <v>718</v>
      </c>
      <c r="H50" s="6" t="s">
        <v>718</v>
      </c>
      <c r="I50" s="6" t="s">
        <v>718</v>
      </c>
      <c r="J50" s="6" t="s">
        <v>718</v>
      </c>
      <c r="M50" s="6" t="s">
        <v>718</v>
      </c>
      <c r="U50" s="6" t="s">
        <v>718</v>
      </c>
      <c r="AA50" s="6" t="s">
        <v>718</v>
      </c>
      <c r="AB50" s="6" t="s">
        <v>718</v>
      </c>
    </row>
    <row r="51" spans="1:28" x14ac:dyDescent="0.3">
      <c r="A51" s="6" t="s">
        <v>718</v>
      </c>
      <c r="B51" s="6" t="s">
        <v>718</v>
      </c>
      <c r="C51" s="6" t="s">
        <v>718</v>
      </c>
      <c r="D51" s="6" t="s">
        <v>718</v>
      </c>
      <c r="E51" s="6" t="s">
        <v>718</v>
      </c>
      <c r="F51" s="6" t="s">
        <v>718</v>
      </c>
      <c r="G51" s="6" t="s">
        <v>718</v>
      </c>
      <c r="H51" s="6" t="s">
        <v>718</v>
      </c>
      <c r="I51" s="6" t="s">
        <v>718</v>
      </c>
      <c r="J51" s="6" t="s">
        <v>718</v>
      </c>
      <c r="M51" s="6" t="s">
        <v>718</v>
      </c>
      <c r="U51" s="6" t="s">
        <v>718</v>
      </c>
      <c r="AA51" s="6" t="s">
        <v>718</v>
      </c>
      <c r="AB51" s="6" t="s">
        <v>718</v>
      </c>
    </row>
    <row r="52" spans="1:28" x14ac:dyDescent="0.3">
      <c r="A52" s="6" t="s">
        <v>718</v>
      </c>
      <c r="B52" s="6" t="s">
        <v>718</v>
      </c>
      <c r="C52" s="6" t="s">
        <v>718</v>
      </c>
      <c r="D52" s="6" t="s">
        <v>718</v>
      </c>
      <c r="E52" s="6" t="s">
        <v>718</v>
      </c>
      <c r="F52" s="6" t="s">
        <v>718</v>
      </c>
      <c r="G52" s="6" t="s">
        <v>718</v>
      </c>
      <c r="H52" s="6" t="s">
        <v>718</v>
      </c>
      <c r="I52" s="6" t="s">
        <v>718</v>
      </c>
      <c r="J52" s="6" t="s">
        <v>718</v>
      </c>
      <c r="M52" s="6" t="s">
        <v>718</v>
      </c>
      <c r="U52" s="6" t="s">
        <v>718</v>
      </c>
      <c r="AA52" s="6" t="s">
        <v>718</v>
      </c>
      <c r="AB52" s="6" t="s">
        <v>718</v>
      </c>
    </row>
    <row r="53" spans="1:28" x14ac:dyDescent="0.3">
      <c r="A53" s="6" t="s">
        <v>718</v>
      </c>
      <c r="B53" s="6" t="s">
        <v>718</v>
      </c>
      <c r="C53" s="6" t="s">
        <v>718</v>
      </c>
      <c r="D53" s="6" t="s">
        <v>718</v>
      </c>
      <c r="E53" s="6" t="s">
        <v>718</v>
      </c>
      <c r="F53" s="6" t="s">
        <v>718</v>
      </c>
      <c r="G53" s="6" t="s">
        <v>718</v>
      </c>
      <c r="H53" s="6" t="s">
        <v>718</v>
      </c>
      <c r="I53" s="6" t="s">
        <v>718</v>
      </c>
      <c r="J53" s="6" t="s">
        <v>718</v>
      </c>
      <c r="M53" s="6" t="s">
        <v>718</v>
      </c>
      <c r="U53" s="6" t="s">
        <v>718</v>
      </c>
      <c r="AA53" s="6" t="s">
        <v>718</v>
      </c>
      <c r="AB53" s="6" t="s">
        <v>718</v>
      </c>
    </row>
    <row r="54" spans="1:28" x14ac:dyDescent="0.3">
      <c r="A54" s="6" t="s">
        <v>718</v>
      </c>
      <c r="B54" s="6" t="s">
        <v>718</v>
      </c>
      <c r="C54" s="6" t="s">
        <v>718</v>
      </c>
      <c r="D54" s="6" t="s">
        <v>718</v>
      </c>
      <c r="E54" s="6" t="s">
        <v>718</v>
      </c>
      <c r="F54" s="6" t="s">
        <v>718</v>
      </c>
      <c r="G54" s="6" t="s">
        <v>718</v>
      </c>
      <c r="H54" s="6" t="s">
        <v>718</v>
      </c>
      <c r="I54" s="6" t="s">
        <v>718</v>
      </c>
      <c r="J54" s="6" t="s">
        <v>718</v>
      </c>
      <c r="M54" s="6" t="s">
        <v>718</v>
      </c>
      <c r="U54" s="6" t="s">
        <v>718</v>
      </c>
      <c r="AA54" s="6" t="s">
        <v>718</v>
      </c>
      <c r="AB54" s="6" t="s">
        <v>718</v>
      </c>
    </row>
    <row r="55" spans="1:28" x14ac:dyDescent="0.3">
      <c r="A55" s="6" t="s">
        <v>718</v>
      </c>
      <c r="B55" s="6" t="s">
        <v>718</v>
      </c>
      <c r="C55" s="6" t="s">
        <v>718</v>
      </c>
      <c r="D55" s="6" t="s">
        <v>718</v>
      </c>
      <c r="E55" s="6" t="s">
        <v>718</v>
      </c>
      <c r="F55" s="6" t="s">
        <v>718</v>
      </c>
      <c r="G55" s="6" t="s">
        <v>718</v>
      </c>
      <c r="H55" s="6" t="s">
        <v>718</v>
      </c>
      <c r="I55" s="6" t="s">
        <v>718</v>
      </c>
      <c r="J55" s="6" t="s">
        <v>718</v>
      </c>
      <c r="M55" s="6" t="s">
        <v>718</v>
      </c>
      <c r="U55" s="6" t="s">
        <v>718</v>
      </c>
      <c r="AA55" s="6" t="s">
        <v>718</v>
      </c>
      <c r="AB55" s="6" t="s">
        <v>718</v>
      </c>
    </row>
    <row r="56" spans="1:28" x14ac:dyDescent="0.3">
      <c r="A56" s="6" t="s">
        <v>718</v>
      </c>
      <c r="B56" s="6" t="s">
        <v>718</v>
      </c>
      <c r="C56" s="6" t="s">
        <v>718</v>
      </c>
      <c r="D56" s="6" t="s">
        <v>718</v>
      </c>
      <c r="E56" s="6" t="s">
        <v>718</v>
      </c>
      <c r="F56" s="6" t="s">
        <v>718</v>
      </c>
      <c r="G56" s="6" t="s">
        <v>718</v>
      </c>
      <c r="H56" s="6" t="s">
        <v>718</v>
      </c>
      <c r="I56" s="6" t="s">
        <v>718</v>
      </c>
      <c r="J56" s="6" t="s">
        <v>718</v>
      </c>
      <c r="M56" s="6" t="s">
        <v>718</v>
      </c>
      <c r="U56" s="6" t="s">
        <v>718</v>
      </c>
      <c r="AA56" s="6" t="s">
        <v>718</v>
      </c>
      <c r="AB56" s="6" t="s">
        <v>718</v>
      </c>
    </row>
    <row r="57" spans="1:28" x14ac:dyDescent="0.3">
      <c r="A57" s="6" t="s">
        <v>1062</v>
      </c>
      <c r="B57" s="6" t="s">
        <v>1062</v>
      </c>
      <c r="C57" s="6" t="s">
        <v>745</v>
      </c>
      <c r="D57" s="6" t="s">
        <v>1062</v>
      </c>
      <c r="E57" s="6" t="s">
        <v>848</v>
      </c>
      <c r="F57" s="6" t="s">
        <v>307</v>
      </c>
      <c r="G57" s="6" t="s">
        <v>850</v>
      </c>
      <c r="H57" s="6" t="s">
        <v>842</v>
      </c>
      <c r="I57" s="6" t="s">
        <v>849</v>
      </c>
      <c r="J57" s="6" t="s">
        <v>745</v>
      </c>
      <c r="M57" s="6" t="s">
        <v>869</v>
      </c>
      <c r="U57" s="6" t="s">
        <v>1407</v>
      </c>
      <c r="AA57" s="6" t="s">
        <v>1405</v>
      </c>
      <c r="AB57" s="6" t="s">
        <v>718</v>
      </c>
    </row>
    <row r="58" spans="1:28" x14ac:dyDescent="0.3">
      <c r="A58" s="6" t="s">
        <v>718</v>
      </c>
      <c r="B58" s="6" t="s">
        <v>718</v>
      </c>
      <c r="C58" s="6" t="s">
        <v>718</v>
      </c>
      <c r="D58" s="6" t="s">
        <v>718</v>
      </c>
      <c r="E58" s="6" t="s">
        <v>718</v>
      </c>
      <c r="F58" s="6" t="s">
        <v>718</v>
      </c>
      <c r="G58" s="6" t="s">
        <v>718</v>
      </c>
      <c r="H58" s="6" t="s">
        <v>718</v>
      </c>
      <c r="I58" s="6" t="s">
        <v>718</v>
      </c>
      <c r="J58" s="6" t="s">
        <v>718</v>
      </c>
      <c r="M58" s="6" t="s">
        <v>718</v>
      </c>
      <c r="U58" s="6" t="s">
        <v>718</v>
      </c>
      <c r="AA58" s="6" t="s">
        <v>718</v>
      </c>
      <c r="AB58" s="6" t="s">
        <v>718</v>
      </c>
    </row>
    <row r="59" spans="1:28" x14ac:dyDescent="0.3">
      <c r="A59" s="6" t="s">
        <v>1064</v>
      </c>
      <c r="B59" s="6" t="s">
        <v>1064</v>
      </c>
      <c r="C59" s="6" t="s">
        <v>747</v>
      </c>
      <c r="D59" s="6" t="s">
        <v>1064</v>
      </c>
      <c r="E59" s="6" t="s">
        <v>848</v>
      </c>
      <c r="F59" s="6" t="s">
        <v>307</v>
      </c>
      <c r="G59" s="6" t="s">
        <v>850</v>
      </c>
      <c r="H59" s="6" t="s">
        <v>842</v>
      </c>
      <c r="I59" s="6" t="s">
        <v>849</v>
      </c>
      <c r="J59" s="6" t="s">
        <v>747</v>
      </c>
      <c r="M59" s="6" t="s">
        <v>869</v>
      </c>
      <c r="U59" s="6" t="s">
        <v>1407</v>
      </c>
      <c r="AA59" s="6" t="s">
        <v>1405</v>
      </c>
      <c r="AB59" s="6" t="s">
        <v>718</v>
      </c>
    </row>
    <row r="60" spans="1:28" x14ac:dyDescent="0.3">
      <c r="A60" s="6" t="s">
        <v>718</v>
      </c>
      <c r="B60" s="6" t="s">
        <v>718</v>
      </c>
      <c r="C60" s="6" t="s">
        <v>718</v>
      </c>
      <c r="D60" s="6" t="s">
        <v>718</v>
      </c>
      <c r="E60" s="6" t="s">
        <v>718</v>
      </c>
      <c r="F60" s="6" t="s">
        <v>718</v>
      </c>
      <c r="G60" s="6" t="s">
        <v>718</v>
      </c>
      <c r="H60" s="6" t="s">
        <v>718</v>
      </c>
      <c r="I60" s="6" t="s">
        <v>718</v>
      </c>
      <c r="J60" s="6" t="s">
        <v>718</v>
      </c>
      <c r="M60" s="6" t="s">
        <v>718</v>
      </c>
      <c r="U60" s="6" t="s">
        <v>718</v>
      </c>
      <c r="AA60" s="6" t="s">
        <v>718</v>
      </c>
      <c r="AB60" s="6" t="s">
        <v>718</v>
      </c>
    </row>
    <row r="61" spans="1:28" x14ac:dyDescent="0.3">
      <c r="A61" s="6" t="s">
        <v>1066</v>
      </c>
      <c r="B61" s="6" t="s">
        <v>1066</v>
      </c>
      <c r="C61" s="6" t="s">
        <v>749</v>
      </c>
      <c r="D61" s="6" t="s">
        <v>1066</v>
      </c>
      <c r="E61" s="6" t="s">
        <v>848</v>
      </c>
      <c r="F61" s="6" t="s">
        <v>307</v>
      </c>
      <c r="G61" s="6" t="s">
        <v>850</v>
      </c>
      <c r="H61" s="6" t="s">
        <v>842</v>
      </c>
      <c r="I61" s="6" t="s">
        <v>849</v>
      </c>
      <c r="J61" s="6" t="s">
        <v>749</v>
      </c>
      <c r="M61" s="6" t="s">
        <v>869</v>
      </c>
      <c r="U61" s="6" t="s">
        <v>1407</v>
      </c>
      <c r="AA61" s="6" t="s">
        <v>1405</v>
      </c>
      <c r="AB61" s="6" t="s">
        <v>718</v>
      </c>
    </row>
    <row r="62" spans="1:28" x14ac:dyDescent="0.3">
      <c r="A62" s="6" t="s">
        <v>718</v>
      </c>
      <c r="B62" s="6" t="s">
        <v>718</v>
      </c>
      <c r="C62" s="6" t="s">
        <v>718</v>
      </c>
      <c r="D62" s="6" t="s">
        <v>718</v>
      </c>
      <c r="E62" s="6" t="s">
        <v>718</v>
      </c>
      <c r="F62" s="6" t="s">
        <v>718</v>
      </c>
      <c r="G62" s="6" t="s">
        <v>718</v>
      </c>
      <c r="H62" s="6" t="s">
        <v>718</v>
      </c>
      <c r="I62" s="6" t="s">
        <v>718</v>
      </c>
      <c r="J62" s="6" t="s">
        <v>718</v>
      </c>
      <c r="M62" s="6" t="s">
        <v>718</v>
      </c>
      <c r="U62" s="6" t="s">
        <v>718</v>
      </c>
      <c r="AA62" s="6" t="s">
        <v>718</v>
      </c>
      <c r="AB62" s="6" t="s">
        <v>718</v>
      </c>
    </row>
    <row r="63" spans="1:28" x14ac:dyDescent="0.3">
      <c r="A63" s="6" t="s">
        <v>718</v>
      </c>
      <c r="B63" s="6" t="s">
        <v>718</v>
      </c>
      <c r="C63" s="6" t="s">
        <v>718</v>
      </c>
      <c r="D63" s="6" t="s">
        <v>718</v>
      </c>
      <c r="E63" s="6" t="s">
        <v>718</v>
      </c>
      <c r="F63" s="6" t="s">
        <v>718</v>
      </c>
      <c r="G63" s="6" t="s">
        <v>718</v>
      </c>
      <c r="H63" s="6" t="s">
        <v>718</v>
      </c>
      <c r="I63" s="6" t="s">
        <v>718</v>
      </c>
      <c r="J63" s="6" t="s">
        <v>718</v>
      </c>
      <c r="M63" s="6" t="s">
        <v>718</v>
      </c>
      <c r="U63" s="6" t="s">
        <v>718</v>
      </c>
      <c r="AA63" s="6" t="s">
        <v>718</v>
      </c>
      <c r="AB63" s="6" t="s">
        <v>718</v>
      </c>
    </row>
    <row r="64" spans="1:28" x14ac:dyDescent="0.3">
      <c r="A64" s="6" t="s">
        <v>718</v>
      </c>
      <c r="B64" s="6" t="s">
        <v>718</v>
      </c>
      <c r="C64" s="6" t="s">
        <v>718</v>
      </c>
      <c r="D64" s="6" t="s">
        <v>718</v>
      </c>
      <c r="E64" s="6" t="s">
        <v>718</v>
      </c>
      <c r="F64" s="6" t="s">
        <v>718</v>
      </c>
      <c r="G64" s="6" t="s">
        <v>718</v>
      </c>
      <c r="H64" s="6" t="s">
        <v>718</v>
      </c>
      <c r="I64" s="6" t="s">
        <v>718</v>
      </c>
      <c r="J64" s="6" t="s">
        <v>718</v>
      </c>
      <c r="M64" s="6" t="s">
        <v>718</v>
      </c>
      <c r="U64" s="6" t="s">
        <v>718</v>
      </c>
      <c r="AA64" s="6" t="s">
        <v>718</v>
      </c>
      <c r="AB64" s="6" t="s">
        <v>718</v>
      </c>
    </row>
    <row r="65" spans="1:28" x14ac:dyDescent="0.3">
      <c r="A65" s="6" t="s">
        <v>718</v>
      </c>
      <c r="B65" s="6" t="s">
        <v>718</v>
      </c>
      <c r="C65" s="6" t="s">
        <v>718</v>
      </c>
      <c r="D65" s="6" t="s">
        <v>718</v>
      </c>
      <c r="E65" s="6" t="s">
        <v>718</v>
      </c>
      <c r="F65" s="6" t="s">
        <v>718</v>
      </c>
      <c r="G65" s="6" t="s">
        <v>718</v>
      </c>
      <c r="H65" s="6" t="s">
        <v>718</v>
      </c>
      <c r="I65" s="6" t="s">
        <v>718</v>
      </c>
      <c r="J65" s="6" t="s">
        <v>718</v>
      </c>
      <c r="M65" s="6" t="s">
        <v>718</v>
      </c>
      <c r="U65" s="6" t="s">
        <v>718</v>
      </c>
      <c r="AA65" s="6" t="s">
        <v>718</v>
      </c>
      <c r="AB65" s="6" t="s">
        <v>718</v>
      </c>
    </row>
    <row r="66" spans="1:28" x14ac:dyDescent="0.3">
      <c r="A66" s="6" t="s">
        <v>718</v>
      </c>
      <c r="B66" s="6" t="s">
        <v>718</v>
      </c>
      <c r="C66" s="6" t="s">
        <v>718</v>
      </c>
      <c r="D66" s="6" t="s">
        <v>718</v>
      </c>
      <c r="E66" s="6" t="s">
        <v>718</v>
      </c>
      <c r="F66" s="6" t="s">
        <v>718</v>
      </c>
      <c r="G66" s="6" t="s">
        <v>718</v>
      </c>
      <c r="H66" s="6" t="s">
        <v>718</v>
      </c>
      <c r="I66" s="6" t="s">
        <v>718</v>
      </c>
      <c r="J66" s="6" t="s">
        <v>718</v>
      </c>
      <c r="M66" s="6" t="s">
        <v>718</v>
      </c>
      <c r="U66" s="6" t="s">
        <v>718</v>
      </c>
      <c r="AA66" s="6" t="s">
        <v>718</v>
      </c>
      <c r="AB66" s="6" t="s">
        <v>718</v>
      </c>
    </row>
    <row r="67" spans="1:28" x14ac:dyDescent="0.3">
      <c r="A67" s="6" t="s">
        <v>718</v>
      </c>
      <c r="B67" s="6" t="s">
        <v>718</v>
      </c>
      <c r="C67" s="6" t="s">
        <v>718</v>
      </c>
      <c r="D67" s="6" t="s">
        <v>718</v>
      </c>
      <c r="E67" s="6" t="s">
        <v>718</v>
      </c>
      <c r="F67" s="6" t="s">
        <v>718</v>
      </c>
      <c r="G67" s="6" t="s">
        <v>718</v>
      </c>
      <c r="H67" s="6" t="s">
        <v>718</v>
      </c>
      <c r="I67" s="6" t="s">
        <v>718</v>
      </c>
      <c r="J67" s="6" t="s">
        <v>718</v>
      </c>
      <c r="M67" s="6" t="s">
        <v>718</v>
      </c>
      <c r="U67" s="6" t="s">
        <v>718</v>
      </c>
      <c r="AA67" s="6" t="s">
        <v>718</v>
      </c>
      <c r="AB67" s="6" t="s">
        <v>718</v>
      </c>
    </row>
    <row r="68" spans="1:28" x14ac:dyDescent="0.3">
      <c r="A68" s="6" t="s">
        <v>718</v>
      </c>
      <c r="B68" s="6" t="s">
        <v>718</v>
      </c>
      <c r="C68" s="6" t="s">
        <v>718</v>
      </c>
      <c r="D68" s="6" t="s">
        <v>718</v>
      </c>
      <c r="E68" s="6" t="s">
        <v>718</v>
      </c>
      <c r="F68" s="6" t="s">
        <v>718</v>
      </c>
      <c r="G68" s="6" t="s">
        <v>718</v>
      </c>
      <c r="H68" s="6" t="s">
        <v>718</v>
      </c>
      <c r="I68" s="6" t="s">
        <v>718</v>
      </c>
      <c r="J68" s="6" t="s">
        <v>718</v>
      </c>
      <c r="M68" s="6" t="s">
        <v>718</v>
      </c>
      <c r="U68" s="6" t="s">
        <v>718</v>
      </c>
      <c r="AA68" s="6" t="s">
        <v>718</v>
      </c>
      <c r="AB68" s="6" t="s">
        <v>718</v>
      </c>
    </row>
    <row r="69" spans="1:28" x14ac:dyDescent="0.3">
      <c r="A69" s="6" t="s">
        <v>1074</v>
      </c>
      <c r="B69" s="6" t="s">
        <v>1074</v>
      </c>
      <c r="C69" s="6" t="s">
        <v>757</v>
      </c>
      <c r="D69" s="6" t="s">
        <v>1074</v>
      </c>
      <c r="E69" s="6" t="s">
        <v>848</v>
      </c>
      <c r="F69" s="6" t="s">
        <v>307</v>
      </c>
      <c r="G69" s="6" t="s">
        <v>850</v>
      </c>
      <c r="H69" s="6" t="s">
        <v>842</v>
      </c>
      <c r="I69" s="6" t="s">
        <v>849</v>
      </c>
      <c r="J69" s="6" t="s">
        <v>757</v>
      </c>
      <c r="M69" s="6" t="s">
        <v>869</v>
      </c>
      <c r="U69" s="6" t="s">
        <v>1407</v>
      </c>
      <c r="AA69" s="6" t="s">
        <v>1405</v>
      </c>
      <c r="AB69" s="6" t="s">
        <v>718</v>
      </c>
    </row>
    <row r="70" spans="1:28" x14ac:dyDescent="0.3">
      <c r="A70" s="6" t="s">
        <v>1075</v>
      </c>
      <c r="B70" s="6" t="s">
        <v>1075</v>
      </c>
      <c r="C70" s="6" t="s">
        <v>758</v>
      </c>
      <c r="D70" s="6" t="s">
        <v>1075</v>
      </c>
      <c r="E70" s="6" t="s">
        <v>848</v>
      </c>
      <c r="F70" s="6" t="s">
        <v>307</v>
      </c>
      <c r="G70" s="6" t="s">
        <v>850</v>
      </c>
      <c r="H70" s="6" t="s">
        <v>842</v>
      </c>
      <c r="I70" s="6" t="s">
        <v>849</v>
      </c>
      <c r="J70" s="6" t="s">
        <v>758</v>
      </c>
      <c r="M70" s="6" t="s">
        <v>869</v>
      </c>
      <c r="U70" s="6" t="s">
        <v>1407</v>
      </c>
      <c r="AA70" s="6" t="s">
        <v>1405</v>
      </c>
      <c r="AB70" s="6" t="s">
        <v>718</v>
      </c>
    </row>
    <row r="71" spans="1:28" x14ac:dyDescent="0.3">
      <c r="A71" s="6" t="s">
        <v>1076</v>
      </c>
      <c r="B71" s="6" t="s">
        <v>1076</v>
      </c>
      <c r="C71" s="6" t="s">
        <v>759</v>
      </c>
      <c r="D71" s="6" t="s">
        <v>1076</v>
      </c>
      <c r="E71" s="6" t="s">
        <v>848</v>
      </c>
      <c r="F71" s="6" t="s">
        <v>307</v>
      </c>
      <c r="G71" s="6" t="s">
        <v>850</v>
      </c>
      <c r="H71" s="6" t="s">
        <v>842</v>
      </c>
      <c r="I71" s="6" t="s">
        <v>849</v>
      </c>
      <c r="J71" s="6" t="s">
        <v>759</v>
      </c>
      <c r="M71" s="6" t="s">
        <v>869</v>
      </c>
      <c r="U71" s="6" t="s">
        <v>1407</v>
      </c>
      <c r="AA71" s="6" t="s">
        <v>1405</v>
      </c>
      <c r="AB71" s="6" t="s">
        <v>718</v>
      </c>
    </row>
    <row r="72" spans="1:28" x14ac:dyDescent="0.3">
      <c r="A72" s="6" t="s">
        <v>1077</v>
      </c>
      <c r="B72" s="6" t="s">
        <v>1077</v>
      </c>
      <c r="C72" s="6" t="s">
        <v>760</v>
      </c>
      <c r="D72" s="6" t="s">
        <v>1077</v>
      </c>
      <c r="E72" s="6" t="s">
        <v>848</v>
      </c>
      <c r="F72" s="6" t="s">
        <v>307</v>
      </c>
      <c r="G72" s="6" t="s">
        <v>850</v>
      </c>
      <c r="H72" s="6" t="s">
        <v>842</v>
      </c>
      <c r="I72" s="6" t="s">
        <v>849</v>
      </c>
      <c r="J72" s="6" t="s">
        <v>760</v>
      </c>
      <c r="M72" s="6" t="s">
        <v>869</v>
      </c>
      <c r="U72" s="6" t="s">
        <v>1407</v>
      </c>
      <c r="AA72" s="6" t="s">
        <v>1405</v>
      </c>
      <c r="AB72" s="6" t="s">
        <v>718</v>
      </c>
    </row>
    <row r="73" spans="1:28" x14ac:dyDescent="0.3">
      <c r="A73" s="6" t="s">
        <v>718</v>
      </c>
      <c r="B73" s="6" t="s">
        <v>718</v>
      </c>
      <c r="C73" s="6" t="s">
        <v>718</v>
      </c>
      <c r="D73" s="6" t="s">
        <v>718</v>
      </c>
      <c r="E73" s="6" t="s">
        <v>718</v>
      </c>
      <c r="F73" s="6" t="s">
        <v>718</v>
      </c>
      <c r="G73" s="6" t="s">
        <v>718</v>
      </c>
      <c r="H73" s="6" t="s">
        <v>718</v>
      </c>
      <c r="I73" s="6" t="s">
        <v>718</v>
      </c>
      <c r="J73" s="6" t="s">
        <v>718</v>
      </c>
      <c r="M73" s="6" t="s">
        <v>718</v>
      </c>
      <c r="U73" s="6" t="s">
        <v>718</v>
      </c>
      <c r="AA73" s="6" t="s">
        <v>718</v>
      </c>
      <c r="AB73" s="6" t="s">
        <v>718</v>
      </c>
    </row>
    <row r="74" spans="1:28" x14ac:dyDescent="0.3">
      <c r="A74" s="6" t="s">
        <v>718</v>
      </c>
      <c r="B74" s="6" t="s">
        <v>718</v>
      </c>
      <c r="C74" s="6" t="s">
        <v>718</v>
      </c>
      <c r="D74" s="6" t="s">
        <v>718</v>
      </c>
      <c r="E74" s="6" t="s">
        <v>718</v>
      </c>
      <c r="F74" s="6" t="s">
        <v>718</v>
      </c>
      <c r="G74" s="6" t="s">
        <v>718</v>
      </c>
      <c r="H74" s="6" t="s">
        <v>718</v>
      </c>
      <c r="I74" s="6" t="s">
        <v>718</v>
      </c>
      <c r="J74" s="6" t="s">
        <v>718</v>
      </c>
      <c r="M74" s="6" t="s">
        <v>718</v>
      </c>
      <c r="U74" s="6" t="s">
        <v>718</v>
      </c>
      <c r="AA74" s="6" t="s">
        <v>718</v>
      </c>
      <c r="AB74" s="6" t="s">
        <v>718</v>
      </c>
    </row>
    <row r="75" spans="1:28" x14ac:dyDescent="0.3">
      <c r="A75" s="6" t="s">
        <v>718</v>
      </c>
      <c r="B75" s="6" t="s">
        <v>718</v>
      </c>
      <c r="C75" s="6" t="s">
        <v>718</v>
      </c>
      <c r="D75" s="6" t="s">
        <v>718</v>
      </c>
      <c r="E75" s="6" t="s">
        <v>718</v>
      </c>
      <c r="F75" s="6" t="s">
        <v>718</v>
      </c>
      <c r="G75" s="6" t="s">
        <v>718</v>
      </c>
      <c r="H75" s="6" t="s">
        <v>718</v>
      </c>
      <c r="I75" s="6" t="s">
        <v>718</v>
      </c>
      <c r="J75" s="6" t="s">
        <v>718</v>
      </c>
      <c r="M75" s="6" t="s">
        <v>718</v>
      </c>
      <c r="U75" s="6" t="s">
        <v>718</v>
      </c>
      <c r="AA75" s="6" t="s">
        <v>718</v>
      </c>
      <c r="AB75" s="6" t="s">
        <v>718</v>
      </c>
    </row>
    <row r="76" spans="1:28" x14ac:dyDescent="0.3">
      <c r="A76" s="6" t="s">
        <v>718</v>
      </c>
      <c r="B76" s="6" t="s">
        <v>718</v>
      </c>
      <c r="C76" s="6" t="s">
        <v>718</v>
      </c>
      <c r="D76" s="6" t="s">
        <v>718</v>
      </c>
      <c r="E76" s="6" t="s">
        <v>718</v>
      </c>
      <c r="F76" s="6" t="s">
        <v>718</v>
      </c>
      <c r="G76" s="6" t="s">
        <v>718</v>
      </c>
      <c r="H76" s="6" t="s">
        <v>718</v>
      </c>
      <c r="I76" s="6" t="s">
        <v>718</v>
      </c>
      <c r="J76" s="6" t="s">
        <v>718</v>
      </c>
      <c r="M76" s="6" t="s">
        <v>718</v>
      </c>
      <c r="U76" s="6" t="s">
        <v>718</v>
      </c>
      <c r="AA76" s="6" t="s">
        <v>718</v>
      </c>
      <c r="AB76" s="6" t="s">
        <v>718</v>
      </c>
    </row>
    <row r="77" spans="1:28" x14ac:dyDescent="0.3">
      <c r="A77" s="6" t="s">
        <v>718</v>
      </c>
      <c r="B77" s="6" t="s">
        <v>718</v>
      </c>
      <c r="C77" s="6" t="s">
        <v>718</v>
      </c>
      <c r="D77" s="6" t="s">
        <v>718</v>
      </c>
      <c r="E77" s="6" t="s">
        <v>718</v>
      </c>
      <c r="F77" s="6" t="s">
        <v>718</v>
      </c>
      <c r="G77" s="6" t="s">
        <v>718</v>
      </c>
      <c r="H77" s="6" t="s">
        <v>718</v>
      </c>
      <c r="I77" s="6" t="s">
        <v>718</v>
      </c>
      <c r="J77" s="6" t="s">
        <v>718</v>
      </c>
      <c r="M77" s="6" t="s">
        <v>718</v>
      </c>
      <c r="U77" s="6" t="s">
        <v>718</v>
      </c>
      <c r="AA77" s="6" t="s">
        <v>718</v>
      </c>
      <c r="AB77" s="6" t="s">
        <v>718</v>
      </c>
    </row>
    <row r="78" spans="1:28" x14ac:dyDescent="0.3">
      <c r="A78" s="6" t="s">
        <v>718</v>
      </c>
      <c r="B78" s="6" t="s">
        <v>718</v>
      </c>
      <c r="C78" s="6" t="s">
        <v>718</v>
      </c>
      <c r="D78" s="6" t="s">
        <v>718</v>
      </c>
      <c r="E78" s="6" t="s">
        <v>718</v>
      </c>
      <c r="F78" s="6" t="s">
        <v>718</v>
      </c>
      <c r="G78" s="6" t="s">
        <v>718</v>
      </c>
      <c r="H78" s="6" t="s">
        <v>718</v>
      </c>
      <c r="I78" s="6" t="s">
        <v>718</v>
      </c>
      <c r="J78" s="6" t="s">
        <v>718</v>
      </c>
      <c r="M78" s="6" t="s">
        <v>718</v>
      </c>
      <c r="U78" s="6" t="s">
        <v>718</v>
      </c>
      <c r="AA78" s="6" t="s">
        <v>718</v>
      </c>
      <c r="AB78" s="6" t="s">
        <v>718</v>
      </c>
    </row>
    <row r="79" spans="1:28" x14ac:dyDescent="0.3">
      <c r="A79" s="6" t="s">
        <v>718</v>
      </c>
      <c r="B79" s="6" t="s">
        <v>718</v>
      </c>
      <c r="C79" s="6" t="s">
        <v>718</v>
      </c>
      <c r="D79" s="6" t="s">
        <v>718</v>
      </c>
      <c r="E79" s="6" t="s">
        <v>718</v>
      </c>
      <c r="F79" s="6" t="s">
        <v>718</v>
      </c>
      <c r="G79" s="6" t="s">
        <v>718</v>
      </c>
      <c r="H79" s="6" t="s">
        <v>718</v>
      </c>
      <c r="I79" s="6" t="s">
        <v>718</v>
      </c>
      <c r="J79" s="6" t="s">
        <v>718</v>
      </c>
      <c r="M79" s="6" t="s">
        <v>718</v>
      </c>
      <c r="U79" s="6" t="s">
        <v>718</v>
      </c>
      <c r="AA79" s="6" t="s">
        <v>718</v>
      </c>
      <c r="AB79" s="6" t="s">
        <v>718</v>
      </c>
    </row>
    <row r="80" spans="1:28" x14ac:dyDescent="0.3">
      <c r="A80" s="6" t="s">
        <v>718</v>
      </c>
      <c r="B80" s="6" t="s">
        <v>718</v>
      </c>
      <c r="C80" s="6" t="s">
        <v>718</v>
      </c>
      <c r="D80" s="6" t="s">
        <v>718</v>
      </c>
      <c r="E80" s="6" t="s">
        <v>718</v>
      </c>
      <c r="F80" s="6" t="s">
        <v>718</v>
      </c>
      <c r="G80" s="6" t="s">
        <v>718</v>
      </c>
      <c r="H80" s="6" t="s">
        <v>718</v>
      </c>
      <c r="I80" s="6" t="s">
        <v>718</v>
      </c>
      <c r="J80" s="6" t="s">
        <v>718</v>
      </c>
      <c r="M80" s="6" t="s">
        <v>718</v>
      </c>
      <c r="U80" s="6" t="s">
        <v>718</v>
      </c>
      <c r="AA80" s="6" t="s">
        <v>718</v>
      </c>
      <c r="AB80" s="6" t="s">
        <v>718</v>
      </c>
    </row>
    <row r="81" spans="1:28" x14ac:dyDescent="0.3">
      <c r="A81" s="6" t="s">
        <v>718</v>
      </c>
      <c r="B81" s="6" t="s">
        <v>718</v>
      </c>
      <c r="C81" s="6" t="s">
        <v>718</v>
      </c>
      <c r="D81" s="6" t="s">
        <v>718</v>
      </c>
      <c r="E81" s="6" t="s">
        <v>718</v>
      </c>
      <c r="F81" s="6" t="s">
        <v>718</v>
      </c>
      <c r="G81" s="6" t="s">
        <v>718</v>
      </c>
      <c r="H81" s="6" t="s">
        <v>718</v>
      </c>
      <c r="I81" s="6" t="s">
        <v>718</v>
      </c>
      <c r="J81" s="6" t="s">
        <v>718</v>
      </c>
      <c r="M81" s="6" t="s">
        <v>718</v>
      </c>
      <c r="U81" s="6" t="s">
        <v>718</v>
      </c>
      <c r="AA81" s="6" t="s">
        <v>718</v>
      </c>
      <c r="AB81" s="6" t="s">
        <v>718</v>
      </c>
    </row>
    <row r="82" spans="1:28" x14ac:dyDescent="0.3">
      <c r="A82" s="6" t="s">
        <v>718</v>
      </c>
      <c r="B82" s="6" t="s">
        <v>718</v>
      </c>
      <c r="C82" s="6" t="s">
        <v>718</v>
      </c>
      <c r="D82" s="6" t="s">
        <v>718</v>
      </c>
      <c r="E82" s="6" t="s">
        <v>718</v>
      </c>
      <c r="F82" s="6" t="s">
        <v>718</v>
      </c>
      <c r="G82" s="6" t="s">
        <v>718</v>
      </c>
      <c r="H82" s="6" t="s">
        <v>718</v>
      </c>
      <c r="I82" s="6" t="s">
        <v>718</v>
      </c>
      <c r="J82" s="6" t="s">
        <v>718</v>
      </c>
      <c r="M82" s="6" t="s">
        <v>718</v>
      </c>
      <c r="U82" s="6" t="s">
        <v>718</v>
      </c>
      <c r="AA82" s="6" t="s">
        <v>718</v>
      </c>
      <c r="AB82" s="6" t="s">
        <v>718</v>
      </c>
    </row>
    <row r="83" spans="1:28" x14ac:dyDescent="0.3">
      <c r="A83" s="6" t="s">
        <v>718</v>
      </c>
      <c r="B83" s="6" t="s">
        <v>718</v>
      </c>
      <c r="C83" s="6" t="s">
        <v>718</v>
      </c>
      <c r="D83" s="6" t="s">
        <v>718</v>
      </c>
      <c r="E83" s="6" t="s">
        <v>718</v>
      </c>
      <c r="F83" s="6" t="s">
        <v>718</v>
      </c>
      <c r="G83" s="6" t="s">
        <v>718</v>
      </c>
      <c r="H83" s="6" t="s">
        <v>718</v>
      </c>
      <c r="I83" s="6" t="s">
        <v>718</v>
      </c>
      <c r="J83" s="6" t="s">
        <v>718</v>
      </c>
      <c r="M83" s="6" t="s">
        <v>718</v>
      </c>
      <c r="U83" s="6" t="s">
        <v>718</v>
      </c>
      <c r="AA83" s="6" t="s">
        <v>718</v>
      </c>
      <c r="AB83" s="6" t="s">
        <v>718</v>
      </c>
    </row>
    <row r="84" spans="1:28" x14ac:dyDescent="0.3">
      <c r="A84" s="6" t="s">
        <v>718</v>
      </c>
      <c r="B84" s="6" t="s">
        <v>718</v>
      </c>
      <c r="C84" s="6" t="s">
        <v>718</v>
      </c>
      <c r="D84" s="6" t="s">
        <v>718</v>
      </c>
      <c r="E84" s="6" t="s">
        <v>718</v>
      </c>
      <c r="F84" s="6" t="s">
        <v>718</v>
      </c>
      <c r="G84" s="6" t="s">
        <v>718</v>
      </c>
      <c r="H84" s="6" t="s">
        <v>718</v>
      </c>
      <c r="I84" s="6" t="s">
        <v>718</v>
      </c>
      <c r="J84" s="6" t="s">
        <v>718</v>
      </c>
      <c r="M84" s="6" t="s">
        <v>718</v>
      </c>
      <c r="U84" s="6" t="s">
        <v>718</v>
      </c>
      <c r="AA84" s="6" t="s">
        <v>718</v>
      </c>
      <c r="AB84" s="6" t="s">
        <v>718</v>
      </c>
    </row>
    <row r="85" spans="1:28" x14ac:dyDescent="0.3">
      <c r="A85" s="6" t="s">
        <v>718</v>
      </c>
      <c r="B85" s="6" t="s">
        <v>718</v>
      </c>
      <c r="C85" s="6" t="s">
        <v>718</v>
      </c>
      <c r="D85" s="6" t="s">
        <v>718</v>
      </c>
      <c r="E85" s="6" t="s">
        <v>718</v>
      </c>
      <c r="F85" s="6" t="s">
        <v>718</v>
      </c>
      <c r="G85" s="6" t="s">
        <v>718</v>
      </c>
      <c r="H85" s="6" t="s">
        <v>718</v>
      </c>
      <c r="I85" s="6" t="s">
        <v>718</v>
      </c>
      <c r="J85" s="6" t="s">
        <v>718</v>
      </c>
      <c r="M85" s="6" t="s">
        <v>718</v>
      </c>
      <c r="U85" s="6" t="s">
        <v>718</v>
      </c>
      <c r="AA85" s="6" t="s">
        <v>718</v>
      </c>
      <c r="AB85" s="6" t="s">
        <v>718</v>
      </c>
    </row>
    <row r="86" spans="1:28" x14ac:dyDescent="0.3">
      <c r="A86" s="6" t="s">
        <v>718</v>
      </c>
      <c r="B86" s="6" t="s">
        <v>718</v>
      </c>
      <c r="C86" s="6" t="s">
        <v>718</v>
      </c>
      <c r="D86" s="6" t="s">
        <v>718</v>
      </c>
      <c r="E86" s="6" t="s">
        <v>718</v>
      </c>
      <c r="F86" s="6" t="s">
        <v>718</v>
      </c>
      <c r="G86" s="6" t="s">
        <v>718</v>
      </c>
      <c r="H86" s="6" t="s">
        <v>718</v>
      </c>
      <c r="I86" s="6" t="s">
        <v>718</v>
      </c>
      <c r="J86" s="6" t="s">
        <v>718</v>
      </c>
      <c r="M86" s="6" t="s">
        <v>718</v>
      </c>
      <c r="U86" s="6" t="s">
        <v>718</v>
      </c>
      <c r="AA86" s="6" t="s">
        <v>718</v>
      </c>
      <c r="AB86" s="6" t="s">
        <v>718</v>
      </c>
    </row>
    <row r="87" spans="1:28" x14ac:dyDescent="0.3">
      <c r="A87" s="6" t="s">
        <v>1092</v>
      </c>
      <c r="B87" s="6" t="s">
        <v>1092</v>
      </c>
      <c r="C87" s="6" t="s">
        <v>773</v>
      </c>
      <c r="D87" s="6" t="s">
        <v>1092</v>
      </c>
      <c r="E87" s="6" t="s">
        <v>848</v>
      </c>
      <c r="F87" s="6" t="s">
        <v>307</v>
      </c>
      <c r="G87" s="6" t="s">
        <v>850</v>
      </c>
      <c r="H87" s="6" t="s">
        <v>842</v>
      </c>
      <c r="I87" s="6" t="s">
        <v>849</v>
      </c>
      <c r="J87" s="6" t="s">
        <v>773</v>
      </c>
      <c r="M87" s="6" t="s">
        <v>869</v>
      </c>
      <c r="U87" s="6" t="s">
        <v>1407</v>
      </c>
      <c r="AA87" s="6" t="s">
        <v>1405</v>
      </c>
      <c r="AB87" s="6" t="s">
        <v>718</v>
      </c>
    </row>
    <row r="88" spans="1:28" x14ac:dyDescent="0.3">
      <c r="A88" s="6" t="s">
        <v>1093</v>
      </c>
      <c r="B88" s="6" t="s">
        <v>1093</v>
      </c>
      <c r="C88" s="6" t="s">
        <v>774</v>
      </c>
      <c r="D88" s="6" t="s">
        <v>1093</v>
      </c>
      <c r="E88" s="6" t="s">
        <v>848</v>
      </c>
      <c r="F88" s="6" t="s">
        <v>307</v>
      </c>
      <c r="G88" s="6" t="s">
        <v>850</v>
      </c>
      <c r="H88" s="6" t="s">
        <v>842</v>
      </c>
      <c r="I88" s="6" t="s">
        <v>849</v>
      </c>
      <c r="J88" s="6" t="s">
        <v>774</v>
      </c>
      <c r="M88" s="6" t="s">
        <v>869</v>
      </c>
      <c r="U88" s="6" t="s">
        <v>1407</v>
      </c>
      <c r="AA88" s="6" t="s">
        <v>1405</v>
      </c>
      <c r="AB88" s="6" t="s">
        <v>718</v>
      </c>
    </row>
    <row r="89" spans="1:28" x14ac:dyDescent="0.3">
      <c r="A89" s="6" t="s">
        <v>1094</v>
      </c>
      <c r="B89" s="6" t="s">
        <v>1094</v>
      </c>
      <c r="C89" s="6" t="s">
        <v>775</v>
      </c>
      <c r="D89" s="6" t="s">
        <v>1094</v>
      </c>
      <c r="E89" s="6" t="s">
        <v>848</v>
      </c>
      <c r="F89" s="6" t="s">
        <v>307</v>
      </c>
      <c r="G89" s="6" t="s">
        <v>850</v>
      </c>
      <c r="H89" s="6" t="s">
        <v>842</v>
      </c>
      <c r="I89" s="6" t="s">
        <v>849</v>
      </c>
      <c r="J89" s="6" t="s">
        <v>775</v>
      </c>
      <c r="M89" s="6" t="s">
        <v>869</v>
      </c>
      <c r="U89" s="6" t="s">
        <v>1407</v>
      </c>
      <c r="AA89" s="6" t="s">
        <v>1405</v>
      </c>
      <c r="AB89" s="6" t="s">
        <v>718</v>
      </c>
    </row>
    <row r="90" spans="1:28" x14ac:dyDescent="0.3">
      <c r="A90" s="6" t="s">
        <v>1095</v>
      </c>
      <c r="B90" s="6" t="s">
        <v>1095</v>
      </c>
      <c r="C90" s="6" t="s">
        <v>799</v>
      </c>
      <c r="D90" s="6" t="s">
        <v>1095</v>
      </c>
      <c r="E90" s="6" t="s">
        <v>848</v>
      </c>
      <c r="F90" s="6" t="s">
        <v>307</v>
      </c>
      <c r="G90" s="6" t="s">
        <v>850</v>
      </c>
      <c r="H90" s="6" t="s">
        <v>842</v>
      </c>
      <c r="I90" s="6" t="s">
        <v>849</v>
      </c>
      <c r="J90" s="6" t="s">
        <v>799</v>
      </c>
      <c r="M90" s="6" t="s">
        <v>869</v>
      </c>
      <c r="U90" s="6" t="s">
        <v>1407</v>
      </c>
      <c r="AA90" s="6" t="s">
        <v>1405</v>
      </c>
      <c r="AB90" s="6" t="s">
        <v>718</v>
      </c>
    </row>
    <row r="91" spans="1:28" x14ac:dyDescent="0.3">
      <c r="A91" s="6" t="s">
        <v>1096</v>
      </c>
      <c r="B91" s="6" t="s">
        <v>1096</v>
      </c>
      <c r="C91" s="6" t="s">
        <v>800</v>
      </c>
      <c r="D91" s="6" t="s">
        <v>1096</v>
      </c>
      <c r="E91" s="6" t="s">
        <v>848</v>
      </c>
      <c r="F91" s="6" t="s">
        <v>307</v>
      </c>
      <c r="G91" s="6" t="s">
        <v>850</v>
      </c>
      <c r="H91" s="6" t="s">
        <v>842</v>
      </c>
      <c r="I91" s="6" t="s">
        <v>849</v>
      </c>
      <c r="J91" s="6" t="s">
        <v>800</v>
      </c>
      <c r="M91" s="6" t="s">
        <v>869</v>
      </c>
      <c r="U91" s="6" t="s">
        <v>1407</v>
      </c>
      <c r="AA91" s="6" t="s">
        <v>1405</v>
      </c>
      <c r="AB91" s="6" t="s">
        <v>718</v>
      </c>
    </row>
    <row r="92" spans="1:28" x14ac:dyDescent="0.3">
      <c r="A92" s="6" t="s">
        <v>1097</v>
      </c>
      <c r="B92" s="6" t="s">
        <v>1097</v>
      </c>
      <c r="C92" s="6" t="s">
        <v>777</v>
      </c>
      <c r="D92" s="6" t="s">
        <v>1097</v>
      </c>
      <c r="E92" s="6" t="s">
        <v>848</v>
      </c>
      <c r="F92" s="6" t="s">
        <v>307</v>
      </c>
      <c r="G92" s="6" t="s">
        <v>850</v>
      </c>
      <c r="H92" s="6" t="s">
        <v>842</v>
      </c>
      <c r="I92" s="6" t="s">
        <v>849</v>
      </c>
      <c r="J92" s="6" t="s">
        <v>777</v>
      </c>
      <c r="M92" s="6" t="s">
        <v>869</v>
      </c>
      <c r="U92" s="6" t="s">
        <v>1407</v>
      </c>
      <c r="AA92" s="6" t="s">
        <v>1405</v>
      </c>
      <c r="AB92" s="6" t="s">
        <v>718</v>
      </c>
    </row>
    <row r="93" spans="1:28" x14ac:dyDescent="0.3">
      <c r="A93" s="6" t="s">
        <v>1098</v>
      </c>
      <c r="B93" s="6" t="s">
        <v>1098</v>
      </c>
      <c r="C93" s="6" t="s">
        <v>778</v>
      </c>
      <c r="D93" s="6" t="s">
        <v>1098</v>
      </c>
      <c r="E93" s="6" t="s">
        <v>848</v>
      </c>
      <c r="F93" s="6" t="s">
        <v>307</v>
      </c>
      <c r="G93" s="6" t="s">
        <v>850</v>
      </c>
      <c r="H93" s="6" t="s">
        <v>842</v>
      </c>
      <c r="I93" s="6" t="s">
        <v>849</v>
      </c>
      <c r="J93" s="6" t="s">
        <v>778</v>
      </c>
      <c r="M93" s="6" t="s">
        <v>869</v>
      </c>
      <c r="U93" s="6" t="s">
        <v>1407</v>
      </c>
      <c r="AA93" s="6" t="s">
        <v>1405</v>
      </c>
      <c r="AB93" s="6" t="s">
        <v>718</v>
      </c>
    </row>
    <row r="94" spans="1:28" x14ac:dyDescent="0.3">
      <c r="A94" s="6" t="s">
        <v>1099</v>
      </c>
      <c r="B94" s="6" t="s">
        <v>1099</v>
      </c>
      <c r="C94" s="6" t="s">
        <v>779</v>
      </c>
      <c r="D94" s="6" t="s">
        <v>1099</v>
      </c>
      <c r="E94" s="6" t="s">
        <v>848</v>
      </c>
      <c r="F94" s="6" t="s">
        <v>307</v>
      </c>
      <c r="G94" s="6" t="s">
        <v>850</v>
      </c>
      <c r="H94" s="6" t="s">
        <v>842</v>
      </c>
      <c r="I94" s="6" t="s">
        <v>849</v>
      </c>
      <c r="J94" s="6" t="s">
        <v>779</v>
      </c>
      <c r="M94" s="6" t="s">
        <v>869</v>
      </c>
      <c r="U94" s="6" t="s">
        <v>1407</v>
      </c>
      <c r="AA94" s="6" t="s">
        <v>1405</v>
      </c>
      <c r="AB94" s="6" t="s">
        <v>718</v>
      </c>
    </row>
    <row r="95" spans="1:28" x14ac:dyDescent="0.3">
      <c r="A95" s="6" t="s">
        <v>1100</v>
      </c>
      <c r="B95" s="6" t="s">
        <v>1100</v>
      </c>
      <c r="C95" s="6" t="s">
        <v>792</v>
      </c>
      <c r="D95" s="6" t="s">
        <v>1100</v>
      </c>
      <c r="E95" s="6" t="s">
        <v>848</v>
      </c>
      <c r="F95" s="6" t="s">
        <v>307</v>
      </c>
      <c r="G95" s="6" t="s">
        <v>850</v>
      </c>
      <c r="H95" s="6" t="s">
        <v>842</v>
      </c>
      <c r="I95" s="6" t="s">
        <v>849</v>
      </c>
      <c r="J95" s="6" t="s">
        <v>792</v>
      </c>
      <c r="M95" s="6" t="s">
        <v>869</v>
      </c>
      <c r="U95" s="6" t="s">
        <v>1407</v>
      </c>
      <c r="AA95" s="6" t="s">
        <v>1405</v>
      </c>
      <c r="AB95" s="6" t="s">
        <v>718</v>
      </c>
    </row>
    <row r="96" spans="1:28" x14ac:dyDescent="0.3">
      <c r="A96" s="6" t="s">
        <v>1101</v>
      </c>
      <c r="B96" s="6" t="s">
        <v>1101</v>
      </c>
      <c r="C96" s="6" t="s">
        <v>796</v>
      </c>
      <c r="D96" s="6" t="s">
        <v>1101</v>
      </c>
      <c r="E96" s="6" t="s">
        <v>848</v>
      </c>
      <c r="F96" s="6" t="s">
        <v>307</v>
      </c>
      <c r="G96" s="6" t="s">
        <v>850</v>
      </c>
      <c r="H96" s="6" t="s">
        <v>842</v>
      </c>
      <c r="I96" s="6" t="s">
        <v>849</v>
      </c>
      <c r="J96" s="6" t="s">
        <v>796</v>
      </c>
      <c r="M96" s="6" t="s">
        <v>869</v>
      </c>
      <c r="U96" s="6" t="s">
        <v>1407</v>
      </c>
      <c r="AA96" s="6" t="s">
        <v>1405</v>
      </c>
      <c r="AB96" s="6" t="s">
        <v>718</v>
      </c>
    </row>
    <row r="97" spans="1:28" x14ac:dyDescent="0.3">
      <c r="A97" s="6" t="s">
        <v>1102</v>
      </c>
      <c r="B97" s="6" t="s">
        <v>1102</v>
      </c>
      <c r="C97" s="6" t="s">
        <v>780</v>
      </c>
      <c r="D97" s="6" t="s">
        <v>1102</v>
      </c>
      <c r="E97" s="6" t="s">
        <v>848</v>
      </c>
      <c r="F97" s="6" t="s">
        <v>307</v>
      </c>
      <c r="G97" s="6" t="s">
        <v>850</v>
      </c>
      <c r="H97" s="6" t="s">
        <v>842</v>
      </c>
      <c r="I97" s="6" t="s">
        <v>849</v>
      </c>
      <c r="J97" s="6" t="s">
        <v>780</v>
      </c>
      <c r="M97" s="6" t="s">
        <v>869</v>
      </c>
      <c r="U97" s="6" t="s">
        <v>1407</v>
      </c>
      <c r="AA97" s="6" t="s">
        <v>1405</v>
      </c>
      <c r="AB97" s="6" t="s">
        <v>718</v>
      </c>
    </row>
    <row r="98" spans="1:28" x14ac:dyDescent="0.3">
      <c r="A98" s="6" t="s">
        <v>1103</v>
      </c>
      <c r="B98" s="6" t="s">
        <v>1103</v>
      </c>
      <c r="C98" s="6" t="s">
        <v>781</v>
      </c>
      <c r="D98" s="6" t="s">
        <v>1103</v>
      </c>
      <c r="E98" s="6" t="s">
        <v>848</v>
      </c>
      <c r="F98" s="6" t="s">
        <v>307</v>
      </c>
      <c r="G98" s="6" t="s">
        <v>850</v>
      </c>
      <c r="H98" s="6" t="s">
        <v>842</v>
      </c>
      <c r="I98" s="6" t="s">
        <v>849</v>
      </c>
      <c r="J98" s="6" t="s">
        <v>781</v>
      </c>
      <c r="M98" s="6" t="s">
        <v>869</v>
      </c>
      <c r="U98" s="6" t="s">
        <v>1407</v>
      </c>
      <c r="AA98" s="6" t="s">
        <v>1405</v>
      </c>
      <c r="AB98" s="6" t="s">
        <v>718</v>
      </c>
    </row>
    <row r="99" spans="1:28" x14ac:dyDescent="0.3">
      <c r="A99" s="6" t="s">
        <v>1104</v>
      </c>
      <c r="B99" s="6" t="s">
        <v>1104</v>
      </c>
      <c r="C99" s="6" t="s">
        <v>782</v>
      </c>
      <c r="D99" s="6" t="s">
        <v>1104</v>
      </c>
      <c r="E99" s="6" t="s">
        <v>848</v>
      </c>
      <c r="F99" s="6" t="s">
        <v>307</v>
      </c>
      <c r="G99" s="6" t="s">
        <v>850</v>
      </c>
      <c r="H99" s="6" t="s">
        <v>842</v>
      </c>
      <c r="I99" s="6" t="s">
        <v>849</v>
      </c>
      <c r="J99" s="6" t="s">
        <v>782</v>
      </c>
      <c r="M99" s="6" t="s">
        <v>869</v>
      </c>
      <c r="U99" s="6" t="s">
        <v>1407</v>
      </c>
      <c r="AA99" s="6" t="s">
        <v>1405</v>
      </c>
      <c r="AB99" s="6" t="s">
        <v>718</v>
      </c>
    </row>
    <row r="100" spans="1:28" x14ac:dyDescent="0.3">
      <c r="A100" s="6" t="s">
        <v>1105</v>
      </c>
      <c r="B100" s="6" t="s">
        <v>1105</v>
      </c>
      <c r="C100" s="6" t="s">
        <v>783</v>
      </c>
      <c r="D100" s="6" t="s">
        <v>1105</v>
      </c>
      <c r="E100" s="6" t="s">
        <v>848</v>
      </c>
      <c r="F100" s="6" t="s">
        <v>307</v>
      </c>
      <c r="G100" s="6" t="s">
        <v>850</v>
      </c>
      <c r="H100" s="6" t="s">
        <v>842</v>
      </c>
      <c r="I100" s="6" t="s">
        <v>849</v>
      </c>
      <c r="J100" s="6" t="s">
        <v>783</v>
      </c>
      <c r="M100" s="6" t="s">
        <v>869</v>
      </c>
      <c r="U100" s="6" t="s">
        <v>1407</v>
      </c>
      <c r="AA100" s="6" t="s">
        <v>1405</v>
      </c>
      <c r="AB100" s="6" t="s">
        <v>718</v>
      </c>
    </row>
  </sheetData>
  <printOptions gridLines="1"/>
  <pageMargins left="0" right="0" top="0" bottom="0" header="0" footer="0"/>
  <pageSetup paperSize="8" scale="47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theme="1" tint="0.499984740745262"/>
    <pageSetUpPr fitToPage="1"/>
  </sheetPr>
  <dimension ref="A1:AF25"/>
  <sheetViews>
    <sheetView topLeftCell="W85" workbookViewId="0">
      <selection activeCell="C13" sqref="C13"/>
    </sheetView>
  </sheetViews>
  <sheetFormatPr defaultRowHeight="14.4" x14ac:dyDescent="0.3"/>
  <cols>
    <col min="1" max="2" width="30.6640625" bestFit="1" customWidth="1"/>
    <col min="3" max="3" width="7.44140625" bestFit="1" customWidth="1"/>
    <col min="4" max="4" width="13.6640625" bestFit="1" customWidth="1"/>
    <col min="5" max="5" width="7.44140625" bestFit="1" customWidth="1"/>
    <col min="6" max="6" width="8" bestFit="1" customWidth="1"/>
    <col min="7" max="7" width="13.5546875" bestFit="1" customWidth="1"/>
    <col min="8" max="8" width="11" bestFit="1" customWidth="1"/>
    <col min="9" max="9" width="37.6640625" bestFit="1" customWidth="1"/>
    <col min="10" max="11" width="7.6640625" bestFit="1" customWidth="1"/>
    <col min="12" max="12" width="9.88671875" bestFit="1" customWidth="1"/>
    <col min="13" max="13" width="43.109375" bestFit="1" customWidth="1"/>
    <col min="14" max="14" width="14" bestFit="1" customWidth="1"/>
    <col min="15" max="15" width="11.109375" bestFit="1" customWidth="1"/>
    <col min="16" max="16" width="6" bestFit="1" customWidth="1"/>
    <col min="17" max="17" width="6.5546875" bestFit="1" customWidth="1"/>
    <col min="18" max="18" width="14.109375" bestFit="1" customWidth="1"/>
    <col min="19" max="19" width="15.109375" bestFit="1" customWidth="1"/>
    <col min="20" max="20" width="9.5546875" bestFit="1" customWidth="1"/>
    <col min="21" max="21" width="14.109375" bestFit="1" customWidth="1"/>
    <col min="22" max="22" width="29.109375" bestFit="1" customWidth="1"/>
    <col min="23" max="23" width="10.88671875" bestFit="1" customWidth="1"/>
    <col min="24" max="24" width="14.88671875" bestFit="1" customWidth="1"/>
    <col min="25" max="25" width="12" bestFit="1" customWidth="1"/>
    <col min="26" max="26" width="9.5546875" bestFit="1" customWidth="1"/>
    <col min="27" max="27" width="13.33203125" bestFit="1" customWidth="1"/>
    <col min="28" max="28" width="8.88671875" bestFit="1" customWidth="1"/>
    <col min="29" max="29" width="7.6640625" bestFit="1" customWidth="1"/>
    <col min="30" max="30" width="13" bestFit="1" customWidth="1"/>
    <col min="31" max="31" width="12.6640625" bestFit="1" customWidth="1"/>
    <col min="32" max="32" width="12.33203125" bestFit="1" customWidth="1"/>
    <col min="33" max="52" width="9.109375"/>
  </cols>
  <sheetData>
    <row r="1" spans="1:32" x14ac:dyDescent="0.3">
      <c r="A1" s="68" t="s">
        <v>0</v>
      </c>
      <c r="B1" s="68" t="s">
        <v>43</v>
      </c>
      <c r="C1" s="68" t="s">
        <v>44</v>
      </c>
      <c r="D1" s="68" t="s">
        <v>45</v>
      </c>
      <c r="E1" s="68" t="s">
        <v>37</v>
      </c>
      <c r="F1" s="68" t="s">
        <v>38</v>
      </c>
      <c r="G1" s="68" t="s">
        <v>8</v>
      </c>
      <c r="H1" s="68" t="s">
        <v>9</v>
      </c>
      <c r="I1" s="68" t="s">
        <v>46</v>
      </c>
      <c r="J1" s="68" t="s">
        <v>47</v>
      </c>
      <c r="K1" s="68" t="s">
        <v>48</v>
      </c>
      <c r="L1" s="68" t="s">
        <v>49</v>
      </c>
      <c r="M1" s="68" t="s">
        <v>10</v>
      </c>
      <c r="N1" s="68" t="s">
        <v>1</v>
      </c>
      <c r="O1" s="68" t="s">
        <v>50</v>
      </c>
      <c r="P1" s="68" t="s">
        <v>51</v>
      </c>
      <c r="Q1" s="68" t="s">
        <v>52</v>
      </c>
      <c r="R1" s="68" t="s">
        <v>53</v>
      </c>
      <c r="S1" s="68" t="s">
        <v>54</v>
      </c>
      <c r="T1" s="68" t="s">
        <v>55</v>
      </c>
      <c r="U1" s="68" t="s">
        <v>56</v>
      </c>
      <c r="V1" s="68" t="s">
        <v>57</v>
      </c>
      <c r="W1" s="68" t="s">
        <v>19</v>
      </c>
      <c r="X1" s="68" t="s">
        <v>18</v>
      </c>
      <c r="Y1" s="68" t="s">
        <v>11</v>
      </c>
      <c r="Z1" s="68" t="s">
        <v>12</v>
      </c>
      <c r="AA1" s="68" t="s">
        <v>16</v>
      </c>
      <c r="AB1" s="68" t="s">
        <v>20</v>
      </c>
      <c r="AC1" s="68" t="s">
        <v>21</v>
      </c>
      <c r="AD1" s="68" t="s">
        <v>22</v>
      </c>
      <c r="AE1" s="68" t="s">
        <v>6</v>
      </c>
      <c r="AF1" s="68" t="s">
        <v>7</v>
      </c>
    </row>
    <row r="3" spans="1:32" x14ac:dyDescent="0.3">
      <c r="A3" t="s">
        <v>982</v>
      </c>
      <c r="B3" t="s">
        <v>982</v>
      </c>
      <c r="D3">
        <v>1</v>
      </c>
      <c r="I3" t="s">
        <v>986</v>
      </c>
      <c r="J3">
        <v>25</v>
      </c>
      <c r="K3" s="117">
        <v>0</v>
      </c>
      <c r="L3" t="s">
        <v>304</v>
      </c>
      <c r="M3" t="s">
        <v>987</v>
      </c>
      <c r="N3" t="s">
        <v>839</v>
      </c>
      <c r="V3" t="s">
        <v>840</v>
      </c>
      <c r="W3" t="s">
        <v>1407</v>
      </c>
      <c r="AB3" t="s">
        <v>1405</v>
      </c>
    </row>
    <row r="4" spans="1:32" x14ac:dyDescent="0.3">
      <c r="A4" t="s">
        <v>983</v>
      </c>
      <c r="B4" t="s">
        <v>983</v>
      </c>
      <c r="D4">
        <v>1</v>
      </c>
      <c r="I4" t="s">
        <v>988</v>
      </c>
      <c r="J4">
        <v>25</v>
      </c>
      <c r="K4" s="117">
        <v>0</v>
      </c>
      <c r="L4" t="s">
        <v>304</v>
      </c>
      <c r="M4" t="s">
        <v>989</v>
      </c>
      <c r="N4" t="s">
        <v>839</v>
      </c>
      <c r="V4" t="s">
        <v>840</v>
      </c>
      <c r="W4" t="s">
        <v>1407</v>
      </c>
      <c r="AB4" t="s">
        <v>1405</v>
      </c>
    </row>
    <row r="5" spans="1:32" x14ac:dyDescent="0.3">
      <c r="A5" t="s">
        <v>984</v>
      </c>
      <c r="B5" t="s">
        <v>984</v>
      </c>
      <c r="D5">
        <v>1</v>
      </c>
      <c r="I5" t="s">
        <v>990</v>
      </c>
      <c r="J5">
        <v>25</v>
      </c>
      <c r="K5" s="117">
        <v>0</v>
      </c>
      <c r="L5" t="s">
        <v>304</v>
      </c>
      <c r="M5" t="s">
        <v>991</v>
      </c>
      <c r="N5" t="s">
        <v>839</v>
      </c>
      <c r="V5" t="s">
        <v>840</v>
      </c>
      <c r="W5" t="s">
        <v>1407</v>
      </c>
      <c r="AB5" t="s">
        <v>1405</v>
      </c>
    </row>
    <row r="6" spans="1:32" x14ac:dyDescent="0.3">
      <c r="A6" s="84" t="s">
        <v>985</v>
      </c>
      <c r="B6" s="84" t="s">
        <v>985</v>
      </c>
      <c r="C6" s="84"/>
      <c r="D6" s="84">
        <v>1</v>
      </c>
      <c r="E6" s="84"/>
      <c r="F6" s="84"/>
      <c r="G6" s="84"/>
      <c r="H6" s="84"/>
      <c r="I6" s="84" t="s">
        <v>992</v>
      </c>
      <c r="J6" s="84">
        <v>25</v>
      </c>
      <c r="K6" s="118">
        <v>0</v>
      </c>
      <c r="L6" s="84" t="s">
        <v>304</v>
      </c>
      <c r="M6" s="84" t="s">
        <v>993</v>
      </c>
      <c r="N6" s="84" t="s">
        <v>839</v>
      </c>
      <c r="O6" s="84"/>
      <c r="P6" s="84"/>
      <c r="Q6" s="84"/>
      <c r="R6" s="84"/>
      <c r="S6" s="84"/>
      <c r="T6" s="84"/>
      <c r="U6" s="84"/>
      <c r="V6" s="84" t="s">
        <v>840</v>
      </c>
      <c r="W6" s="84" t="s">
        <v>1407</v>
      </c>
      <c r="X6" s="84"/>
      <c r="Y6" s="84"/>
      <c r="Z6" s="84"/>
      <c r="AA6" s="84"/>
      <c r="AB6" s="84" t="s">
        <v>1405</v>
      </c>
      <c r="AC6" s="84"/>
      <c r="AD6" s="84"/>
      <c r="AE6" s="84"/>
      <c r="AF6" s="84"/>
    </row>
    <row r="9" spans="1:32" x14ac:dyDescent="0.3">
      <c r="A9" t="s">
        <v>996</v>
      </c>
      <c r="B9" t="s">
        <v>996</v>
      </c>
      <c r="D9">
        <v>1</v>
      </c>
      <c r="I9" t="s">
        <v>1009</v>
      </c>
      <c r="J9">
        <v>25</v>
      </c>
      <c r="K9" s="117">
        <v>0</v>
      </c>
      <c r="L9" t="s">
        <v>304</v>
      </c>
      <c r="M9" t="s">
        <v>1010</v>
      </c>
      <c r="N9" t="s">
        <v>839</v>
      </c>
      <c r="V9" t="s">
        <v>840</v>
      </c>
      <c r="W9" t="s">
        <v>1407</v>
      </c>
      <c r="AB9" t="s">
        <v>1405</v>
      </c>
    </row>
    <row r="10" spans="1:32" x14ac:dyDescent="0.3">
      <c r="A10" t="s">
        <v>997</v>
      </c>
      <c r="B10" t="s">
        <v>997</v>
      </c>
      <c r="D10">
        <v>1</v>
      </c>
      <c r="I10" t="s">
        <v>1011</v>
      </c>
      <c r="J10">
        <v>25</v>
      </c>
      <c r="K10" s="117">
        <v>0</v>
      </c>
      <c r="L10" t="s">
        <v>304</v>
      </c>
      <c r="M10" t="s">
        <v>1012</v>
      </c>
      <c r="N10" t="s">
        <v>839</v>
      </c>
      <c r="V10" t="s">
        <v>840</v>
      </c>
      <c r="W10" t="s">
        <v>1407</v>
      </c>
      <c r="AB10" t="s">
        <v>1405</v>
      </c>
    </row>
    <row r="11" spans="1:32" x14ac:dyDescent="0.3">
      <c r="A11" t="s">
        <v>998</v>
      </c>
      <c r="B11" t="s">
        <v>998</v>
      </c>
      <c r="D11">
        <v>1</v>
      </c>
      <c r="I11" t="s">
        <v>1013</v>
      </c>
      <c r="J11">
        <v>25</v>
      </c>
      <c r="K11" s="117">
        <v>0</v>
      </c>
      <c r="L11" t="s">
        <v>304</v>
      </c>
      <c r="M11" t="s">
        <v>1014</v>
      </c>
      <c r="N11" t="s">
        <v>839</v>
      </c>
      <c r="V11" t="s">
        <v>840</v>
      </c>
      <c r="W11" t="s">
        <v>1407</v>
      </c>
      <c r="AB11" t="s">
        <v>1405</v>
      </c>
    </row>
    <row r="12" spans="1:32" x14ac:dyDescent="0.3">
      <c r="A12" t="s">
        <v>999</v>
      </c>
      <c r="B12" t="s">
        <v>999</v>
      </c>
      <c r="D12">
        <v>1</v>
      </c>
      <c r="I12" t="s">
        <v>1015</v>
      </c>
      <c r="J12">
        <v>25</v>
      </c>
      <c r="K12" s="117">
        <v>0</v>
      </c>
      <c r="L12" t="s">
        <v>304</v>
      </c>
      <c r="M12" t="s">
        <v>1016</v>
      </c>
      <c r="N12" t="s">
        <v>839</v>
      </c>
      <c r="V12" t="s">
        <v>840</v>
      </c>
      <c r="W12" t="s">
        <v>1407</v>
      </c>
      <c r="AB12" t="s">
        <v>1405</v>
      </c>
    </row>
    <row r="13" spans="1:32" x14ac:dyDescent="0.3">
      <c r="A13" t="s">
        <v>1000</v>
      </c>
      <c r="B13" t="s">
        <v>1000</v>
      </c>
      <c r="D13">
        <v>1</v>
      </c>
      <c r="I13" t="s">
        <v>1017</v>
      </c>
      <c r="J13">
        <v>25</v>
      </c>
      <c r="K13" s="117">
        <v>0</v>
      </c>
      <c r="L13" t="s">
        <v>304</v>
      </c>
      <c r="M13" t="s">
        <v>1018</v>
      </c>
      <c r="N13" t="s">
        <v>839</v>
      </c>
      <c r="V13" t="s">
        <v>840</v>
      </c>
      <c r="W13" t="s">
        <v>1407</v>
      </c>
      <c r="AB13" t="s">
        <v>1405</v>
      </c>
    </row>
    <row r="15" spans="1:32" x14ac:dyDescent="0.3">
      <c r="A15" t="s">
        <v>1001</v>
      </c>
      <c r="B15" t="s">
        <v>1001</v>
      </c>
      <c r="D15">
        <v>1</v>
      </c>
      <c r="I15" t="s">
        <v>1019</v>
      </c>
      <c r="J15">
        <v>25</v>
      </c>
      <c r="K15" s="117">
        <v>0</v>
      </c>
      <c r="L15" t="s">
        <v>304</v>
      </c>
      <c r="M15" t="s">
        <v>1020</v>
      </c>
      <c r="N15" t="s">
        <v>839</v>
      </c>
      <c r="V15" t="s">
        <v>840</v>
      </c>
      <c r="W15" t="s">
        <v>1407</v>
      </c>
      <c r="AB15" t="s">
        <v>1405</v>
      </c>
    </row>
    <row r="16" spans="1:32" x14ac:dyDescent="0.3">
      <c r="A16" t="s">
        <v>1002</v>
      </c>
      <c r="B16" t="s">
        <v>1002</v>
      </c>
      <c r="D16">
        <v>1</v>
      </c>
      <c r="I16" t="s">
        <v>1021</v>
      </c>
      <c r="J16">
        <v>25</v>
      </c>
      <c r="K16" s="117">
        <v>0</v>
      </c>
      <c r="L16" t="s">
        <v>304</v>
      </c>
      <c r="M16" t="s">
        <v>1022</v>
      </c>
      <c r="N16" t="s">
        <v>839</v>
      </c>
      <c r="V16" t="s">
        <v>840</v>
      </c>
      <c r="W16" t="s">
        <v>1407</v>
      </c>
      <c r="AB16" t="s">
        <v>1405</v>
      </c>
    </row>
    <row r="18" spans="1:32" x14ac:dyDescent="0.3">
      <c r="A18" t="s">
        <v>1003</v>
      </c>
      <c r="B18" t="s">
        <v>1003</v>
      </c>
      <c r="D18">
        <v>1</v>
      </c>
      <c r="I18" t="s">
        <v>1023</v>
      </c>
      <c r="J18">
        <v>25</v>
      </c>
      <c r="K18" s="117">
        <v>0</v>
      </c>
      <c r="L18" t="s">
        <v>304</v>
      </c>
      <c r="M18" t="s">
        <v>1024</v>
      </c>
      <c r="N18" t="s">
        <v>839</v>
      </c>
      <c r="V18" t="s">
        <v>840</v>
      </c>
      <c r="W18" t="s">
        <v>1407</v>
      </c>
      <c r="AB18" t="s">
        <v>1405</v>
      </c>
    </row>
    <row r="19" spans="1:32" x14ac:dyDescent="0.3">
      <c r="A19" t="s">
        <v>1004</v>
      </c>
      <c r="B19" t="s">
        <v>1004</v>
      </c>
      <c r="D19">
        <v>1</v>
      </c>
      <c r="I19" t="s">
        <v>1025</v>
      </c>
      <c r="J19">
        <v>25</v>
      </c>
      <c r="K19" s="117">
        <v>0</v>
      </c>
      <c r="L19" t="s">
        <v>304</v>
      </c>
      <c r="M19" t="s">
        <v>1026</v>
      </c>
      <c r="N19" t="s">
        <v>839</v>
      </c>
      <c r="V19" t="s">
        <v>840</v>
      </c>
      <c r="W19" t="s">
        <v>1407</v>
      </c>
      <c r="AB19" t="s">
        <v>1405</v>
      </c>
    </row>
    <row r="21" spans="1:32" x14ac:dyDescent="0.3">
      <c r="A21" t="s">
        <v>1005</v>
      </c>
      <c r="B21" t="s">
        <v>1005</v>
      </c>
      <c r="D21">
        <v>1</v>
      </c>
      <c r="I21" t="s">
        <v>1027</v>
      </c>
      <c r="J21">
        <v>25</v>
      </c>
      <c r="K21" s="117">
        <v>0</v>
      </c>
      <c r="L21" t="s">
        <v>304</v>
      </c>
      <c r="M21" t="s">
        <v>1028</v>
      </c>
      <c r="N21" t="s">
        <v>839</v>
      </c>
      <c r="V21" t="s">
        <v>840</v>
      </c>
      <c r="W21" t="s">
        <v>1407</v>
      </c>
      <c r="AB21" t="s">
        <v>1405</v>
      </c>
    </row>
    <row r="22" spans="1:32" x14ac:dyDescent="0.3">
      <c r="A22" t="s">
        <v>1006</v>
      </c>
      <c r="B22" t="s">
        <v>1006</v>
      </c>
      <c r="D22">
        <v>1</v>
      </c>
      <c r="I22" t="s">
        <v>1029</v>
      </c>
      <c r="J22">
        <v>25</v>
      </c>
      <c r="K22" s="117">
        <v>0</v>
      </c>
      <c r="L22" t="s">
        <v>304</v>
      </c>
      <c r="M22" t="s">
        <v>1030</v>
      </c>
      <c r="N22" t="s">
        <v>839</v>
      </c>
      <c r="V22" t="s">
        <v>840</v>
      </c>
      <c r="W22" t="s">
        <v>1407</v>
      </c>
      <c r="AB22" t="s">
        <v>1405</v>
      </c>
    </row>
    <row r="25" spans="1:32" x14ac:dyDescent="0.3">
      <c r="A25" s="84" t="s">
        <v>1007</v>
      </c>
      <c r="B25" s="84" t="s">
        <v>1007</v>
      </c>
      <c r="C25" s="84"/>
      <c r="D25" s="84">
        <v>1</v>
      </c>
      <c r="E25" s="84"/>
      <c r="F25" s="84"/>
      <c r="G25" s="84"/>
      <c r="H25" s="84"/>
      <c r="I25" s="84" t="s">
        <v>1031</v>
      </c>
      <c r="J25" s="84">
        <v>25</v>
      </c>
      <c r="K25" s="118">
        <v>0</v>
      </c>
      <c r="L25" s="84" t="s">
        <v>304</v>
      </c>
      <c r="M25" s="84" t="s">
        <v>1032</v>
      </c>
      <c r="N25" s="84" t="s">
        <v>839</v>
      </c>
      <c r="O25" s="84"/>
      <c r="P25" s="84"/>
      <c r="Q25" s="84"/>
      <c r="R25" s="84"/>
      <c r="S25" s="84"/>
      <c r="T25" s="84"/>
      <c r="U25" s="84"/>
      <c r="V25" s="84" t="s">
        <v>840</v>
      </c>
      <c r="W25" s="84" t="s">
        <v>1407</v>
      </c>
      <c r="X25" s="84"/>
      <c r="Y25" s="84"/>
      <c r="Z25" s="84"/>
      <c r="AA25" s="84"/>
      <c r="AB25" s="84" t="s">
        <v>1405</v>
      </c>
      <c r="AC25" s="84"/>
      <c r="AD25" s="84"/>
      <c r="AE25" s="84"/>
      <c r="AF25" s="84"/>
    </row>
  </sheetData>
  <printOptions gridLines="1"/>
  <pageMargins left="0" right="0" top="0" bottom="0" header="0" footer="0"/>
  <pageSetup paperSize="8" scale="45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9B696-ECCB-47B4-AE89-E4A2F0B50FA5}">
  <sheetPr codeName="Sheet18">
    <tabColor theme="0" tint="-0.499984740745262"/>
    <pageSetUpPr fitToPage="1"/>
  </sheetPr>
  <dimension ref="A1:AF1"/>
  <sheetViews>
    <sheetView zoomScaleNormal="100" workbookViewId="0">
      <pane ySplit="1" topLeftCell="A2" activePane="bottomLeft" state="frozen"/>
      <selection activeCell="C13" sqref="C13"/>
      <selection pane="bottomLeft" activeCell="C13" sqref="C13"/>
    </sheetView>
  </sheetViews>
  <sheetFormatPr defaultRowHeight="14.4" x14ac:dyDescent="0.3"/>
  <cols>
    <col min="1" max="1" width="10.6640625" customWidth="1"/>
    <col min="2" max="2" width="37.5546875" customWidth="1"/>
    <col min="3" max="3" width="20.44140625" customWidth="1"/>
    <col min="4" max="7" width="5.6640625" customWidth="1"/>
    <col min="8" max="22" width="10.6640625" customWidth="1"/>
    <col min="23" max="23" width="38.6640625" customWidth="1"/>
    <col min="24" max="29" width="10.6640625" customWidth="1"/>
    <col min="30" max="31" width="100.6640625" customWidth="1"/>
    <col min="32" max="32" width="11.5546875" customWidth="1"/>
    <col min="33" max="52" width="9.109375"/>
  </cols>
  <sheetData>
    <row r="1" spans="1:32" ht="47.25" customHeight="1" thickBot="1" x14ac:dyDescent="0.35">
      <c r="A1" s="30" t="s">
        <v>191</v>
      </c>
      <c r="B1" s="31" t="s">
        <v>198</v>
      </c>
      <c r="C1" s="31" t="s">
        <v>199</v>
      </c>
      <c r="D1" s="31" t="s">
        <v>194</v>
      </c>
      <c r="E1" s="31" t="s">
        <v>195</v>
      </c>
      <c r="F1" s="31" t="s">
        <v>196</v>
      </c>
      <c r="G1" s="31" t="s">
        <v>190</v>
      </c>
      <c r="H1" s="31" t="s">
        <v>197</v>
      </c>
      <c r="I1" s="31" t="s">
        <v>200</v>
      </c>
      <c r="J1" s="31" t="s">
        <v>201</v>
      </c>
      <c r="K1" s="31" t="s">
        <v>202</v>
      </c>
      <c r="L1" s="31" t="s">
        <v>203</v>
      </c>
      <c r="M1" s="31" t="s">
        <v>204</v>
      </c>
      <c r="N1" s="31" t="s">
        <v>205</v>
      </c>
      <c r="O1" s="31" t="s">
        <v>206</v>
      </c>
      <c r="P1" s="31" t="s">
        <v>78</v>
      </c>
      <c r="Q1" s="31" t="s">
        <v>207</v>
      </c>
      <c r="R1" s="31" t="s">
        <v>208</v>
      </c>
      <c r="S1" s="31" t="s">
        <v>209</v>
      </c>
      <c r="T1" s="31" t="s">
        <v>210</v>
      </c>
      <c r="U1" s="31" t="s">
        <v>211</v>
      </c>
      <c r="V1" s="31" t="s">
        <v>212</v>
      </c>
      <c r="W1" s="31" t="s">
        <v>213</v>
      </c>
      <c r="X1" s="31" t="s">
        <v>214</v>
      </c>
      <c r="Y1" s="31" t="s">
        <v>215</v>
      </c>
      <c r="Z1" s="31" t="s">
        <v>216</v>
      </c>
      <c r="AA1" s="31" t="s">
        <v>217</v>
      </c>
      <c r="AB1" s="31" t="s">
        <v>218</v>
      </c>
      <c r="AC1" s="61" t="s">
        <v>192</v>
      </c>
      <c r="AD1" s="30" t="s">
        <v>262</v>
      </c>
      <c r="AE1" s="29" t="s">
        <v>263</v>
      </c>
      <c r="AF1" s="63" t="s">
        <v>251</v>
      </c>
    </row>
  </sheetData>
  <printOptions gridLines="1"/>
  <pageMargins left="0" right="0" top="0" bottom="0" header="0" footer="0"/>
  <pageSetup paperSize="8" scale="37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1BFBA-D46E-465A-936A-DC278659CA67}">
  <sheetPr codeName="Sheet2">
    <tabColor theme="8" tint="0.79998168889431442"/>
    <pageSetUpPr fitToPage="1"/>
  </sheetPr>
  <dimension ref="A1:AC6"/>
  <sheetViews>
    <sheetView workbookViewId="0">
      <selection activeCell="C13" sqref="C13"/>
    </sheetView>
  </sheetViews>
  <sheetFormatPr defaultRowHeight="14.4" x14ac:dyDescent="0.3"/>
  <cols>
    <col min="1" max="1" width="11.109375" customWidth="1"/>
    <col min="2" max="2" width="42.6640625" bestFit="1" customWidth="1"/>
    <col min="3" max="3" width="61.6640625" bestFit="1" customWidth="1"/>
    <col min="4" max="4" width="10.44140625" bestFit="1" customWidth="1"/>
  </cols>
  <sheetData>
    <row r="1" spans="1:29" x14ac:dyDescent="0.3">
      <c r="A1" t="s">
        <v>220</v>
      </c>
      <c r="B1" t="s">
        <v>221</v>
      </c>
      <c r="C1" t="s">
        <v>222</v>
      </c>
      <c r="D1" t="s">
        <v>223</v>
      </c>
      <c r="E1" t="s">
        <v>224</v>
      </c>
      <c r="F1" t="s">
        <v>225</v>
      </c>
      <c r="G1" t="s">
        <v>190</v>
      </c>
      <c r="H1" t="s">
        <v>226</v>
      </c>
      <c r="I1" t="s">
        <v>227</v>
      </c>
      <c r="J1" t="s">
        <v>228</v>
      </c>
      <c r="K1" t="s">
        <v>229</v>
      </c>
      <c r="L1" t="s">
        <v>230</v>
      </c>
      <c r="M1" t="s">
        <v>231</v>
      </c>
      <c r="N1" t="s">
        <v>232</v>
      </c>
      <c r="O1" t="s">
        <v>233</v>
      </c>
      <c r="P1" t="s">
        <v>234</v>
      </c>
      <c r="Q1" t="s">
        <v>235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245</v>
      </c>
      <c r="AB1" t="s">
        <v>246</v>
      </c>
      <c r="AC1" t="s">
        <v>247</v>
      </c>
    </row>
    <row r="2" spans="1:29" x14ac:dyDescent="0.3">
      <c r="A2" t="s">
        <v>248</v>
      </c>
    </row>
    <row r="4" spans="1:29" x14ac:dyDescent="0.3">
      <c r="A4" t="s">
        <v>249</v>
      </c>
    </row>
    <row r="6" spans="1:29" x14ac:dyDescent="0.3">
      <c r="A6" t="s">
        <v>250</v>
      </c>
    </row>
  </sheetData>
  <printOptions gridLines="1"/>
  <pageMargins left="0" right="0" top="0" bottom="0" header="0" footer="0"/>
  <pageSetup paperSize="8" scale="58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BC050-91E6-45FB-A36B-5F02E1CF3210}">
  <sheetPr codeName="Sheet19">
    <tabColor theme="4" tint="0.79998168889431442"/>
    <pageSetUpPr fitToPage="1"/>
  </sheetPr>
  <dimension ref="A1:A9"/>
  <sheetViews>
    <sheetView workbookViewId="0">
      <selection activeCell="C13" sqref="C13"/>
    </sheetView>
  </sheetViews>
  <sheetFormatPr defaultRowHeight="14.4" x14ac:dyDescent="0.3"/>
  <cols>
    <col min="1" max="1" width="255.6640625" bestFit="1" customWidth="1"/>
  </cols>
  <sheetData>
    <row r="1" spans="1:1" x14ac:dyDescent="0.3">
      <c r="A1" t="s">
        <v>253</v>
      </c>
    </row>
    <row r="2" spans="1:1" x14ac:dyDescent="0.3">
      <c r="A2" t="s">
        <v>254</v>
      </c>
    </row>
    <row r="3" spans="1:1" x14ac:dyDescent="0.3">
      <c r="A3" t="s">
        <v>255</v>
      </c>
    </row>
    <row r="4" spans="1:1" x14ac:dyDescent="0.3">
      <c r="A4" t="s">
        <v>256</v>
      </c>
    </row>
    <row r="5" spans="1:1" x14ac:dyDescent="0.3">
      <c r="A5" t="s">
        <v>257</v>
      </c>
    </row>
    <row r="6" spans="1:1" x14ac:dyDescent="0.3">
      <c r="A6" t="s">
        <v>258</v>
      </c>
    </row>
    <row r="7" spans="1:1" x14ac:dyDescent="0.3">
      <c r="A7" t="s">
        <v>259</v>
      </c>
    </row>
    <row r="8" spans="1:1" x14ac:dyDescent="0.3">
      <c r="A8" t="s">
        <v>266</v>
      </c>
    </row>
    <row r="9" spans="1:1" x14ac:dyDescent="0.3">
      <c r="A9" t="s">
        <v>260</v>
      </c>
    </row>
  </sheetData>
  <printOptions gridLines="1"/>
  <pageMargins left="0" right="0" top="0" bottom="0" header="0" footer="0"/>
  <pageSetup paperSize="8" scale="51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07EEA-FB71-4FD3-B8A8-A613F9C0CCAA}">
  <sheetPr codeName="Template_UDT16">
    <tabColor theme="9" tint="-0.499984740745262"/>
    <pageSetUpPr fitToPage="1"/>
  </sheetPr>
  <dimension ref="A1:FJ5"/>
  <sheetViews>
    <sheetView zoomScale="85" zoomScaleNormal="85" workbookViewId="0">
      <pane ySplit="4" topLeftCell="A5" activePane="bottomLeft" state="frozen"/>
      <selection activeCell="Q57" sqref="Q57"/>
      <selection pane="bottomLeft" activeCell="C13" sqref="C13"/>
    </sheetView>
  </sheetViews>
  <sheetFormatPr defaultRowHeight="14.4" x14ac:dyDescent="0.3"/>
  <cols>
    <col min="1" max="1" width="30.33203125" customWidth="1"/>
    <col min="2" max="2" width="15.5546875" customWidth="1"/>
    <col min="3" max="3" width="53.109375" customWidth="1"/>
    <col min="4" max="4" width="13.44140625" hidden="1" customWidth="1"/>
    <col min="5" max="5" width="10" hidden="1" customWidth="1"/>
    <col min="6" max="6" width="8.88671875" hidden="1" customWidth="1"/>
    <col min="7" max="7" width="42.109375" hidden="1" customWidth="1"/>
    <col min="8" max="8" width="15" hidden="1" customWidth="1"/>
    <col min="9" max="10" width="1.6640625" hidden="1" customWidth="1"/>
    <col min="11" max="11" width="37.33203125" customWidth="1"/>
    <col min="12" max="12" width="8" customWidth="1"/>
    <col min="13" max="13" width="7.109375" customWidth="1"/>
    <col min="14" max="14" width="7.6640625" customWidth="1"/>
    <col min="15" max="15" width="6.5546875" customWidth="1"/>
    <col min="16" max="16" width="7.33203125" customWidth="1"/>
    <col min="17" max="17" width="7.44140625" customWidth="1"/>
    <col min="18" max="18" width="8.33203125" customWidth="1"/>
    <col min="19" max="19" width="8.44140625" customWidth="1"/>
    <col min="20" max="20" width="13" customWidth="1"/>
    <col min="21" max="21" width="10" customWidth="1"/>
    <col min="22" max="22" width="11.5546875" customWidth="1"/>
    <col min="23" max="23" width="9.6640625" customWidth="1"/>
    <col min="24" max="36" width="9" customWidth="1"/>
    <col min="37" max="38" width="16" customWidth="1"/>
    <col min="39" max="42" width="8.6640625" customWidth="1"/>
    <col min="43" max="43" width="22.88671875" hidden="1" customWidth="1"/>
    <col min="44" max="44" width="9.109375" hidden="1" customWidth="1"/>
    <col min="45" max="45" width="12.88671875" hidden="1" customWidth="1"/>
    <col min="46" max="46" width="36.88671875" hidden="1" customWidth="1"/>
    <col min="47" max="47" width="12.109375" hidden="1" customWidth="1"/>
    <col min="48" max="48" width="11.44140625" hidden="1" customWidth="1"/>
    <col min="49" max="49" width="11.6640625" hidden="1" customWidth="1"/>
    <col min="50" max="50" width="11" hidden="1" customWidth="1"/>
    <col min="51" max="51" width="12" hidden="1" customWidth="1"/>
    <col min="52" max="52" width="10" hidden="1" customWidth="1"/>
    <col min="53" max="53" width="29.33203125" hidden="1" customWidth="1"/>
    <col min="54" max="54" width="11.109375" hidden="1" customWidth="1"/>
    <col min="55" max="55" width="8.109375" hidden="1" customWidth="1"/>
    <col min="56" max="56" width="4.5546875" hidden="1" customWidth="1"/>
    <col min="57" max="57" width="5.88671875" hidden="1" customWidth="1"/>
    <col min="58" max="58" width="6.33203125" hidden="1" customWidth="1"/>
    <col min="59" max="59" width="12.5546875" hidden="1" customWidth="1"/>
    <col min="60" max="60" width="9.6640625" hidden="1" customWidth="1"/>
    <col min="61" max="61" width="13.5546875" hidden="1" customWidth="1"/>
    <col min="62" max="62" width="10.109375" hidden="1" customWidth="1"/>
    <col min="63" max="63" width="7.109375" hidden="1" customWidth="1"/>
    <col min="64" max="64" width="8.88671875" hidden="1" customWidth="1"/>
    <col min="65" max="65" width="11.6640625" hidden="1" customWidth="1"/>
    <col min="66" max="66" width="15.44140625" hidden="1" customWidth="1"/>
    <col min="67" max="67" width="10.6640625" hidden="1" customWidth="1"/>
    <col min="68" max="68" width="14.33203125" hidden="1" customWidth="1"/>
    <col min="69" max="73" width="10.6640625" hidden="1" customWidth="1"/>
    <col min="74" max="74" width="18.5546875" hidden="1" customWidth="1"/>
    <col min="75" max="75" width="20.44140625" hidden="1" customWidth="1"/>
    <col min="76" max="76" width="38.5546875" hidden="1" customWidth="1"/>
    <col min="77" max="77" width="18.5546875" hidden="1" customWidth="1"/>
    <col min="78" max="78" width="18.6640625" hidden="1" customWidth="1"/>
    <col min="79" max="79" width="12.109375" hidden="1" customWidth="1"/>
    <col min="80" max="80" width="21.6640625" hidden="1" customWidth="1"/>
    <col min="81" max="81" width="5.88671875" hidden="1" customWidth="1"/>
    <col min="82" max="82" width="6.88671875" hidden="1" customWidth="1"/>
    <col min="83" max="83" width="28.5546875" hidden="1" customWidth="1"/>
    <col min="84" max="84" width="11.6640625" hidden="1" customWidth="1"/>
    <col min="85" max="85" width="7.6640625" hidden="1" customWidth="1"/>
    <col min="86" max="86" width="10.33203125" hidden="1" customWidth="1"/>
    <col min="87" max="93" width="10.6640625" hidden="1" customWidth="1"/>
    <col min="94" max="94" width="10.109375" hidden="1" customWidth="1"/>
    <col min="95" max="95" width="13.5546875" hidden="1" customWidth="1"/>
    <col min="96" max="96" width="8.88671875" hidden="1" customWidth="1"/>
    <col min="97" max="97" width="13.109375" hidden="1" customWidth="1"/>
    <col min="98" max="98" width="11.109375" hidden="1" customWidth="1"/>
    <col min="99" max="99" width="8.109375" hidden="1" customWidth="1"/>
    <col min="100" max="100" width="7.109375" hidden="1" customWidth="1"/>
    <col min="101" max="101" width="6" hidden="1" customWidth="1"/>
    <col min="102" max="102" width="11.6640625" hidden="1" customWidth="1"/>
    <col min="103" max="104" width="18.5546875" customWidth="1"/>
    <col min="105" max="105" width="6.6640625" customWidth="1"/>
    <col min="106" max="106" width="13.5546875" customWidth="1"/>
    <col min="107" max="107" width="6.6640625" customWidth="1"/>
    <col min="108" max="108" width="6.88671875" customWidth="1"/>
    <col min="109" max="109" width="12" customWidth="1"/>
    <col min="110" max="110" width="10" customWidth="1"/>
    <col min="111" max="111" width="15.44140625" customWidth="1"/>
    <col min="112" max="112" width="6.6640625" customWidth="1"/>
    <col min="113" max="113" width="10" customWidth="1"/>
    <col min="114" max="114" width="8.88671875" customWidth="1"/>
    <col min="115" max="115" width="28.5546875" customWidth="1"/>
    <col min="116" max="116" width="16.33203125" customWidth="1"/>
    <col min="117" max="117" width="10.5546875" customWidth="1"/>
    <col min="118" max="119" width="6.6640625" customWidth="1"/>
    <col min="120" max="120" width="13.5546875" customWidth="1"/>
    <col min="121" max="121" width="14.5546875" customWidth="1"/>
    <col min="122" max="122" width="8.33203125" customWidth="1"/>
    <col min="123" max="123" width="12.88671875" customWidth="1"/>
    <col min="124" max="124" width="31" customWidth="1"/>
    <col min="125" max="125" width="10.109375" customWidth="1"/>
    <col min="126" max="126" width="13.5546875" customWidth="1"/>
    <col min="127" max="127" width="11.109375" customWidth="1"/>
    <col min="128" max="128" width="8.109375" customWidth="1"/>
    <col min="129" max="129" width="12.5546875" customWidth="1"/>
    <col min="130" max="130" width="7.109375" customWidth="1"/>
    <col min="131" max="131" width="6.6640625" customWidth="1"/>
    <col min="132" max="133" width="11.6640625" customWidth="1"/>
    <col min="134" max="134" width="11" customWidth="1"/>
    <col min="135" max="135" width="10.6640625" hidden="1" customWidth="1"/>
    <col min="136" max="136" width="37.5546875" hidden="1" customWidth="1"/>
    <col min="137" max="137" width="20.44140625" hidden="1" customWidth="1"/>
    <col min="138" max="141" width="5.6640625" hidden="1" customWidth="1"/>
    <col min="142" max="156" width="10.6640625" hidden="1" customWidth="1"/>
    <col min="157" max="157" width="38.6640625" hidden="1" customWidth="1"/>
    <col min="158" max="163" width="10.6640625" hidden="1" customWidth="1"/>
    <col min="164" max="165" width="100.6640625" hidden="1" customWidth="1"/>
    <col min="166" max="166" width="11.5546875" hidden="1" customWidth="1"/>
  </cols>
  <sheetData>
    <row r="1" spans="1:166" ht="32.25" customHeight="1" x14ac:dyDescent="0.3"/>
    <row r="2" spans="1:166" ht="48" customHeight="1" thickBot="1" x14ac:dyDescent="0.35">
      <c r="C2" s="20"/>
      <c r="D2" s="121" t="s">
        <v>292</v>
      </c>
      <c r="E2" s="121"/>
      <c r="F2" s="121"/>
      <c r="G2" s="121"/>
      <c r="H2" s="121"/>
      <c r="M2" s="60"/>
      <c r="N2" s="60"/>
      <c r="O2" s="60"/>
      <c r="P2" s="60"/>
      <c r="Q2" s="60"/>
      <c r="R2" s="60"/>
      <c r="S2" s="60"/>
      <c r="T2" s="60" t="s">
        <v>275</v>
      </c>
      <c r="U2" s="60" t="s">
        <v>274</v>
      </c>
      <c r="V2" s="60"/>
      <c r="W2" s="60"/>
      <c r="X2" s="60"/>
      <c r="Y2" s="60" t="s">
        <v>272</v>
      </c>
      <c r="Z2" s="71"/>
      <c r="AA2" s="71"/>
      <c r="AB2" s="60" t="s">
        <v>269</v>
      </c>
      <c r="AC2" s="60" t="s">
        <v>276</v>
      </c>
      <c r="AD2" s="60" t="s">
        <v>289</v>
      </c>
      <c r="AE2" s="60" t="s">
        <v>281</v>
      </c>
      <c r="AF2" s="60" t="s">
        <v>277</v>
      </c>
      <c r="AG2" s="128" t="s">
        <v>278</v>
      </c>
      <c r="AH2" s="128"/>
      <c r="AI2" s="60"/>
      <c r="AJ2" s="60"/>
      <c r="FH2" s="20" t="s">
        <v>264</v>
      </c>
      <c r="FI2" s="20" t="s">
        <v>290</v>
      </c>
    </row>
    <row r="3" spans="1:166" ht="15" thickBot="1" x14ac:dyDescent="0.35">
      <c r="D3" s="125" t="s">
        <v>72</v>
      </c>
      <c r="E3" s="126"/>
      <c r="F3" s="126"/>
      <c r="G3" s="126"/>
      <c r="H3" s="126"/>
      <c r="I3" s="126"/>
      <c r="J3" s="127"/>
      <c r="K3" s="122" t="s">
        <v>83</v>
      </c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2" t="s">
        <v>284</v>
      </c>
      <c r="AL3" s="124"/>
      <c r="AM3" s="122" t="s">
        <v>303</v>
      </c>
      <c r="AN3" s="123"/>
      <c r="AO3" s="123"/>
      <c r="AP3" s="124"/>
      <c r="AQ3" s="125" t="s">
        <v>91</v>
      </c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7"/>
      <c r="BV3" s="125" t="s">
        <v>89</v>
      </c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  <c r="CT3" s="126"/>
      <c r="CU3" s="126"/>
      <c r="CV3" s="126"/>
      <c r="CW3" s="126"/>
      <c r="CX3" s="127"/>
      <c r="CY3" s="125" t="s">
        <v>90</v>
      </c>
      <c r="CZ3" s="126"/>
      <c r="DA3" s="126"/>
      <c r="DB3" s="126"/>
      <c r="DC3" s="126"/>
      <c r="DD3" s="126"/>
      <c r="DE3" s="126"/>
      <c r="DF3" s="126"/>
      <c r="DG3" s="126"/>
      <c r="DH3" s="126"/>
      <c r="DI3" s="126"/>
      <c r="DJ3" s="126"/>
      <c r="DK3" s="126"/>
      <c r="DL3" s="126"/>
      <c r="DM3" s="126"/>
      <c r="DN3" s="126"/>
      <c r="DO3" s="126"/>
      <c r="DP3" s="126"/>
      <c r="DQ3" s="126"/>
      <c r="DR3" s="126"/>
      <c r="DS3" s="126"/>
      <c r="DT3" s="126"/>
      <c r="DU3" s="126"/>
      <c r="DV3" s="126"/>
      <c r="DW3" s="126"/>
      <c r="DX3" s="126"/>
      <c r="DY3" s="126"/>
      <c r="DZ3" s="126"/>
      <c r="EA3" s="126"/>
      <c r="EB3" s="126"/>
      <c r="EC3" s="126"/>
      <c r="ED3" s="127"/>
      <c r="EE3" s="122" t="s">
        <v>189</v>
      </c>
      <c r="EF3" s="123"/>
      <c r="EG3" s="123"/>
      <c r="EH3" s="123"/>
      <c r="EI3" s="123"/>
      <c r="EJ3" s="123"/>
      <c r="EK3" s="123"/>
      <c r="EL3" s="123"/>
      <c r="EM3" s="123"/>
      <c r="EN3" s="123"/>
      <c r="EO3" s="123"/>
      <c r="EP3" s="123"/>
      <c r="EQ3" s="123"/>
      <c r="ER3" s="123"/>
      <c r="ES3" s="123"/>
      <c r="ET3" s="123"/>
      <c r="EU3" s="123"/>
      <c r="EV3" s="123"/>
      <c r="EW3" s="123"/>
      <c r="EX3" s="123"/>
      <c r="EY3" s="123"/>
      <c r="EZ3" s="123"/>
      <c r="FA3" s="123"/>
      <c r="FB3" s="123"/>
      <c r="FC3" s="123"/>
      <c r="FD3" s="123"/>
      <c r="FE3" s="123"/>
      <c r="FF3" s="123"/>
      <c r="FG3" s="123"/>
      <c r="FH3" s="123"/>
      <c r="FI3" s="123"/>
      <c r="FJ3" s="124"/>
    </row>
    <row r="4" spans="1:166" s="32" customFormat="1" ht="44.25" customHeight="1" thickBot="1" x14ac:dyDescent="0.35">
      <c r="A4" s="21" t="s">
        <v>187</v>
      </c>
      <c r="B4" s="22" t="s">
        <v>76</v>
      </c>
      <c r="C4" s="23" t="s">
        <v>154</v>
      </c>
      <c r="D4" s="24" t="s">
        <v>86</v>
      </c>
      <c r="E4" s="18" t="s">
        <v>76</v>
      </c>
      <c r="F4" s="18" t="s">
        <v>87</v>
      </c>
      <c r="G4" s="18" t="s">
        <v>73</v>
      </c>
      <c r="H4" s="18" t="s">
        <v>88</v>
      </c>
      <c r="I4" s="25"/>
      <c r="J4" s="26"/>
      <c r="K4" s="21" t="s">
        <v>155</v>
      </c>
      <c r="L4" s="18" t="s">
        <v>327</v>
      </c>
      <c r="M4" s="18" t="s">
        <v>328</v>
      </c>
      <c r="N4" s="18" t="s">
        <v>329</v>
      </c>
      <c r="O4" s="18" t="s">
        <v>330</v>
      </c>
      <c r="P4" s="49" t="s">
        <v>331</v>
      </c>
      <c r="Q4" s="49" t="s">
        <v>332</v>
      </c>
      <c r="R4" s="18" t="s">
        <v>78</v>
      </c>
      <c r="S4" s="18" t="s">
        <v>81</v>
      </c>
      <c r="T4" s="18" t="s">
        <v>157</v>
      </c>
      <c r="U4" s="18" t="s">
        <v>77</v>
      </c>
      <c r="V4" s="27" t="s">
        <v>160</v>
      </c>
      <c r="W4" s="27" t="s">
        <v>161</v>
      </c>
      <c r="X4" s="27" t="s">
        <v>162</v>
      </c>
      <c r="Y4" s="28" t="s">
        <v>163</v>
      </c>
      <c r="Z4" s="70" t="s">
        <v>295</v>
      </c>
      <c r="AA4" s="70" t="s">
        <v>296</v>
      </c>
      <c r="AB4" s="49" t="s">
        <v>174</v>
      </c>
      <c r="AC4" s="49" t="s">
        <v>268</v>
      </c>
      <c r="AD4" s="49" t="s">
        <v>288</v>
      </c>
      <c r="AE4" s="49" t="s">
        <v>267</v>
      </c>
      <c r="AF4" s="49" t="s">
        <v>273</v>
      </c>
      <c r="AG4" s="67" t="s">
        <v>280</v>
      </c>
      <c r="AH4" s="67" t="s">
        <v>279</v>
      </c>
      <c r="AI4" s="67" t="s">
        <v>337</v>
      </c>
      <c r="AJ4" s="28" t="s">
        <v>339</v>
      </c>
      <c r="AK4" s="61" t="s">
        <v>282</v>
      </c>
      <c r="AL4" s="61" t="s">
        <v>283</v>
      </c>
      <c r="AM4" s="69" t="s">
        <v>299</v>
      </c>
      <c r="AN4" s="69" t="s">
        <v>301</v>
      </c>
      <c r="AO4" s="69" t="s">
        <v>300</v>
      </c>
      <c r="AP4" s="69" t="s">
        <v>302</v>
      </c>
      <c r="AQ4" s="30" t="s">
        <v>0</v>
      </c>
      <c r="AR4" s="31" t="s">
        <v>1</v>
      </c>
      <c r="AS4" s="31" t="s">
        <v>2</v>
      </c>
      <c r="AT4" s="31" t="s">
        <v>3</v>
      </c>
      <c r="AU4" s="31" t="s">
        <v>4</v>
      </c>
      <c r="AV4" s="31" t="s">
        <v>5</v>
      </c>
      <c r="AW4" s="31" t="s">
        <v>6</v>
      </c>
      <c r="AX4" s="31" t="s">
        <v>7</v>
      </c>
      <c r="AY4" s="31" t="s">
        <v>8</v>
      </c>
      <c r="AZ4" s="31" t="s">
        <v>9</v>
      </c>
      <c r="BA4" s="31" t="s">
        <v>10</v>
      </c>
      <c r="BB4" s="31" t="s">
        <v>11</v>
      </c>
      <c r="BC4" s="31" t="s">
        <v>12</v>
      </c>
      <c r="BD4" s="31" t="s">
        <v>13</v>
      </c>
      <c r="BE4" s="31" t="s">
        <v>14</v>
      </c>
      <c r="BF4" s="31" t="s">
        <v>15</v>
      </c>
      <c r="BG4" s="31" t="s">
        <v>16</v>
      </c>
      <c r="BH4" s="31" t="s">
        <v>17</v>
      </c>
      <c r="BI4" s="31" t="s">
        <v>18</v>
      </c>
      <c r="BJ4" s="31" t="s">
        <v>19</v>
      </c>
      <c r="BK4" s="31" t="s">
        <v>20</v>
      </c>
      <c r="BL4" s="31" t="s">
        <v>21</v>
      </c>
      <c r="BM4" s="31" t="s">
        <v>22</v>
      </c>
      <c r="BN4" s="31" t="s">
        <v>23</v>
      </c>
      <c r="BO4" s="31" t="s">
        <v>24</v>
      </c>
      <c r="BP4" s="31" t="s">
        <v>25</v>
      </c>
      <c r="BQ4" s="31" t="s">
        <v>26</v>
      </c>
      <c r="BR4" s="31" t="s">
        <v>27</v>
      </c>
      <c r="BS4" s="31" t="s">
        <v>28</v>
      </c>
      <c r="BT4" s="31" t="s">
        <v>29</v>
      </c>
      <c r="BU4" s="29" t="s">
        <v>30</v>
      </c>
      <c r="BV4" s="30" t="s">
        <v>31</v>
      </c>
      <c r="BW4" s="31" t="s">
        <v>0</v>
      </c>
      <c r="BX4" s="31" t="s">
        <v>32</v>
      </c>
      <c r="BY4" s="31" t="s">
        <v>33</v>
      </c>
      <c r="BZ4" s="31" t="s">
        <v>34</v>
      </c>
      <c r="CA4" s="31" t="s">
        <v>35</v>
      </c>
      <c r="CB4" s="31" t="s">
        <v>36</v>
      </c>
      <c r="CC4" s="31" t="s">
        <v>37</v>
      </c>
      <c r="CD4" s="31" t="s">
        <v>38</v>
      </c>
      <c r="CE4" s="31" t="s">
        <v>10</v>
      </c>
      <c r="CF4" s="31" t="s">
        <v>39</v>
      </c>
      <c r="CG4" s="31" t="s">
        <v>40</v>
      </c>
      <c r="CH4" s="31" t="s">
        <v>23</v>
      </c>
      <c r="CI4" s="31" t="s">
        <v>24</v>
      </c>
      <c r="CJ4" s="31" t="s">
        <v>25</v>
      </c>
      <c r="CK4" s="31" t="s">
        <v>26</v>
      </c>
      <c r="CL4" s="31" t="s">
        <v>27</v>
      </c>
      <c r="CM4" s="31" t="s">
        <v>28</v>
      </c>
      <c r="CN4" s="31" t="s">
        <v>29</v>
      </c>
      <c r="CO4" s="31" t="s">
        <v>30</v>
      </c>
      <c r="CP4" s="31" t="s">
        <v>19</v>
      </c>
      <c r="CQ4" s="31" t="s">
        <v>18</v>
      </c>
      <c r="CR4" s="31" t="s">
        <v>41</v>
      </c>
      <c r="CS4" s="31" t="s">
        <v>42</v>
      </c>
      <c r="CT4" s="31" t="s">
        <v>11</v>
      </c>
      <c r="CU4" s="31" t="s">
        <v>12</v>
      </c>
      <c r="CV4" s="31" t="s">
        <v>20</v>
      </c>
      <c r="CW4" s="31" t="s">
        <v>21</v>
      </c>
      <c r="CX4" s="29" t="s">
        <v>22</v>
      </c>
      <c r="CY4" s="30" t="s">
        <v>0</v>
      </c>
      <c r="CZ4" s="31" t="s">
        <v>43</v>
      </c>
      <c r="DA4" s="31"/>
      <c r="DB4" s="31" t="s">
        <v>45</v>
      </c>
      <c r="DC4" s="31" t="s">
        <v>37</v>
      </c>
      <c r="DD4" s="31" t="s">
        <v>38</v>
      </c>
      <c r="DE4" s="31" t="s">
        <v>8</v>
      </c>
      <c r="DF4" s="31" t="s">
        <v>9</v>
      </c>
      <c r="DG4" s="31" t="s">
        <v>46</v>
      </c>
      <c r="DH4" s="31" t="s">
        <v>47</v>
      </c>
      <c r="DI4" s="31" t="s">
        <v>48</v>
      </c>
      <c r="DJ4" s="31" t="s">
        <v>49</v>
      </c>
      <c r="DK4" s="31" t="s">
        <v>10</v>
      </c>
      <c r="DL4" s="31" t="s">
        <v>1</v>
      </c>
      <c r="DM4" s="31" t="s">
        <v>50</v>
      </c>
      <c r="DN4" s="31" t="s">
        <v>51</v>
      </c>
      <c r="DO4" s="31" t="s">
        <v>52</v>
      </c>
      <c r="DP4" s="31" t="s">
        <v>53</v>
      </c>
      <c r="DQ4" s="31" t="s">
        <v>54</v>
      </c>
      <c r="DR4" s="31" t="s">
        <v>55</v>
      </c>
      <c r="DS4" s="31" t="s">
        <v>56</v>
      </c>
      <c r="DT4" s="31" t="s">
        <v>57</v>
      </c>
      <c r="DU4" s="31" t="s">
        <v>19</v>
      </c>
      <c r="DV4" s="31" t="s">
        <v>18</v>
      </c>
      <c r="DW4" s="31" t="s">
        <v>11</v>
      </c>
      <c r="DX4" s="31" t="s">
        <v>12</v>
      </c>
      <c r="DY4" s="31" t="s">
        <v>16</v>
      </c>
      <c r="DZ4" s="31" t="s">
        <v>20</v>
      </c>
      <c r="EA4" s="31" t="s">
        <v>21</v>
      </c>
      <c r="EB4" s="31" t="s">
        <v>22</v>
      </c>
      <c r="EC4" s="31" t="s">
        <v>6</v>
      </c>
      <c r="ED4" s="29" t="s">
        <v>7</v>
      </c>
      <c r="EE4" s="30" t="s">
        <v>191</v>
      </c>
      <c r="EF4" s="31" t="s">
        <v>198</v>
      </c>
      <c r="EG4" s="31" t="s">
        <v>199</v>
      </c>
      <c r="EH4" s="31" t="s">
        <v>194</v>
      </c>
      <c r="EI4" s="31" t="s">
        <v>195</v>
      </c>
      <c r="EJ4" s="31" t="s">
        <v>196</v>
      </c>
      <c r="EK4" s="31" t="s">
        <v>190</v>
      </c>
      <c r="EL4" s="31" t="s">
        <v>197</v>
      </c>
      <c r="EM4" s="31" t="s">
        <v>200</v>
      </c>
      <c r="EN4" s="31" t="s">
        <v>201</v>
      </c>
      <c r="EO4" s="31" t="s">
        <v>202</v>
      </c>
      <c r="EP4" s="31" t="s">
        <v>203</v>
      </c>
      <c r="EQ4" s="31" t="s">
        <v>204</v>
      </c>
      <c r="ER4" s="31" t="s">
        <v>205</v>
      </c>
      <c r="ES4" s="31" t="s">
        <v>206</v>
      </c>
      <c r="ET4" s="31" t="s">
        <v>78</v>
      </c>
      <c r="EU4" s="31" t="s">
        <v>207</v>
      </c>
      <c r="EV4" s="31" t="s">
        <v>208</v>
      </c>
      <c r="EW4" s="31" t="s">
        <v>209</v>
      </c>
      <c r="EX4" s="31" t="s">
        <v>210</v>
      </c>
      <c r="EY4" s="31" t="s">
        <v>211</v>
      </c>
      <c r="EZ4" s="31" t="s">
        <v>212</v>
      </c>
      <c r="FA4" s="31" t="s">
        <v>213</v>
      </c>
      <c r="FB4" s="31" t="s">
        <v>214</v>
      </c>
      <c r="FC4" s="31" t="s">
        <v>215</v>
      </c>
      <c r="FD4" s="31" t="s">
        <v>216</v>
      </c>
      <c r="FE4" s="31" t="s">
        <v>217</v>
      </c>
      <c r="FF4" s="31" t="s">
        <v>218</v>
      </c>
      <c r="FG4" s="61" t="s">
        <v>192</v>
      </c>
      <c r="FH4" s="30" t="s">
        <v>262</v>
      </c>
      <c r="FI4" s="29" t="s">
        <v>263</v>
      </c>
      <c r="FJ4" s="63" t="s">
        <v>251</v>
      </c>
    </row>
    <row r="5" spans="1:166" x14ac:dyDescent="0.3">
      <c r="A5" s="53"/>
      <c r="B5" s="54"/>
      <c r="C5" s="54"/>
      <c r="D5" s="53"/>
      <c r="E5" s="54"/>
      <c r="F5" s="54"/>
      <c r="G5" s="54"/>
      <c r="H5" s="54"/>
      <c r="I5" s="54"/>
      <c r="J5" s="55"/>
      <c r="K5" s="56"/>
      <c r="T5" s="52"/>
      <c r="AK5" s="35" t="str">
        <f>IF(V5="",A5,V5)&amp;IF(W5&lt;&gt;"","{"&amp;W5&amp;"}","")&amp;IF(X5&lt;&gt;"","/"&amp;X5,"")</f>
        <v/>
      </c>
      <c r="AL5" s="35" t="str">
        <f>IF(V5="",A5,V5)&amp;IF(W5&lt;&gt;"","["&amp;W5&amp;"]","")&amp;IF(X5&lt;&gt;"","/"&amp;X5,"")</f>
        <v/>
      </c>
      <c r="AM5" s="35" t="b">
        <f>$AF5&lt;&gt;TRUE</f>
        <v>1</v>
      </c>
      <c r="AN5" s="35" t="b">
        <f>AND($U5&lt;&gt;"",$AF5&lt;&gt;TRUE, DL_DisableAlarms&lt;&gt;TRUE)</f>
        <v>0</v>
      </c>
      <c r="AO5" s="35" t="b">
        <f>AND($T5&lt;&gt;"",$AF5&lt;&gt;TRUE,DL_DisableTrends&lt;&gt;TRUE)</f>
        <v>0</v>
      </c>
      <c r="AP5" s="35" t="b">
        <f>AND(DL_PVEnable=TRUE,$AC5&lt;&gt;"IGNORE",$AF5&lt;&gt;TRUE)</f>
        <v>0</v>
      </c>
      <c r="AQ5" s="34" t="str">
        <f>IF($AM5,DL_TagPrefixFull&amp;A5,"")</f>
        <v>[TagPrefixFull]</v>
      </c>
      <c r="AR5" s="35" t="e">
        <f>IF($AM5,VLOOKUP(B5,DataTypeMappings!$A$2:$B$18,2,"FALSE"),"")</f>
        <v>#N/A</v>
      </c>
      <c r="AS5" s="35" t="str">
        <f>IF($AM5,IF(AG5&lt;&gt;"",AG5,DL_PLC),"")</f>
        <v>[PLC]</v>
      </c>
      <c r="AT5" s="35" t="str">
        <f>IF($AM5,IF($Y5="",DL_AddrPrefixFull&amp;AK5,Y5),"")</f>
        <v>[AddrPrefixFull]</v>
      </c>
      <c r="AU5" s="35" t="str">
        <f>IF($AM5,TRIM(L5),"")</f>
        <v/>
      </c>
      <c r="AV5" s="35" t="str">
        <f>IF($AM5,TRIM(M5),"")</f>
        <v/>
      </c>
      <c r="AW5" s="35" t="str">
        <f>IF($AM5,TRIM(N5),"")</f>
        <v/>
      </c>
      <c r="AX5" s="35" t="str">
        <f>IF($AM5,TRIM(O5),"")</f>
        <v/>
      </c>
      <c r="AY5" s="35" t="str">
        <f>IF($AM5,TRIM(R5),"")</f>
        <v/>
      </c>
      <c r="AZ5" s="35" t="str">
        <f>IF($AM5,TRIM(S5),"")</f>
        <v/>
      </c>
      <c r="BA5" s="35" t="str">
        <f>IF($AM5,IF(DL_Desc &lt;&gt; "", DL_Desc &amp; Global_Seperator &amp; K5, K5), "")</f>
        <v xml:space="preserve">[Desc] - </v>
      </c>
      <c r="BB5" s="35"/>
      <c r="BC5" s="35"/>
      <c r="BD5" s="35"/>
      <c r="BE5" s="35"/>
      <c r="BF5" s="35"/>
      <c r="BG5" s="35"/>
      <c r="BH5" s="35"/>
      <c r="BI5" s="35"/>
      <c r="BJ5" s="35" t="str">
        <f>IF($AM5,IF(AH5&lt;&gt;"",AH5,DL_Cluster),"")</f>
        <v>[Cluster]</v>
      </c>
      <c r="BK5" s="35" t="str">
        <f>IF($AM5,IF(Z5&lt;&gt;"",Z5,DL_Equip),"")</f>
        <v>[Equip]</v>
      </c>
      <c r="BL5" s="35" t="str">
        <f>IF($AM5,IF(BK5&lt;&gt;"",IF(DL_EnableItem="TRUE",IF(AA5&lt;&gt;"",AA5,A5),""),""),"")</f>
        <v/>
      </c>
      <c r="BM5" s="35" t="str">
        <f>IF($AM5,TRIM(DL_Historian), "")</f>
        <v>[Historian]</v>
      </c>
      <c r="BN5" s="35" t="str">
        <f>IF($AM5,TRIM(DL_DigAlmName), "")</f>
        <v>[DigAlmName]</v>
      </c>
      <c r="BO5" s="35" t="str">
        <f>IF($AM5,TRIM(DL_Desc), "")</f>
        <v>[Desc]</v>
      </c>
      <c r="BP5" s="35" t="str">
        <f>IF($AN5,U5,"")</f>
        <v/>
      </c>
      <c r="BQ5" s="35" t="str">
        <f>IF($AO5,T5,"")</f>
        <v/>
      </c>
      <c r="BR5" s="35"/>
      <c r="BS5" s="35"/>
      <c r="BT5" s="35"/>
      <c r="BU5" s="83" t="str">
        <f>IF($AM5,TRIM(AJ5), "")</f>
        <v/>
      </c>
      <c r="BV5" s="34" t="str">
        <f>IF($AN5,DL_TagPrefixFull&amp;A5,"")</f>
        <v/>
      </c>
      <c r="BW5" s="35" t="str">
        <f>IF($AN5,DL_TagPrefixFull&amp;A5,"")</f>
        <v/>
      </c>
      <c r="BX5" s="35" t="str">
        <f>IF($AN5,IF(AI5&lt;&gt;"",AI5,IF(DL_Desc &lt;&gt; "", DL_Desc &amp; Global_Seperator &amp; K5, K5)),"")</f>
        <v/>
      </c>
      <c r="BY5" s="35" t="str">
        <f>IF($AN5,DL_TagPrefixFull&amp;A5,"")</f>
        <v/>
      </c>
      <c r="BZ5" s="35" t="str">
        <f>IF($AN5,IF(DL_VariableB&lt;&gt;"",DL_VariableB,""),"")</f>
        <v/>
      </c>
      <c r="CA5" s="35" t="str">
        <f>IF($AN5,U5,"")</f>
        <v/>
      </c>
      <c r="CB5" s="35" t="str">
        <f>IF($AN5,IF(AB5&lt;&gt;"",AB5,DL_Help),"")</f>
        <v/>
      </c>
      <c r="CC5" s="35" t="str">
        <f>IF($AN5,Global_Alarm_Priv,"")</f>
        <v/>
      </c>
      <c r="CD5" s="35" t="str">
        <f>IF($AN5,TRIM(DL_Area),"")</f>
        <v/>
      </c>
      <c r="CE5" s="35" t="str">
        <f>IF($AN5,IF(DL_Desc&lt;&gt;"",DL_Desc &amp; Global_Seperator &amp; K5, K5),"")</f>
        <v/>
      </c>
      <c r="CF5" s="35"/>
      <c r="CG5" s="35"/>
      <c r="CH5" s="35" t="str">
        <f>IF($AN5,DL_DigAlmName,"")</f>
        <v/>
      </c>
      <c r="CI5" s="35"/>
      <c r="CJ5" s="35"/>
      <c r="CK5" s="35"/>
      <c r="CL5" s="35"/>
      <c r="CM5" s="35"/>
      <c r="CN5" s="35"/>
      <c r="CO5" s="35"/>
      <c r="CP5" s="35" t="str">
        <f>IF($AN5,IF(AH5&lt;&gt;"",AH5,DL_Cluster),"")</f>
        <v/>
      </c>
      <c r="CQ5" s="35"/>
      <c r="CR5" s="35"/>
      <c r="CS5" s="35"/>
      <c r="CT5" s="35"/>
      <c r="CU5" s="35"/>
      <c r="CV5" s="35" t="str">
        <f>IF($AN5,IF(Z5&lt;&gt;"",Z5,DL_Equip),"")</f>
        <v/>
      </c>
      <c r="CW5" s="35" t="str">
        <f>IF($AN5,IF(CV5&lt;&gt;"",IF(DL_EnableItem,IF(AA5&lt;&gt;"",AA5,A5),""),""),"")</f>
        <v/>
      </c>
      <c r="CX5" s="35"/>
      <c r="CY5" s="34" t="str">
        <f>IF($AO5,DL_TagPrefixFull&amp;A5,"")</f>
        <v/>
      </c>
      <c r="CZ5" s="35" t="str">
        <f>IF($AO5,DL_TagPrefixFull&amp;A5,"")</f>
        <v/>
      </c>
      <c r="DA5" s="35"/>
      <c r="DB5" s="35" t="str">
        <f>IF($AO5,T5,"")</f>
        <v/>
      </c>
      <c r="DC5" s="35"/>
      <c r="DD5" s="35"/>
      <c r="DE5" s="35" t="str">
        <f>IF($AO5,TRIM(R5),"")</f>
        <v/>
      </c>
      <c r="DF5" s="35" t="str">
        <f>IF($AO5,TRIM(S5),"")</f>
        <v/>
      </c>
      <c r="DG5" s="35" t="str">
        <f>IF($AO5,IF(DL_TrendPrefixOverride&lt;&gt;"",DL_TrendPrefixOverride&amp;AQ5&amp;"\"&amp;AQ5,Global_Trend_Prefix&amp;AQ5&amp;"\"&amp;AQ5),"")</f>
        <v/>
      </c>
      <c r="DH5" s="35" t="str">
        <f>IF($AO5,TRIM(Global_Trend_NumFiles),"")</f>
        <v/>
      </c>
      <c r="DI5" s="35" t="str">
        <f>IF($AO5,TRIM(Global_Trend_Time),"")</f>
        <v/>
      </c>
      <c r="DJ5" s="35" t="str">
        <f>IF($AO5,TRIM(Global_Trend_Period),"")</f>
        <v/>
      </c>
      <c r="DK5" s="35" t="str">
        <f>IF($AO5, DL_DigAlmName &amp; Global_Seperator &amp; IF(DL_Desc&lt;&gt;"",DL_Desc &amp; Global_Seperator &amp; K5, K5),"")</f>
        <v/>
      </c>
      <c r="DL5" s="35" t="str">
        <f>IF($AO5,"TRN_PERIODIC","")</f>
        <v/>
      </c>
      <c r="DM5" s="35"/>
      <c r="DN5" s="35"/>
      <c r="DO5" s="35"/>
      <c r="DP5" s="35"/>
      <c r="DQ5" s="35"/>
      <c r="DR5" s="35"/>
      <c r="DS5" s="35"/>
      <c r="DT5" s="35" t="str">
        <f>IF($AO5,IF(AR5="DIGITAL","Scaled (2-byte samples)","Floating Point (8-byte samples)"),"")</f>
        <v/>
      </c>
      <c r="DU5" s="35" t="str">
        <f>IF($AO5,IF(AH5&lt;&gt;"",AH5,DL_Cluster),"")</f>
        <v/>
      </c>
      <c r="DV5" s="35"/>
      <c r="DW5" s="35"/>
      <c r="DX5" s="35"/>
      <c r="DY5" s="35"/>
      <c r="DZ5" s="35" t="str">
        <f>IF($AO5,IF(Z5&lt;&gt;"",Z5,DL_Equip),"")</f>
        <v/>
      </c>
      <c r="EA5" s="35" t="str">
        <f>IF($AO5,IF(DZ5&lt;&gt;"",IF(DL_EnableItem,IF(AA5&lt;&gt;"",AA5,A5),""),""),"")</f>
        <v/>
      </c>
      <c r="EB5" s="35"/>
      <c r="EC5" s="35" t="str">
        <f>IF($AO5,TRIM(P5),"")</f>
        <v/>
      </c>
      <c r="ED5" s="33" t="str">
        <f>IF($AO5,TRIM(Q5),"")</f>
        <v/>
      </c>
      <c r="EE5" s="57" t="str">
        <f>IF($AP5 = FALSE,"",VLOOKUP(B5,DataTypeMappings!$A$2:$C$18,3,FALSE))</f>
        <v/>
      </c>
      <c r="EF5" s="58" t="str">
        <f>IF($AP5 = FALSE,"",IF(AC5&lt;&gt;"",AC5,DL_PVFolder)&amp;"\"&amp;IF(AD5="",DL_PVPrefixFull&amp;A5,DL_PVPrefixFull&amp;AD5))</f>
        <v/>
      </c>
      <c r="EG5" s="58" t="str">
        <f>IF($AP5 = FALSE,"",DL_Desc&amp;" "&amp;K5)</f>
        <v/>
      </c>
      <c r="EH5" s="58" t="str">
        <f>IF($AP5 = FALSE,"","F")</f>
        <v/>
      </c>
      <c r="EI5" s="58" t="str">
        <f>IF($AP5 = FALSE,"","D")</f>
        <v/>
      </c>
      <c r="EJ5" s="58" t="str">
        <f>IF($AP5 = FALSE,"","*")</f>
        <v/>
      </c>
      <c r="EK5" s="58" t="str">
        <f>IF($AP5 = FALSE,"","F")</f>
        <v/>
      </c>
      <c r="EL5" s="58" t="str">
        <f>IF($AP5 = FALSE,"",VLOOKUP(B5,DataTypeMappings!$A$2:$D$18,4,FALSE()))</f>
        <v/>
      </c>
      <c r="EM5" s="58" t="str">
        <f>IF($AP5 = FALSE,"",IF(EE5="A","L",""))</f>
        <v/>
      </c>
      <c r="EN5" s="58" t="str">
        <f>IF($AP5 = FALSE,"",IF(EE5="A",N5,""))</f>
        <v/>
      </c>
      <c r="EO5" s="58" t="str">
        <f>IF($AP5 = FALSE,"",IF(EE5="A",O5,""))</f>
        <v/>
      </c>
      <c r="EP5" s="58" t="str">
        <f>IF($AP5 = FALSE,"",IF(EE5="A","0",""))</f>
        <v/>
      </c>
      <c r="EQ5" s="58" t="str">
        <f>IF($AP5 = FALSE,"",IF(EE5="A",IF(M5&lt;&gt;O5,O5/M5,1),""))</f>
        <v/>
      </c>
      <c r="ER5" s="58" t="str">
        <f>IF($AP5 = FALSE,"",IF(EE5="A","0",""))</f>
        <v/>
      </c>
      <c r="ES5" s="58" t="str">
        <f>IF($AP5 = FALSE,"",IF(EE5="A","0",""))</f>
        <v/>
      </c>
      <c r="ET5" s="58" t="str">
        <f>IF($AP5 = FALSE,"",TRIM(R5))</f>
        <v/>
      </c>
      <c r="EU5" s="58" t="str">
        <f>IF($AP5 = FALSE,"",IF(EE5="D","0",""))</f>
        <v/>
      </c>
      <c r="EV5" s="58" t="str">
        <f>IF($AP5 = FALSE,"",IF(EE5="D","1",""))</f>
        <v/>
      </c>
      <c r="EW5" s="58" t="str">
        <f>IF($AP5 = FALSE,"",IF(EE5="D","0",""))</f>
        <v/>
      </c>
      <c r="EX5" s="58" t="str">
        <f>IF($AP5 = FALSE,"",IF(EE5="S","82",""))</f>
        <v/>
      </c>
      <c r="EY5" s="58"/>
      <c r="EZ5" s="58"/>
      <c r="FA5" s="58" t="str">
        <f>IF($AP5 = FALSE,"","["&amp;DL_PVPLC&amp;"]"&amp;IF($Y5="",DL_AddrPrefixFull&amp;AL5,Y5))</f>
        <v/>
      </c>
      <c r="FB5" s="58"/>
      <c r="FC5" s="58"/>
      <c r="FD5" s="58"/>
      <c r="FE5" s="58"/>
      <c r="FF5" s="35"/>
      <c r="FG5" s="35"/>
      <c r="FH5" s="35" t="str">
        <f>IF(OR($A5="",DL_PVEnable=FALSE(),AC5="IGNORE",$AF5=TRUE,$AE5="",$AE5=FALSE),"",SUBSTITUTE($FH$2,"~Tag~",EF5))</f>
        <v/>
      </c>
      <c r="FI5" s="33" t="str">
        <f>IF(OR($A5="",DL_PVEnable=FALSE(),AC5="IGNORE",$AF5=TRUE,$AE5="",$AE5=FALSE),"",SUBSTITUTE($FI$2,"~Tag~",EG5))</f>
        <v/>
      </c>
      <c r="FJ5" s="62" t="str">
        <f>IF($AP5 = FALSE,"",IF(AC5&lt;&gt;"",AC5,DL_PVFolder))</f>
        <v/>
      </c>
    </row>
  </sheetData>
  <autoFilter ref="A4:ED5" xr:uid="{A8081164-2D9D-4DA1-9E28-82179C0C281C}"/>
  <mergeCells count="10">
    <mergeCell ref="D2:H2"/>
    <mergeCell ref="EE3:FJ3"/>
    <mergeCell ref="D3:J3"/>
    <mergeCell ref="AQ3:BU3"/>
    <mergeCell ref="BV3:CX3"/>
    <mergeCell ref="CY3:ED3"/>
    <mergeCell ref="AG2:AH2"/>
    <mergeCell ref="AK3:AL3"/>
    <mergeCell ref="AM3:AP3"/>
    <mergeCell ref="K3:AJ3"/>
  </mergeCells>
  <printOptions gridLines="1"/>
  <pageMargins left="0" right="0" top="0" bottom="0" header="0" footer="0"/>
  <pageSetup paperSize="8" scale="25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948225" r:id="rId4" name="Config_Vis">
          <controlPr defaultSize="0" autoLine="0" r:id="rId5">
            <anchor moveWithCells="1">
              <from>
                <xdr:col>2</xdr:col>
                <xdr:colOff>601980</xdr:colOff>
                <xdr:row>0</xdr:row>
                <xdr:rowOff>68580</xdr:rowOff>
              </from>
              <to>
                <xdr:col>2</xdr:col>
                <xdr:colOff>1097280</xdr:colOff>
                <xdr:row>0</xdr:row>
                <xdr:rowOff>312420</xdr:rowOff>
              </to>
            </anchor>
          </controlPr>
        </control>
      </mc:Choice>
      <mc:Fallback>
        <control shapeId="948225" r:id="rId4" name="Config_Vis"/>
      </mc:Fallback>
    </mc:AlternateContent>
    <mc:AlternateContent xmlns:mc="http://schemas.openxmlformats.org/markup-compatibility/2006">
      <mc:Choice Requires="x14">
        <control shapeId="948226" r:id="rId6" name="Variable_Vis">
          <controlPr defaultSize="0" autoLine="0" r:id="rId7">
            <anchor moveWithCells="1">
              <from>
                <xdr:col>2</xdr:col>
                <xdr:colOff>1150620</xdr:colOff>
                <xdr:row>0</xdr:row>
                <xdr:rowOff>60960</xdr:rowOff>
              </from>
              <to>
                <xdr:col>2</xdr:col>
                <xdr:colOff>1501140</xdr:colOff>
                <xdr:row>0</xdr:row>
                <xdr:rowOff>304800</xdr:rowOff>
              </to>
            </anchor>
          </controlPr>
        </control>
      </mc:Choice>
      <mc:Fallback>
        <control shapeId="948226" r:id="rId6" name="Variable_Vis"/>
      </mc:Fallback>
    </mc:AlternateContent>
    <mc:AlternateContent xmlns:mc="http://schemas.openxmlformats.org/markup-compatibility/2006">
      <mc:Choice Requires="x14">
        <control shapeId="948227" r:id="rId8" name="Digalm_Vis">
          <controlPr defaultSize="0" autoLine="0" r:id="rId9">
            <anchor moveWithCells="1">
              <from>
                <xdr:col>2</xdr:col>
                <xdr:colOff>1562100</xdr:colOff>
                <xdr:row>0</xdr:row>
                <xdr:rowOff>60960</xdr:rowOff>
              </from>
              <to>
                <xdr:col>2</xdr:col>
                <xdr:colOff>2080260</xdr:colOff>
                <xdr:row>0</xdr:row>
                <xdr:rowOff>304800</xdr:rowOff>
              </to>
            </anchor>
          </controlPr>
        </control>
      </mc:Choice>
      <mc:Fallback>
        <control shapeId="948227" r:id="rId8" name="Digalm_Vis"/>
      </mc:Fallback>
    </mc:AlternateContent>
    <mc:AlternateContent xmlns:mc="http://schemas.openxmlformats.org/markup-compatibility/2006">
      <mc:Choice Requires="x14">
        <control shapeId="948228" r:id="rId10" name="Trend_Vis">
          <controlPr defaultSize="0" autoLine="0" r:id="rId11">
            <anchor moveWithCells="1">
              <from>
                <xdr:col>2</xdr:col>
                <xdr:colOff>2156460</xdr:colOff>
                <xdr:row>0</xdr:row>
                <xdr:rowOff>60960</xdr:rowOff>
              </from>
              <to>
                <xdr:col>2</xdr:col>
                <xdr:colOff>2644140</xdr:colOff>
                <xdr:row>0</xdr:row>
                <xdr:rowOff>304800</xdr:rowOff>
              </to>
            </anchor>
          </controlPr>
        </control>
      </mc:Choice>
      <mc:Fallback>
        <control shapeId="948228" r:id="rId10" name="Trend_Vis"/>
      </mc:Fallback>
    </mc:AlternateContent>
    <mc:AlternateContent xmlns:mc="http://schemas.openxmlformats.org/markup-compatibility/2006">
      <mc:Choice Requires="x14">
        <control shapeId="948229" r:id="rId12" name="Import_Vis">
          <controlPr defaultSize="0" autoLine="0" r:id="rId13">
            <anchor moveWithCells="1">
              <from>
                <xdr:col>2</xdr:col>
                <xdr:colOff>30480</xdr:colOff>
                <xdr:row>0</xdr:row>
                <xdr:rowOff>68580</xdr:rowOff>
              </from>
              <to>
                <xdr:col>2</xdr:col>
                <xdr:colOff>533400</xdr:colOff>
                <xdr:row>0</xdr:row>
                <xdr:rowOff>312420</xdr:rowOff>
              </to>
            </anchor>
          </controlPr>
        </control>
      </mc:Choice>
      <mc:Fallback>
        <control shapeId="948229" r:id="rId12" name="Import_Vis"/>
      </mc:Fallback>
    </mc:AlternateContent>
    <mc:AlternateContent xmlns:mc="http://schemas.openxmlformats.org/markup-compatibility/2006">
      <mc:Choice Requires="x14">
        <control shapeId="948235" r:id="rId14" name="PV_Vis">
          <controlPr defaultSize="0" autoLine="0" r:id="rId15">
            <anchor moveWithCells="1">
              <from>
                <xdr:col>2</xdr:col>
                <xdr:colOff>2697480</xdr:colOff>
                <xdr:row>0</xdr:row>
                <xdr:rowOff>60960</xdr:rowOff>
              </from>
              <to>
                <xdr:col>2</xdr:col>
                <xdr:colOff>3048000</xdr:colOff>
                <xdr:row>0</xdr:row>
                <xdr:rowOff>304800</xdr:rowOff>
              </to>
            </anchor>
          </controlPr>
        </control>
      </mc:Choice>
      <mc:Fallback>
        <control shapeId="948235" r:id="rId14" name="PV_Vis"/>
      </mc:Fallback>
    </mc:AlternateContent>
    <mc:AlternateContent xmlns:mc="http://schemas.openxmlformats.org/markup-compatibility/2006">
      <mc:Choice Requires="x14">
        <control shapeId="948230" r:id="rId16" name="Button 6">
          <controlPr defaultSize="0" print="0" autoFill="0" autoPict="0" macro="[0]!Apply_Top_Row" altText="Apply top row">
            <anchor moveWithCells="1" sizeWithCells="1">
              <from>
                <xdr:col>2</xdr:col>
                <xdr:colOff>274320</xdr:colOff>
                <xdr:row>1</xdr:row>
                <xdr:rowOff>60960</xdr:rowOff>
              </from>
              <to>
                <xdr:col>2</xdr:col>
                <xdr:colOff>1508760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48232" r:id="rId17" name="Button 8">
          <controlPr defaultSize="0" print="0" autoFill="0" autoPict="0" macro="[0]!Update_Template">
            <anchor moveWithCells="1" sizeWithCells="1">
              <from>
                <xdr:col>2</xdr:col>
                <xdr:colOff>1783080</xdr:colOff>
                <xdr:row>1</xdr:row>
                <xdr:rowOff>60960</xdr:rowOff>
              </from>
              <to>
                <xdr:col>2</xdr:col>
                <xdr:colOff>3108960</xdr:colOff>
                <xdr:row>1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48239" r:id="rId18" name="Button 15">
          <controlPr defaultSize="0" print="0" autoFill="0" autoPict="0" macro="[0]!Import_UDT">
            <anchor moveWithCells="1" sizeWithCells="1">
              <from>
                <xdr:col>3</xdr:col>
                <xdr:colOff>83820</xdr:colOff>
                <xdr:row>1</xdr:row>
                <xdr:rowOff>60960</xdr:rowOff>
              </from>
              <to>
                <xdr:col>4</xdr:col>
                <xdr:colOff>350520</xdr:colOff>
                <xdr:row>1</xdr:row>
                <xdr:rowOff>502920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48241" r:id="rId19" name="Button 17">
          <controlPr defaultSize="0" print="0" autoFill="0" autoPict="0" macro="[0]!Export_UDT">
            <anchor moveWithCells="1" sizeWithCells="1">
              <from>
                <xdr:col>4</xdr:col>
                <xdr:colOff>403860</xdr:colOff>
                <xdr:row>1</xdr:row>
                <xdr:rowOff>68580</xdr:rowOff>
              </from>
              <to>
                <xdr:col>6</xdr:col>
                <xdr:colOff>259080</xdr:colOff>
                <xdr:row>1</xdr:row>
                <xdr:rowOff>518160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48242" r:id="rId20" name="Button 18">
          <controlPr defaultSize="0" print="0" autoFill="0" autoPict="0" macro="[0]!FindInFile">
            <anchor moveWithCells="1" sizeWithCells="1">
              <from>
                <xdr:col>22</xdr:col>
                <xdr:colOff>190500</xdr:colOff>
                <xdr:row>1</xdr:row>
                <xdr:rowOff>190500</xdr:rowOff>
              </from>
              <to>
                <xdr:col>23</xdr:col>
                <xdr:colOff>487680</xdr:colOff>
                <xdr:row>1</xdr:row>
                <xdr:rowOff>373380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E6472-49D5-4BAA-A58C-1EF32192599F}">
  <sheetPr codeName="Template_UDT25">
    <tabColor indexed="42"/>
    <pageSetUpPr fitToPage="1"/>
  </sheetPr>
  <dimension ref="A1:FJ9"/>
  <sheetViews>
    <sheetView zoomScale="85" zoomScaleNormal="85" workbookViewId="0">
      <pane ySplit="4" topLeftCell="A5" activePane="bottomLeft" state="frozen"/>
      <selection activeCell="C13" sqref="C13"/>
      <selection pane="bottomLeft" activeCell="C13" sqref="C13"/>
    </sheetView>
  </sheetViews>
  <sheetFormatPr defaultRowHeight="14.4" x14ac:dyDescent="0.3"/>
  <cols>
    <col min="1" max="1" width="30.33203125" customWidth="1"/>
    <col min="2" max="2" width="15.5546875" customWidth="1"/>
    <col min="3" max="3" width="53.109375" customWidth="1"/>
    <col min="4" max="4" width="13.44140625" hidden="1" customWidth="1"/>
    <col min="5" max="5" width="10" hidden="1" customWidth="1"/>
    <col min="6" max="6" width="8.88671875" hidden="1" customWidth="1"/>
    <col min="7" max="7" width="42.109375" hidden="1" customWidth="1"/>
    <col min="8" max="8" width="15" hidden="1" customWidth="1"/>
    <col min="9" max="10" width="1.6640625" hidden="1" customWidth="1"/>
    <col min="11" max="11" width="37.33203125" customWidth="1"/>
    <col min="12" max="12" width="8" customWidth="1"/>
    <col min="13" max="13" width="7.109375" customWidth="1"/>
    <col min="14" max="14" width="7.6640625" customWidth="1"/>
    <col min="15" max="15" width="6.5546875" customWidth="1"/>
    <col min="16" max="16" width="7.33203125" customWidth="1"/>
    <col min="17" max="17" width="7.44140625" customWidth="1"/>
    <col min="18" max="18" width="8.33203125" customWidth="1"/>
    <col min="19" max="19" width="8.44140625" customWidth="1"/>
    <col min="20" max="20" width="13" customWidth="1"/>
    <col min="21" max="21" width="10" customWidth="1"/>
    <col min="22" max="22" width="11.5546875" customWidth="1"/>
    <col min="23" max="23" width="9.6640625" customWidth="1"/>
    <col min="24" max="36" width="9" customWidth="1"/>
    <col min="37" max="38" width="16" customWidth="1"/>
    <col min="39" max="42" width="8.6640625" customWidth="1"/>
    <col min="43" max="43" width="22.88671875" hidden="1" customWidth="1"/>
    <col min="44" max="44" width="9.109375" hidden="1" customWidth="1"/>
    <col min="45" max="45" width="12.88671875" hidden="1" customWidth="1"/>
    <col min="46" max="46" width="36.88671875" hidden="1" customWidth="1"/>
    <col min="47" max="47" width="12.109375" hidden="1" customWidth="1"/>
    <col min="48" max="48" width="11.44140625" hidden="1" customWidth="1"/>
    <col min="49" max="49" width="11.6640625" hidden="1" customWidth="1"/>
    <col min="50" max="50" width="11" hidden="1" customWidth="1"/>
    <col min="51" max="51" width="12" hidden="1" customWidth="1"/>
    <col min="52" max="52" width="10" hidden="1" customWidth="1"/>
    <col min="53" max="53" width="29.33203125" hidden="1" customWidth="1"/>
    <col min="54" max="54" width="11.109375" hidden="1" customWidth="1"/>
    <col min="55" max="55" width="8.109375" hidden="1" customWidth="1"/>
    <col min="56" max="56" width="4.5546875" hidden="1" customWidth="1"/>
    <col min="57" max="57" width="5.88671875" hidden="1" customWidth="1"/>
    <col min="58" max="58" width="6.33203125" hidden="1" customWidth="1"/>
    <col min="59" max="59" width="12.5546875" hidden="1" customWidth="1"/>
    <col min="60" max="60" width="9.6640625" hidden="1" customWidth="1"/>
    <col min="61" max="61" width="13.5546875" hidden="1" customWidth="1"/>
    <col min="62" max="62" width="10.109375" hidden="1" customWidth="1"/>
    <col min="63" max="63" width="7.109375" hidden="1" customWidth="1"/>
    <col min="64" max="64" width="8.88671875" hidden="1" customWidth="1"/>
    <col min="65" max="65" width="11.6640625" hidden="1" customWidth="1"/>
    <col min="66" max="66" width="15.44140625" hidden="1" customWidth="1"/>
    <col min="67" max="67" width="10.6640625" hidden="1" customWidth="1"/>
    <col min="68" max="68" width="14.33203125" hidden="1" customWidth="1"/>
    <col min="69" max="73" width="10.6640625" hidden="1" customWidth="1"/>
    <col min="74" max="74" width="18.5546875" hidden="1" customWidth="1"/>
    <col min="75" max="75" width="20.44140625" hidden="1" customWidth="1"/>
    <col min="76" max="76" width="38.5546875" hidden="1" customWidth="1"/>
    <col min="77" max="77" width="18.5546875" hidden="1" customWidth="1"/>
    <col min="78" max="78" width="18.6640625" hidden="1" customWidth="1"/>
    <col min="79" max="79" width="12.109375" hidden="1" customWidth="1"/>
    <col min="80" max="80" width="21.6640625" hidden="1" customWidth="1"/>
    <col min="81" max="81" width="5.88671875" hidden="1" customWidth="1"/>
    <col min="82" max="82" width="6.88671875" hidden="1" customWidth="1"/>
    <col min="83" max="83" width="28.5546875" hidden="1" customWidth="1"/>
    <col min="84" max="84" width="11.6640625" hidden="1" customWidth="1"/>
    <col min="85" max="85" width="7.6640625" hidden="1" customWidth="1"/>
    <col min="86" max="86" width="10.33203125" hidden="1" customWidth="1"/>
    <col min="87" max="93" width="10.6640625" hidden="1" customWidth="1"/>
    <col min="94" max="94" width="10.109375" hidden="1" customWidth="1"/>
    <col min="95" max="95" width="13.5546875" hidden="1" customWidth="1"/>
    <col min="96" max="96" width="8.88671875" hidden="1" customWidth="1"/>
    <col min="97" max="97" width="13.109375" hidden="1" customWidth="1"/>
    <col min="98" max="98" width="11.109375" hidden="1" customWidth="1"/>
    <col min="99" max="99" width="8.109375" hidden="1" customWidth="1"/>
    <col min="100" max="100" width="7.109375" hidden="1" customWidth="1"/>
    <col min="101" max="101" width="6" hidden="1" customWidth="1"/>
    <col min="102" max="102" width="11.6640625" hidden="1" customWidth="1"/>
    <col min="103" max="104" width="18.5546875" customWidth="1"/>
    <col min="105" max="105" width="6.6640625" customWidth="1"/>
    <col min="106" max="106" width="13.5546875" customWidth="1"/>
    <col min="107" max="107" width="6.6640625" customWidth="1"/>
    <col min="108" max="108" width="6.88671875" customWidth="1"/>
    <col min="109" max="109" width="12" customWidth="1"/>
    <col min="110" max="110" width="10" customWidth="1"/>
    <col min="111" max="111" width="15.44140625" customWidth="1"/>
    <col min="112" max="112" width="6.6640625" customWidth="1"/>
    <col min="113" max="113" width="10" customWidth="1"/>
    <col min="114" max="114" width="8.88671875" customWidth="1"/>
    <col min="115" max="115" width="28.5546875" customWidth="1"/>
    <col min="116" max="116" width="16.33203125" customWidth="1"/>
    <col min="117" max="117" width="10.5546875" customWidth="1"/>
    <col min="118" max="119" width="6.6640625" customWidth="1"/>
    <col min="120" max="120" width="13.5546875" customWidth="1"/>
    <col min="121" max="121" width="14.5546875" customWidth="1"/>
    <col min="122" max="122" width="8.33203125" customWidth="1"/>
    <col min="123" max="123" width="12.88671875" customWidth="1"/>
    <col min="124" max="124" width="31" customWidth="1"/>
    <col min="125" max="125" width="10.109375" customWidth="1"/>
    <col min="126" max="126" width="13.5546875" customWidth="1"/>
    <col min="127" max="127" width="11.109375" customWidth="1"/>
    <col min="128" max="128" width="8.109375" customWidth="1"/>
    <col min="129" max="129" width="12.5546875" customWidth="1"/>
    <col min="130" max="130" width="7.109375" customWidth="1"/>
    <col min="131" max="131" width="6.6640625" customWidth="1"/>
    <col min="132" max="133" width="11.6640625" customWidth="1"/>
    <col min="134" max="134" width="11" customWidth="1"/>
    <col min="135" max="135" width="10.6640625" hidden="1" customWidth="1"/>
    <col min="136" max="136" width="37.5546875" hidden="1" customWidth="1"/>
    <col min="137" max="137" width="20.44140625" hidden="1" customWidth="1"/>
    <col min="138" max="141" width="5.6640625" hidden="1" customWidth="1"/>
    <col min="142" max="156" width="10.6640625" hidden="1" customWidth="1"/>
    <col min="157" max="157" width="38.6640625" hidden="1" customWidth="1"/>
    <col min="158" max="163" width="10.6640625" hidden="1" customWidth="1"/>
    <col min="164" max="165" width="100.6640625" hidden="1" customWidth="1"/>
    <col min="166" max="166" width="11.5546875" hidden="1" customWidth="1"/>
  </cols>
  <sheetData>
    <row r="1" spans="1:166" ht="32.25" customHeight="1" x14ac:dyDescent="0.3"/>
    <row r="2" spans="1:166" ht="48" customHeight="1" thickBot="1" x14ac:dyDescent="0.35">
      <c r="C2" s="20"/>
      <c r="D2" s="121" t="s">
        <v>292</v>
      </c>
      <c r="E2" s="121"/>
      <c r="F2" s="121"/>
      <c r="G2" s="121"/>
      <c r="H2" s="121"/>
      <c r="M2" s="60"/>
      <c r="N2" s="60"/>
      <c r="O2" s="60"/>
      <c r="P2" s="60"/>
      <c r="Q2" s="60"/>
      <c r="R2" s="60"/>
      <c r="S2" s="60"/>
      <c r="T2" s="60" t="s">
        <v>275</v>
      </c>
      <c r="U2" s="60" t="s">
        <v>274</v>
      </c>
      <c r="V2" s="60"/>
      <c r="W2" s="60"/>
      <c r="X2" s="60"/>
      <c r="Y2" s="60" t="s">
        <v>272</v>
      </c>
      <c r="Z2" s="71"/>
      <c r="AA2" s="71"/>
      <c r="AB2" s="60" t="s">
        <v>269</v>
      </c>
      <c r="AC2" s="60" t="s">
        <v>276</v>
      </c>
      <c r="AD2" s="60" t="s">
        <v>289</v>
      </c>
      <c r="AE2" s="60" t="s">
        <v>281</v>
      </c>
      <c r="AF2" s="60" t="s">
        <v>277</v>
      </c>
      <c r="AG2" s="128" t="s">
        <v>278</v>
      </c>
      <c r="AH2" s="128"/>
      <c r="AI2" s="60"/>
      <c r="AJ2" s="60"/>
      <c r="FH2" s="20" t="s">
        <v>264</v>
      </c>
      <c r="FI2" s="20" t="s">
        <v>290</v>
      </c>
    </row>
    <row r="3" spans="1:166" ht="15" thickBot="1" x14ac:dyDescent="0.35">
      <c r="D3" s="125" t="s">
        <v>72</v>
      </c>
      <c r="E3" s="126"/>
      <c r="F3" s="126"/>
      <c r="G3" s="126"/>
      <c r="H3" s="126"/>
      <c r="I3" s="126"/>
      <c r="J3" s="127"/>
      <c r="K3" s="122" t="s">
        <v>83</v>
      </c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2" t="s">
        <v>284</v>
      </c>
      <c r="AL3" s="124"/>
      <c r="AM3" s="122" t="s">
        <v>303</v>
      </c>
      <c r="AN3" s="123"/>
      <c r="AO3" s="123"/>
      <c r="AP3" s="124"/>
      <c r="AQ3" s="125" t="s">
        <v>91</v>
      </c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7"/>
      <c r="BV3" s="125" t="s">
        <v>89</v>
      </c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  <c r="CT3" s="126"/>
      <c r="CU3" s="126"/>
      <c r="CV3" s="126"/>
      <c r="CW3" s="126"/>
      <c r="CX3" s="127"/>
      <c r="CY3" s="125" t="s">
        <v>90</v>
      </c>
      <c r="CZ3" s="126"/>
      <c r="DA3" s="126"/>
      <c r="DB3" s="126"/>
      <c r="DC3" s="126"/>
      <c r="DD3" s="126"/>
      <c r="DE3" s="126"/>
      <c r="DF3" s="126"/>
      <c r="DG3" s="126"/>
      <c r="DH3" s="126"/>
      <c r="DI3" s="126"/>
      <c r="DJ3" s="126"/>
      <c r="DK3" s="126"/>
      <c r="DL3" s="126"/>
      <c r="DM3" s="126"/>
      <c r="DN3" s="126"/>
      <c r="DO3" s="126"/>
      <c r="DP3" s="126"/>
      <c r="DQ3" s="126"/>
      <c r="DR3" s="126"/>
      <c r="DS3" s="126"/>
      <c r="DT3" s="126"/>
      <c r="DU3" s="126"/>
      <c r="DV3" s="126"/>
      <c r="DW3" s="126"/>
      <c r="DX3" s="126"/>
      <c r="DY3" s="126"/>
      <c r="DZ3" s="126"/>
      <c r="EA3" s="126"/>
      <c r="EB3" s="126"/>
      <c r="EC3" s="126"/>
      <c r="ED3" s="127"/>
      <c r="EE3" s="122" t="s">
        <v>189</v>
      </c>
      <c r="EF3" s="123"/>
      <c r="EG3" s="123"/>
      <c r="EH3" s="123"/>
      <c r="EI3" s="123"/>
      <c r="EJ3" s="123"/>
      <c r="EK3" s="123"/>
      <c r="EL3" s="123"/>
      <c r="EM3" s="123"/>
      <c r="EN3" s="123"/>
      <c r="EO3" s="123"/>
      <c r="EP3" s="123"/>
      <c r="EQ3" s="123"/>
      <c r="ER3" s="123"/>
      <c r="ES3" s="123"/>
      <c r="ET3" s="123"/>
      <c r="EU3" s="123"/>
      <c r="EV3" s="123"/>
      <c r="EW3" s="123"/>
      <c r="EX3" s="123"/>
      <c r="EY3" s="123"/>
      <c r="EZ3" s="123"/>
      <c r="FA3" s="123"/>
      <c r="FB3" s="123"/>
      <c r="FC3" s="123"/>
      <c r="FD3" s="123"/>
      <c r="FE3" s="123"/>
      <c r="FF3" s="123"/>
      <c r="FG3" s="123"/>
      <c r="FH3" s="123"/>
      <c r="FI3" s="123"/>
      <c r="FJ3" s="124"/>
    </row>
    <row r="4" spans="1:166" s="32" customFormat="1" ht="44.25" customHeight="1" thickBot="1" x14ac:dyDescent="0.35">
      <c r="A4" s="21" t="s">
        <v>187</v>
      </c>
      <c r="B4" s="22" t="s">
        <v>76</v>
      </c>
      <c r="C4" s="23" t="s">
        <v>154</v>
      </c>
      <c r="D4" s="24" t="s">
        <v>86</v>
      </c>
      <c r="E4" s="18" t="s">
        <v>76</v>
      </c>
      <c r="F4" s="18" t="s">
        <v>87</v>
      </c>
      <c r="G4" s="18" t="s">
        <v>73</v>
      </c>
      <c r="H4" s="18" t="s">
        <v>88</v>
      </c>
      <c r="I4" s="25"/>
      <c r="J4" s="26"/>
      <c r="K4" s="21" t="s">
        <v>155</v>
      </c>
      <c r="L4" s="18" t="s">
        <v>327</v>
      </c>
      <c r="M4" s="18" t="s">
        <v>328</v>
      </c>
      <c r="N4" s="18" t="s">
        <v>329</v>
      </c>
      <c r="O4" s="18" t="s">
        <v>330</v>
      </c>
      <c r="P4" s="49" t="s">
        <v>331</v>
      </c>
      <c r="Q4" s="49" t="s">
        <v>332</v>
      </c>
      <c r="R4" s="18" t="s">
        <v>78</v>
      </c>
      <c r="S4" s="18" t="s">
        <v>81</v>
      </c>
      <c r="T4" s="18" t="s">
        <v>157</v>
      </c>
      <c r="U4" s="18" t="s">
        <v>77</v>
      </c>
      <c r="V4" s="27" t="s">
        <v>160</v>
      </c>
      <c r="W4" s="27" t="s">
        <v>161</v>
      </c>
      <c r="X4" s="27" t="s">
        <v>162</v>
      </c>
      <c r="Y4" s="28" t="s">
        <v>163</v>
      </c>
      <c r="Z4" s="70" t="s">
        <v>295</v>
      </c>
      <c r="AA4" s="70" t="s">
        <v>296</v>
      </c>
      <c r="AB4" s="49" t="s">
        <v>174</v>
      </c>
      <c r="AC4" s="49" t="s">
        <v>268</v>
      </c>
      <c r="AD4" s="49" t="s">
        <v>288</v>
      </c>
      <c r="AE4" s="49" t="s">
        <v>267</v>
      </c>
      <c r="AF4" s="49" t="s">
        <v>273</v>
      </c>
      <c r="AG4" s="67" t="s">
        <v>280</v>
      </c>
      <c r="AH4" s="67" t="s">
        <v>279</v>
      </c>
      <c r="AI4" s="67" t="s">
        <v>337</v>
      </c>
      <c r="AJ4" s="28" t="s">
        <v>339</v>
      </c>
      <c r="AK4" s="61" t="s">
        <v>282</v>
      </c>
      <c r="AL4" s="61" t="s">
        <v>283</v>
      </c>
      <c r="AM4" s="69" t="s">
        <v>299</v>
      </c>
      <c r="AN4" s="69" t="s">
        <v>301</v>
      </c>
      <c r="AO4" s="69" t="s">
        <v>300</v>
      </c>
      <c r="AP4" s="69" t="s">
        <v>302</v>
      </c>
      <c r="AQ4" s="30" t="s">
        <v>0</v>
      </c>
      <c r="AR4" s="31" t="s">
        <v>1</v>
      </c>
      <c r="AS4" s="31" t="s">
        <v>2</v>
      </c>
      <c r="AT4" s="31" t="s">
        <v>3</v>
      </c>
      <c r="AU4" s="31" t="s">
        <v>4</v>
      </c>
      <c r="AV4" s="31" t="s">
        <v>5</v>
      </c>
      <c r="AW4" s="31" t="s">
        <v>6</v>
      </c>
      <c r="AX4" s="31" t="s">
        <v>7</v>
      </c>
      <c r="AY4" s="31" t="s">
        <v>8</v>
      </c>
      <c r="AZ4" s="31" t="s">
        <v>9</v>
      </c>
      <c r="BA4" s="31" t="s">
        <v>10</v>
      </c>
      <c r="BB4" s="31" t="s">
        <v>11</v>
      </c>
      <c r="BC4" s="31" t="s">
        <v>12</v>
      </c>
      <c r="BD4" s="31" t="s">
        <v>13</v>
      </c>
      <c r="BE4" s="31" t="s">
        <v>14</v>
      </c>
      <c r="BF4" s="31" t="s">
        <v>15</v>
      </c>
      <c r="BG4" s="31" t="s">
        <v>16</v>
      </c>
      <c r="BH4" s="31" t="s">
        <v>17</v>
      </c>
      <c r="BI4" s="31" t="s">
        <v>18</v>
      </c>
      <c r="BJ4" s="31" t="s">
        <v>19</v>
      </c>
      <c r="BK4" s="31" t="s">
        <v>20</v>
      </c>
      <c r="BL4" s="31" t="s">
        <v>21</v>
      </c>
      <c r="BM4" s="31" t="s">
        <v>22</v>
      </c>
      <c r="BN4" s="31" t="s">
        <v>23</v>
      </c>
      <c r="BO4" s="31" t="s">
        <v>24</v>
      </c>
      <c r="BP4" s="31" t="s">
        <v>25</v>
      </c>
      <c r="BQ4" s="31" t="s">
        <v>26</v>
      </c>
      <c r="BR4" s="31" t="s">
        <v>27</v>
      </c>
      <c r="BS4" s="31" t="s">
        <v>28</v>
      </c>
      <c r="BT4" s="31" t="s">
        <v>29</v>
      </c>
      <c r="BU4" s="29" t="s">
        <v>30</v>
      </c>
      <c r="BV4" s="30" t="s">
        <v>31</v>
      </c>
      <c r="BW4" s="31" t="s">
        <v>0</v>
      </c>
      <c r="BX4" s="31" t="s">
        <v>32</v>
      </c>
      <c r="BY4" s="31" t="s">
        <v>33</v>
      </c>
      <c r="BZ4" s="31" t="s">
        <v>34</v>
      </c>
      <c r="CA4" s="31" t="s">
        <v>35</v>
      </c>
      <c r="CB4" s="31" t="s">
        <v>36</v>
      </c>
      <c r="CC4" s="31" t="s">
        <v>37</v>
      </c>
      <c r="CD4" s="31" t="s">
        <v>38</v>
      </c>
      <c r="CE4" s="31" t="s">
        <v>10</v>
      </c>
      <c r="CF4" s="31" t="s">
        <v>39</v>
      </c>
      <c r="CG4" s="31" t="s">
        <v>40</v>
      </c>
      <c r="CH4" s="31" t="s">
        <v>23</v>
      </c>
      <c r="CI4" s="31" t="s">
        <v>24</v>
      </c>
      <c r="CJ4" s="31" t="s">
        <v>25</v>
      </c>
      <c r="CK4" s="31" t="s">
        <v>26</v>
      </c>
      <c r="CL4" s="31" t="s">
        <v>27</v>
      </c>
      <c r="CM4" s="31" t="s">
        <v>28</v>
      </c>
      <c r="CN4" s="31" t="s">
        <v>29</v>
      </c>
      <c r="CO4" s="31" t="s">
        <v>30</v>
      </c>
      <c r="CP4" s="31" t="s">
        <v>19</v>
      </c>
      <c r="CQ4" s="31" t="s">
        <v>18</v>
      </c>
      <c r="CR4" s="31" t="s">
        <v>41</v>
      </c>
      <c r="CS4" s="31" t="s">
        <v>42</v>
      </c>
      <c r="CT4" s="31" t="s">
        <v>11</v>
      </c>
      <c r="CU4" s="31" t="s">
        <v>12</v>
      </c>
      <c r="CV4" s="31" t="s">
        <v>20</v>
      </c>
      <c r="CW4" s="31" t="s">
        <v>21</v>
      </c>
      <c r="CX4" s="29" t="s">
        <v>22</v>
      </c>
      <c r="CY4" s="30" t="s">
        <v>0</v>
      </c>
      <c r="CZ4" s="31" t="s">
        <v>43</v>
      </c>
      <c r="DA4" s="31"/>
      <c r="DB4" s="31" t="s">
        <v>45</v>
      </c>
      <c r="DC4" s="31" t="s">
        <v>37</v>
      </c>
      <c r="DD4" s="31" t="s">
        <v>38</v>
      </c>
      <c r="DE4" s="31" t="s">
        <v>8</v>
      </c>
      <c r="DF4" s="31" t="s">
        <v>9</v>
      </c>
      <c r="DG4" s="31" t="s">
        <v>46</v>
      </c>
      <c r="DH4" s="31" t="s">
        <v>47</v>
      </c>
      <c r="DI4" s="31" t="s">
        <v>48</v>
      </c>
      <c r="DJ4" s="31" t="s">
        <v>49</v>
      </c>
      <c r="DK4" s="31" t="s">
        <v>10</v>
      </c>
      <c r="DL4" s="31" t="s">
        <v>1</v>
      </c>
      <c r="DM4" s="31" t="s">
        <v>50</v>
      </c>
      <c r="DN4" s="31" t="s">
        <v>51</v>
      </c>
      <c r="DO4" s="31" t="s">
        <v>52</v>
      </c>
      <c r="DP4" s="31" t="s">
        <v>53</v>
      </c>
      <c r="DQ4" s="31" t="s">
        <v>54</v>
      </c>
      <c r="DR4" s="31" t="s">
        <v>55</v>
      </c>
      <c r="DS4" s="31" t="s">
        <v>56</v>
      </c>
      <c r="DT4" s="31" t="s">
        <v>57</v>
      </c>
      <c r="DU4" s="31" t="s">
        <v>19</v>
      </c>
      <c r="DV4" s="31" t="s">
        <v>18</v>
      </c>
      <c r="DW4" s="31" t="s">
        <v>11</v>
      </c>
      <c r="DX4" s="31" t="s">
        <v>12</v>
      </c>
      <c r="DY4" s="31" t="s">
        <v>16</v>
      </c>
      <c r="DZ4" s="31" t="s">
        <v>20</v>
      </c>
      <c r="EA4" s="31" t="s">
        <v>21</v>
      </c>
      <c r="EB4" s="31" t="s">
        <v>22</v>
      </c>
      <c r="EC4" s="31" t="s">
        <v>6</v>
      </c>
      <c r="ED4" s="29" t="s">
        <v>7</v>
      </c>
      <c r="EE4" s="30" t="s">
        <v>191</v>
      </c>
      <c r="EF4" s="31" t="s">
        <v>198</v>
      </c>
      <c r="EG4" s="31" t="s">
        <v>199</v>
      </c>
      <c r="EH4" s="31" t="s">
        <v>194</v>
      </c>
      <c r="EI4" s="31" t="s">
        <v>195</v>
      </c>
      <c r="EJ4" s="31" t="s">
        <v>196</v>
      </c>
      <c r="EK4" s="31" t="s">
        <v>190</v>
      </c>
      <c r="EL4" s="31" t="s">
        <v>197</v>
      </c>
      <c r="EM4" s="31" t="s">
        <v>200</v>
      </c>
      <c r="EN4" s="31" t="s">
        <v>201</v>
      </c>
      <c r="EO4" s="31" t="s">
        <v>202</v>
      </c>
      <c r="EP4" s="31" t="s">
        <v>203</v>
      </c>
      <c r="EQ4" s="31" t="s">
        <v>204</v>
      </c>
      <c r="ER4" s="31" t="s">
        <v>205</v>
      </c>
      <c r="ES4" s="31" t="s">
        <v>206</v>
      </c>
      <c r="ET4" s="31" t="s">
        <v>78</v>
      </c>
      <c r="EU4" s="31" t="s">
        <v>207</v>
      </c>
      <c r="EV4" s="31" t="s">
        <v>208</v>
      </c>
      <c r="EW4" s="31" t="s">
        <v>209</v>
      </c>
      <c r="EX4" s="31" t="s">
        <v>210</v>
      </c>
      <c r="EY4" s="31" t="s">
        <v>211</v>
      </c>
      <c r="EZ4" s="31" t="s">
        <v>212</v>
      </c>
      <c r="FA4" s="31" t="s">
        <v>213</v>
      </c>
      <c r="FB4" s="31" t="s">
        <v>214</v>
      </c>
      <c r="FC4" s="31" t="s">
        <v>215</v>
      </c>
      <c r="FD4" s="31" t="s">
        <v>216</v>
      </c>
      <c r="FE4" s="31" t="s">
        <v>217</v>
      </c>
      <c r="FF4" s="31" t="s">
        <v>218</v>
      </c>
      <c r="FG4" s="61" t="s">
        <v>192</v>
      </c>
      <c r="FH4" s="30" t="s">
        <v>262</v>
      </c>
      <c r="FI4" s="29" t="s">
        <v>263</v>
      </c>
      <c r="FJ4" s="63" t="s">
        <v>251</v>
      </c>
    </row>
    <row r="5" spans="1:166" x14ac:dyDescent="0.3">
      <c r="A5" s="53" t="s">
        <v>335</v>
      </c>
      <c r="B5" s="54" t="s">
        <v>79</v>
      </c>
      <c r="C5" s="54" t="s">
        <v>336</v>
      </c>
      <c r="D5" s="53"/>
      <c r="E5" s="54"/>
      <c r="F5" s="54"/>
      <c r="G5" s="54"/>
      <c r="H5" s="54"/>
      <c r="I5" s="54"/>
      <c r="J5" s="55"/>
      <c r="K5" s="56" t="s">
        <v>336</v>
      </c>
      <c r="AK5" s="35" t="str">
        <f>IF(V5="",A5,V5)&amp;IF(W5&lt;&gt;"","{"&amp;W5&amp;"}","")&amp;IF(X5&lt;&gt;"","/"&amp;X5,"")</f>
        <v>QualityTag</v>
      </c>
      <c r="AL5" s="35" t="str">
        <f>IF(V5="",A5,V5)&amp;IF(W5&lt;&gt;"","["&amp;W5&amp;"]","")&amp;IF(X5&lt;&gt;"","/"&amp;X5,"")</f>
        <v>QualityTag</v>
      </c>
      <c r="AM5" s="35" t="b">
        <f>$AF5&lt;&gt;TRUE</f>
        <v>1</v>
      </c>
      <c r="AN5" s="35" t="b">
        <f>AND($U5&lt;&gt;"",$AF5&lt;&gt;TRUE, DL_DisableAlarms&lt;&gt;TRUE)</f>
        <v>0</v>
      </c>
      <c r="AO5" s="35" t="b">
        <f>AND($T5&lt;&gt;"",$AF5&lt;&gt;TRUE,DL_DisableTrends&lt;&gt;TRUE)</f>
        <v>0</v>
      </c>
      <c r="AP5" s="35" t="b">
        <f>AND(DL_PVEnable=TRUE,$AC5&lt;&gt;"IGNORE",$AF5&lt;&gt;TRUE)</f>
        <v>0</v>
      </c>
      <c r="AQ5" s="34" t="str">
        <f>IF($AM5,DL_TagPrefixFull&amp;A5,"")</f>
        <v>[TagPrefixFull]QualityTag</v>
      </c>
      <c r="AR5" s="35" t="str">
        <f>IF($AM5,VLOOKUP(B5,DataTypeMappings!$A$2:$B$18,2,"FALSE"),"")</f>
        <v>DIGITAL</v>
      </c>
      <c r="AS5" s="35" t="str">
        <f>IF($AM5,IF(AG5&lt;&gt;"",AG5,DL_PLC),"")</f>
        <v>[PLC]</v>
      </c>
      <c r="AT5" s="35" t="str">
        <f>IF($AM5,IF($Y5="",DL_AddrPrefixFull&amp;AK5,Y5),"")</f>
        <v>[AddrPrefixFull]QualityTag</v>
      </c>
      <c r="AU5" s="35" t="str">
        <f>IF($AM5,TRIM(L5),"")</f>
        <v/>
      </c>
      <c r="AV5" s="35" t="str">
        <f>IF($AM5,TRIM(M5),"")</f>
        <v/>
      </c>
      <c r="AW5" s="35" t="str">
        <f>IF($AM5,TRIM(N5),"")</f>
        <v/>
      </c>
      <c r="AX5" s="35" t="str">
        <f>IF($AM5,TRIM(O5),"")</f>
        <v/>
      </c>
      <c r="AY5" s="35" t="str">
        <f>IF($AM5,TRIM(R5),"")</f>
        <v/>
      </c>
      <c r="AZ5" s="35" t="str">
        <f>IF($AM5,TRIM(S5),"")</f>
        <v/>
      </c>
      <c r="BA5" s="35" t="str">
        <f>IF($AM5,IF(DL_Desc &lt;&gt; "", DL_Desc &amp; Global_Seperator &amp; K5, K5), "")</f>
        <v>[Desc] - Quality Check Tag</v>
      </c>
      <c r="BB5" s="35"/>
      <c r="BC5" s="35"/>
      <c r="BD5" s="35"/>
      <c r="BE5" s="35"/>
      <c r="BF5" s="35"/>
      <c r="BG5" s="35"/>
      <c r="BH5" s="35"/>
      <c r="BI5" s="35"/>
      <c r="BJ5" s="35" t="str">
        <f>IF($AM5,IF(AH5&lt;&gt;"",AH5,DL_Cluster),"")</f>
        <v>[Cluster]</v>
      </c>
      <c r="BK5" s="35" t="str">
        <f>IF($AM5,IF(Z5&lt;&gt;"",Z5,DL_Equip),"")</f>
        <v>[Equip]</v>
      </c>
      <c r="BL5" s="35" t="str">
        <f>IF($AM5,IF(BK5&lt;&gt;"",IF(DL_EnableItem="TRUE",IF(AA5&lt;&gt;"",AA5,A5),""),""),"")</f>
        <v/>
      </c>
      <c r="BM5" s="35" t="str">
        <f>IF($AM5,TRIM(DL_Historian), "")</f>
        <v>[Historian]</v>
      </c>
      <c r="BN5" s="35" t="str">
        <f>IF($AM5,TRIM(DL_DigAlmName), "")</f>
        <v>[DigAlmName]</v>
      </c>
      <c r="BO5" s="35" t="str">
        <f>IF($AM5,TRIM(DL_Desc), "")</f>
        <v>[Desc]</v>
      </c>
      <c r="BP5" s="35" t="str">
        <f>IF($AN5,U5,"")</f>
        <v/>
      </c>
      <c r="BQ5" s="35" t="str">
        <f>IF($AO5,T5,"")</f>
        <v/>
      </c>
      <c r="BR5" s="35"/>
      <c r="BS5" s="35"/>
      <c r="BT5" s="35"/>
      <c r="BU5" s="83" t="str">
        <f>IF($AM5,TRIM(AJ5), "")</f>
        <v/>
      </c>
      <c r="BV5" s="34" t="str">
        <f>IF($AN5,DL_TagPrefixFull&amp;A5,"")</f>
        <v/>
      </c>
      <c r="BW5" s="35" t="str">
        <f>IF($AN5,DL_TagPrefixFull&amp;A5,"")</f>
        <v/>
      </c>
      <c r="BX5" s="35" t="str">
        <f>IF($AN5,IF(AI5&lt;&gt;"",AI5,IF(DL_Desc &lt;&gt; "", DL_Desc &amp; Global_Seperator &amp; K5, K5)),"")</f>
        <v/>
      </c>
      <c r="BY5" s="35" t="str">
        <f>IF($AN5,DL_TagPrefixFull&amp;A5,"")</f>
        <v/>
      </c>
      <c r="BZ5" s="35" t="str">
        <f>IF($AN5,IF(DL_VariableB&lt;&gt;"",DL_VariableB,""),"")</f>
        <v/>
      </c>
      <c r="CA5" s="35" t="str">
        <f>IF($AN5,U5,"")</f>
        <v/>
      </c>
      <c r="CB5" s="35" t="str">
        <f>IF($AN5,IF(AB5&lt;&gt;"",AB5,DL_Help),"")</f>
        <v/>
      </c>
      <c r="CC5" s="35" t="str">
        <f>IF($AN5,Global_Alarm_Priv,"")</f>
        <v/>
      </c>
      <c r="CD5" s="35" t="str">
        <f>IF($AN5,TRIM(DL_Area),"")</f>
        <v/>
      </c>
      <c r="CE5" s="35" t="str">
        <f>IF($AN5,IF(DL_Desc&lt;&gt;"",DL_Desc &amp; Global_Seperator &amp; K5, K5),"")</f>
        <v/>
      </c>
      <c r="CF5" s="35"/>
      <c r="CG5" s="35"/>
      <c r="CH5" s="35" t="str">
        <f>IF($AN5,DL_DigAlmName,"")</f>
        <v/>
      </c>
      <c r="CI5" s="35"/>
      <c r="CJ5" s="35"/>
      <c r="CK5" s="35"/>
      <c r="CL5" s="35"/>
      <c r="CM5" s="35"/>
      <c r="CN5" s="35"/>
      <c r="CO5" s="35"/>
      <c r="CP5" s="35" t="str">
        <f>IF($AN5,IF(AH5&lt;&gt;"",AH5,DL_Cluster),"")</f>
        <v/>
      </c>
      <c r="CQ5" s="35"/>
      <c r="CR5" s="35"/>
      <c r="CS5" s="35"/>
      <c r="CT5" s="35"/>
      <c r="CU5" s="35"/>
      <c r="CV5" s="35" t="str">
        <f>IF($AN5,IF(Z5&lt;&gt;"",Z5,DL_Equip),"")</f>
        <v/>
      </c>
      <c r="CW5" s="35" t="str">
        <f>IF($AN5,IF(CV5&lt;&gt;"",IF(DL_EnableItem,IF(AA5&lt;&gt;"",AA5,A5),""),""),"")</f>
        <v/>
      </c>
      <c r="CX5" s="35"/>
      <c r="CY5" s="34" t="str">
        <f>IF($AO5,DL_TagPrefixFull&amp;A5,"")</f>
        <v/>
      </c>
      <c r="CZ5" s="35" t="str">
        <f>IF($AO5,DL_TagPrefixFull&amp;A5,"")</f>
        <v/>
      </c>
      <c r="DA5" s="35"/>
      <c r="DB5" s="35" t="str">
        <f>IF($AO5,T5,"")</f>
        <v/>
      </c>
      <c r="DC5" s="35"/>
      <c r="DD5" s="35"/>
      <c r="DE5" s="35" t="str">
        <f>IF($AO5,TRIM(R5),"")</f>
        <v/>
      </c>
      <c r="DF5" s="35" t="str">
        <f>IF($AO5,TRIM(S5),"")</f>
        <v/>
      </c>
      <c r="DG5" s="35" t="str">
        <f>IF($AO5,IF(DL_TrendPrefixOverride&lt;&gt;"",DL_TrendPrefixOverride&amp;AQ5&amp;"\"&amp;AQ5,Global_Trend_Prefix&amp;AQ5&amp;"\"&amp;AQ5),"")</f>
        <v/>
      </c>
      <c r="DH5" s="35" t="str">
        <f>IF($AO5,TRIM(Global_Trend_NumFiles),"")</f>
        <v/>
      </c>
      <c r="DI5" s="35" t="str">
        <f>IF($AO5,TRIM(Global_Trend_Time),"")</f>
        <v/>
      </c>
      <c r="DJ5" s="35" t="str">
        <f>IF($AO5,TRIM(Global_Trend_Period),"")</f>
        <v/>
      </c>
      <c r="DK5" s="35" t="str">
        <f>IF($AO5, DL_DigAlmName &amp; Global_Seperator &amp; IF(DL_Desc&lt;&gt;"",DL_Desc &amp; Global_Seperator &amp; K5, K5),"")</f>
        <v/>
      </c>
      <c r="DL5" s="35" t="str">
        <f>IF($AO5,"TRN_PERIODIC","")</f>
        <v/>
      </c>
      <c r="DM5" s="35"/>
      <c r="DN5" s="35"/>
      <c r="DO5" s="35"/>
      <c r="DP5" s="35"/>
      <c r="DQ5" s="35"/>
      <c r="DR5" s="35"/>
      <c r="DS5" s="35"/>
      <c r="DT5" s="35" t="str">
        <f>IF($AO5,IF(AR5="DIGITAL","Scaled (2-byte samples)","Floating Point (8-byte samples)"),"")</f>
        <v/>
      </c>
      <c r="DU5" s="35" t="str">
        <f>IF($AO5,IF(AH5&lt;&gt;"",AH5,DL_Cluster),"")</f>
        <v/>
      </c>
      <c r="DV5" s="35"/>
      <c r="DW5" s="35"/>
      <c r="DX5" s="35"/>
      <c r="DY5" s="35"/>
      <c r="DZ5" s="35" t="str">
        <f>IF($AO5,IF(Z5&lt;&gt;"",Z5,DL_Equip),"")</f>
        <v/>
      </c>
      <c r="EA5" s="35" t="str">
        <f>IF($AO5,IF(DZ5&lt;&gt;"",IF(DL_EnableItem,IF(AA5&lt;&gt;"",AA5,A5),""),""),"")</f>
        <v/>
      </c>
      <c r="EB5" s="35"/>
      <c r="EC5" s="35" t="str">
        <f>IF($AO5,TRIM(P5),"")</f>
        <v/>
      </c>
      <c r="ED5" s="33" t="str">
        <f>IF($AO5,TRIM(Q5),"")</f>
        <v/>
      </c>
      <c r="EE5" s="57" t="str">
        <f>IF($AP5 = FALSE,"",VLOOKUP(B5,DataTypeMappings!$A$2:$C$18,3,FALSE))</f>
        <v/>
      </c>
      <c r="EF5" s="58" t="str">
        <f>IF($AP5 = FALSE,"",IF(AC5&lt;&gt;"",AC5,DL_PVFolder)&amp;"\"&amp;IF(AD5="",DL_PVPrefixFull&amp;A5,DL_PVPrefixFull&amp;AD5))</f>
        <v/>
      </c>
      <c r="EG5" s="58" t="str">
        <f>IF($AP5 = FALSE,"",DL_Desc&amp;" "&amp;K5)</f>
        <v/>
      </c>
      <c r="EH5" s="58" t="str">
        <f>IF($AP5 = FALSE,"","F")</f>
        <v/>
      </c>
      <c r="EI5" s="58" t="str">
        <f>IF($AP5 = FALSE,"","D")</f>
        <v/>
      </c>
      <c r="EJ5" s="58" t="str">
        <f>IF($AP5 = FALSE,"","*")</f>
        <v/>
      </c>
      <c r="EK5" s="58" t="str">
        <f>IF($AP5 = FALSE,"","F")</f>
        <v/>
      </c>
      <c r="EL5" s="58" t="str">
        <f>IF($AP5 = FALSE,"",VLOOKUP(B5,DataTypeMappings!$A$2:$D$18,4,FALSE()))</f>
        <v/>
      </c>
      <c r="EM5" s="58" t="str">
        <f>IF($AP5 = FALSE,"",IF(EE5="A","L",""))</f>
        <v/>
      </c>
      <c r="EN5" s="58" t="str">
        <f>IF($AP5 = FALSE,"",IF(EE5="A",N5,""))</f>
        <v/>
      </c>
      <c r="EO5" s="58" t="str">
        <f>IF($AP5 = FALSE,"",IF(EE5="A",O5,""))</f>
        <v/>
      </c>
      <c r="EP5" s="58" t="str">
        <f>IF($AP5 = FALSE,"",IF(EE5="A","0",""))</f>
        <v/>
      </c>
      <c r="EQ5" s="58" t="str">
        <f>IF($AP5 = FALSE,"",IF(EE5="A",IF(M5&lt;&gt;O5,O5/M5,1),""))</f>
        <v/>
      </c>
      <c r="ER5" s="58" t="str">
        <f>IF($AP5 = FALSE,"",IF(EE5="A","0",""))</f>
        <v/>
      </c>
      <c r="ES5" s="58" t="str">
        <f>IF($AP5 = FALSE,"",IF(EE5="A","0",""))</f>
        <v/>
      </c>
      <c r="ET5" s="58" t="str">
        <f>IF($AP5 = FALSE,"",TRIM(R5))</f>
        <v/>
      </c>
      <c r="EU5" s="58" t="str">
        <f>IF($AP5 = FALSE,"",IF(EE5="D","0",""))</f>
        <v/>
      </c>
      <c r="EV5" s="58" t="str">
        <f>IF($AP5 = FALSE,"",IF(EE5="D","1",""))</f>
        <v/>
      </c>
      <c r="EW5" s="58" t="str">
        <f>IF($AP5 = FALSE,"",IF(EE5="D","0",""))</f>
        <v/>
      </c>
      <c r="EX5" s="58" t="str">
        <f>IF($AP5 = FALSE,"",IF(EE5="S","82",""))</f>
        <v/>
      </c>
      <c r="EY5" s="58"/>
      <c r="EZ5" s="58"/>
      <c r="FA5" s="58" t="str">
        <f>IF($AP5 = FALSE,"","["&amp;DL_PVPLC&amp;"]"&amp;IF($Y5="",DL_AddrPrefixFull&amp;AL5,Y5))</f>
        <v/>
      </c>
      <c r="FB5" s="58"/>
      <c r="FC5" s="58"/>
      <c r="FD5" s="58"/>
      <c r="FE5" s="58"/>
      <c r="FF5" s="35"/>
      <c r="FG5" s="35"/>
      <c r="FH5" s="35" t="str">
        <f>IF(OR($A5="",DL_PVEnable=FALSE(),AC5="IGNORE",$AF5=TRUE,$AE5="",$AE5=FALSE),"",SUBSTITUTE($FH$2,"~Tag~",EF5))</f>
        <v/>
      </c>
      <c r="FI5" s="33" t="str">
        <f>IF(OR($A5="",DL_PVEnable=FALSE(),AC5="IGNORE",$AF5=TRUE,$AE5="",$AE5=FALSE),"",SUBSTITUTE($FI$2,"~Tag~",EG5))</f>
        <v/>
      </c>
      <c r="FJ5" s="62" t="str">
        <f>IF($AP5 = FALSE,"",IF(AC5&lt;&gt;"",AC5,DL_PVFolder))</f>
        <v/>
      </c>
    </row>
    <row r="6" spans="1:166" x14ac:dyDescent="0.3">
      <c r="A6" t="s">
        <v>324</v>
      </c>
      <c r="B6" t="s">
        <v>79</v>
      </c>
      <c r="C6" t="s">
        <v>357</v>
      </c>
      <c r="K6" t="s">
        <v>357</v>
      </c>
      <c r="T6">
        <v>1</v>
      </c>
      <c r="U6" s="93" t="s">
        <v>719</v>
      </c>
      <c r="AK6" t="str">
        <f t="shared" ref="AK6:AK9" si="0">IF(V6="",A6,V6)&amp;IF(W6&lt;&gt;"","{"&amp;W6&amp;"}","")&amp;IF(X6&lt;&gt;"","/"&amp;X6,"")</f>
        <v>ProdTrip</v>
      </c>
      <c r="AL6" t="str">
        <f t="shared" ref="AL6:AL9" si="1">IF(V6="",A6,V6)&amp;IF(W6&lt;&gt;"","["&amp;W6&amp;"]","")&amp;IF(X6&lt;&gt;"","/"&amp;X6,"")</f>
        <v>ProdTrip</v>
      </c>
      <c r="AM6" t="b">
        <f t="shared" ref="AM6:AM9" si="2">$AF6&lt;&gt;TRUE</f>
        <v>1</v>
      </c>
      <c r="AN6" t="b">
        <f>AND($U6&lt;&gt;"",$AF6&lt;&gt;TRUE, DL_DisableAlarms&lt;&gt;TRUE)</f>
        <v>1</v>
      </c>
      <c r="AO6" t="b">
        <f>AND($T6&lt;&gt;"",$AF6&lt;&gt;TRUE,DL_DisableTrends&lt;&gt;TRUE)</f>
        <v>1</v>
      </c>
      <c r="AP6" t="b">
        <f>AND(DL_PVEnable=TRUE,$AC6&lt;&gt;"IGNORE",$AF6&lt;&gt;TRUE)</f>
        <v>0</v>
      </c>
      <c r="AQ6" t="str">
        <f>IF($AM6,DL_TagPrefixFull&amp;A6,"")</f>
        <v>[TagPrefixFull]ProdTrip</v>
      </c>
      <c r="AR6" t="str">
        <f>IF($AM6,VLOOKUP(B6,DataTypeMappings!$A$2:$B$18,2,"FALSE"),"")</f>
        <v>DIGITAL</v>
      </c>
      <c r="AS6" t="str">
        <f>IF($AM6,IF(AG6&lt;&gt;"",AG6,DL_PLC),"")</f>
        <v>[PLC]</v>
      </c>
      <c r="AT6" t="str">
        <f>IF($AM6,IF($Y6="",DL_AddrPrefixFull&amp;AK6,Y6),"")</f>
        <v>[AddrPrefixFull]ProdTrip</v>
      </c>
      <c r="AU6" t="str">
        <f t="shared" ref="AU6:AU9" si="3">IF($AM6,TRIM(L6),"")</f>
        <v/>
      </c>
      <c r="AV6" t="str">
        <f t="shared" ref="AV6:AV9" si="4">IF($AM6,TRIM(M6),"")</f>
        <v/>
      </c>
      <c r="AW6" t="str">
        <f t="shared" ref="AW6:AW9" si="5">IF($AM6,TRIM(N6),"")</f>
        <v/>
      </c>
      <c r="AX6" t="str">
        <f t="shared" ref="AX6:AX9" si="6">IF($AM6,TRIM(O6),"")</f>
        <v/>
      </c>
      <c r="AY6" t="str">
        <f t="shared" ref="AY6:AY9" si="7">IF($AM6,TRIM(R6),"")</f>
        <v/>
      </c>
      <c r="AZ6" t="str">
        <f t="shared" ref="AZ6:AZ9" si="8">IF($AM6,TRIM(S6),"")</f>
        <v/>
      </c>
      <c r="BA6" t="str">
        <f>IF($AM6,IF(DL_Desc &lt;&gt; "", DL_Desc &amp; Global_Seperator &amp; K6, K6), "")</f>
        <v>[Desc] - Conveyor Tripped</v>
      </c>
      <c r="BJ6" t="str">
        <f>IF($AM6,IF(AH6&lt;&gt;"",AH6,DL_Cluster),"")</f>
        <v>[Cluster]</v>
      </c>
      <c r="BK6" t="str">
        <f>IF($AM6,IF(Z6&lt;&gt;"",Z6,DL_Equip),"")</f>
        <v>[Equip]</v>
      </c>
      <c r="BL6" t="str">
        <f>IF($AM6,IF(BK6&lt;&gt;"",IF(DL_EnableItem="TRUE",IF(AA6&lt;&gt;"",AA6,A6),""),""),"")</f>
        <v/>
      </c>
      <c r="BM6" t="str">
        <f>IF($AM6,TRIM(DL_Historian), "")</f>
        <v>[Historian]</v>
      </c>
      <c r="BN6" t="str">
        <f>IF($AM6,TRIM(DL_DigAlmName), "")</f>
        <v>[DigAlmName]</v>
      </c>
      <c r="BO6" t="str">
        <f>IF($AM6,TRIM(DL_Desc), "")</f>
        <v>[Desc]</v>
      </c>
      <c r="BP6" t="str">
        <f t="shared" ref="BP6:BP9" si="9">IF($AN6,U6,"")</f>
        <v>Alm_Prod</v>
      </c>
      <c r="BQ6">
        <f t="shared" ref="BQ6:BQ9" si="10">IF($AO6,T6,"")</f>
        <v>1</v>
      </c>
      <c r="BU6" t="str">
        <f t="shared" ref="BU6:BU9" si="11">IF($AM6,TRIM(AJ6), "")</f>
        <v/>
      </c>
      <c r="BV6" t="str">
        <f>IF($AN6,DL_TagPrefixFull&amp;A6,"")</f>
        <v>[TagPrefixFull]ProdTrip</v>
      </c>
      <c r="BW6" t="str">
        <f>IF($AN6,DL_TagPrefixFull&amp;A6,"")</f>
        <v>[TagPrefixFull]ProdTrip</v>
      </c>
      <c r="BX6" t="str">
        <f>IF($AN6,IF(AI6&lt;&gt;"",AI6,IF(DL_Desc &lt;&gt; "", DL_Desc &amp; Global_Seperator &amp; K6, K6)),"")</f>
        <v>[Desc] - Conveyor Tripped</v>
      </c>
      <c r="BY6" t="str">
        <f>IF($AN6,DL_TagPrefixFull&amp;A6,"")</f>
        <v>[TagPrefixFull]ProdTrip</v>
      </c>
      <c r="BZ6" t="str">
        <f>IF($AN6,IF(DL_VariableB&lt;&gt;"",DL_VariableB,""),"")</f>
        <v>[VariableB]</v>
      </c>
      <c r="CA6" t="str">
        <f t="shared" ref="CA6:CA9" si="12">IF($AN6,U6,"")</f>
        <v>Alm_Prod</v>
      </c>
      <c r="CB6" t="str">
        <f>IF($AN6,IF(AB6&lt;&gt;"",AB6,DL_Help),"")</f>
        <v>[Help]</v>
      </c>
      <c r="CC6" t="str">
        <f>IF($AN6,Global_Alarm_Priv,"")</f>
        <v>Priv_Alarm</v>
      </c>
      <c r="CD6" t="str">
        <f>IF($AN6,TRIM(DL_Area),"")</f>
        <v>[Area]</v>
      </c>
      <c r="CE6" t="str">
        <f>IF($AN6,IF(DL_Desc&lt;&gt;"",DL_Desc &amp; Global_Seperator &amp; K6, K6),"")</f>
        <v>[Desc] - Conveyor Tripped</v>
      </c>
      <c r="CH6" t="str">
        <f>IF($AN6,DL_DigAlmName,"")</f>
        <v>[DigAlmName]</v>
      </c>
      <c r="CP6" t="str">
        <f>IF($AN6,IF(AH6&lt;&gt;"",AH6,DL_Cluster),"")</f>
        <v>[Cluster]</v>
      </c>
      <c r="CV6" t="str">
        <f>IF($AN6,IF(Z6&lt;&gt;"",Z6,DL_Equip),"")</f>
        <v>[Equip]</v>
      </c>
      <c r="CW6" t="e">
        <f>IF($AN6,IF(CV6&lt;&gt;"",IF(DL_EnableItem,IF(AA6&lt;&gt;"",AA6,A6),""),""),"")</f>
        <v>#VALUE!</v>
      </c>
      <c r="CY6" t="str">
        <f>IF($AO6,DL_TagPrefixFull&amp;A6,"")</f>
        <v>[TagPrefixFull]ProdTrip</v>
      </c>
      <c r="CZ6" t="str">
        <f>IF($AO6,DL_TagPrefixFull&amp;A6,"")</f>
        <v>[TagPrefixFull]ProdTrip</v>
      </c>
      <c r="DB6">
        <f t="shared" ref="DB6:DB9" si="13">IF($AO6,T6,"")</f>
        <v>1</v>
      </c>
      <c r="DE6" t="str">
        <f t="shared" ref="DE6:DE9" si="14">IF($AO6,TRIM(R6),"")</f>
        <v/>
      </c>
      <c r="DF6" t="str">
        <f t="shared" ref="DF6:DF9" si="15">IF($AO6,TRIM(S6),"")</f>
        <v/>
      </c>
      <c r="DG6" t="str">
        <f>IF($AO6,IF(DL_TrendPrefixOverride&lt;&gt;"",DL_TrendPrefixOverride&amp;AQ6&amp;"\"&amp;AQ6,Global_Trend_Prefix&amp;AQ6&amp;"\"&amp;AQ6),"")</f>
        <v>[TrendPrefixOverride][TagPrefixFull]ProdTrip\[TagPrefixFull]ProdTrip</v>
      </c>
      <c r="DH6" t="str">
        <f>IF($AO6,TRIM(Global_Trend_NumFiles),"")</f>
        <v>25</v>
      </c>
      <c r="DI6" t="str">
        <f>IF($AO6,TRIM(Global_Trend_Time),"")</f>
        <v>00:00:00</v>
      </c>
      <c r="DJ6" t="str">
        <f>IF($AO6,TRIM(Global_Trend_Period),"")</f>
        <v>Saturday</v>
      </c>
      <c r="DK6" t="str">
        <f>IF($AO6, DL_DigAlmName &amp; Global_Seperator &amp; IF(DL_Desc&lt;&gt;"",DL_Desc &amp; Global_Seperator &amp; K6, K6),"")</f>
        <v>[DigAlmName] - [Desc] - Conveyor Tripped</v>
      </c>
      <c r="DL6" t="str">
        <f t="shared" ref="DL6:DL9" si="16">IF($AO6,"TRN_PERIODIC","")</f>
        <v>TRN_PERIODIC</v>
      </c>
      <c r="DT6" t="str">
        <f t="shared" ref="DT6:DT9" si="17">IF($AO6,IF(AR6="DIGITAL","Scaled (2-byte samples)","Floating Point (8-byte samples)"),"")</f>
        <v>Scaled (2-byte samples)</v>
      </c>
      <c r="DU6" t="str">
        <f>IF($AO6,IF(AH6&lt;&gt;"",AH6,DL_Cluster),"")</f>
        <v>[Cluster]</v>
      </c>
      <c r="DZ6" t="str">
        <f>IF($AO6,IF(Z6&lt;&gt;"",Z6,DL_Equip),"")</f>
        <v>[Equip]</v>
      </c>
      <c r="EA6" t="e">
        <f>IF($AO6,IF(DZ6&lt;&gt;"",IF(DL_EnableItem,IF(AA6&lt;&gt;"",AA6,A6),""),""),"")</f>
        <v>#VALUE!</v>
      </c>
      <c r="EC6" t="str">
        <f t="shared" ref="EC6:EC9" si="18">IF($AO6,TRIM(P6),"")</f>
        <v/>
      </c>
      <c r="ED6" t="str">
        <f t="shared" ref="ED6:ED9" si="19">IF($AO6,TRIM(Q6),"")</f>
        <v/>
      </c>
    </row>
    <row r="7" spans="1:166" x14ac:dyDescent="0.3">
      <c r="A7" t="s">
        <v>318</v>
      </c>
      <c r="B7" t="s">
        <v>79</v>
      </c>
      <c r="C7" t="s">
        <v>319</v>
      </c>
      <c r="K7" t="s">
        <v>319</v>
      </c>
      <c r="T7">
        <v>1</v>
      </c>
      <c r="AK7" t="str">
        <f t="shared" si="0"/>
        <v>TripOK</v>
      </c>
      <c r="AL7" t="str">
        <f t="shared" si="1"/>
        <v>TripOK</v>
      </c>
      <c r="AM7" t="b">
        <f t="shared" si="2"/>
        <v>1</v>
      </c>
      <c r="AN7" t="b">
        <f>AND($U7&lt;&gt;"",$AF7&lt;&gt;TRUE, DL_DisableAlarms&lt;&gt;TRUE)</f>
        <v>0</v>
      </c>
      <c r="AO7" t="b">
        <f>AND($T7&lt;&gt;"",$AF7&lt;&gt;TRUE,DL_DisableTrends&lt;&gt;TRUE)</f>
        <v>1</v>
      </c>
      <c r="AP7" t="b">
        <f>AND(DL_PVEnable=TRUE,$AC7&lt;&gt;"IGNORE",$AF7&lt;&gt;TRUE)</f>
        <v>0</v>
      </c>
      <c r="AQ7" t="str">
        <f>IF($AM7,DL_TagPrefixFull&amp;A7,"")</f>
        <v>[TagPrefixFull]TripOK</v>
      </c>
      <c r="AR7" t="str">
        <f>IF($AM7,VLOOKUP(B7,DataTypeMappings!$A$2:$B$18,2,"FALSE"),"")</f>
        <v>DIGITAL</v>
      </c>
      <c r="AS7" t="str">
        <f>IF($AM7,IF(AG7&lt;&gt;"",AG7,DL_PLC),"")</f>
        <v>[PLC]</v>
      </c>
      <c r="AT7" t="str">
        <f>IF($AM7,IF($Y7="",DL_AddrPrefixFull&amp;AK7,Y7),"")</f>
        <v>[AddrPrefixFull]TripOK</v>
      </c>
      <c r="AU7" t="str">
        <f t="shared" si="3"/>
        <v/>
      </c>
      <c r="AV7" t="str">
        <f t="shared" si="4"/>
        <v/>
      </c>
      <c r="AW7" t="str">
        <f t="shared" si="5"/>
        <v/>
      </c>
      <c r="AX7" t="str">
        <f t="shared" si="6"/>
        <v/>
      </c>
      <c r="AY7" t="str">
        <f t="shared" si="7"/>
        <v/>
      </c>
      <c r="AZ7" t="str">
        <f t="shared" si="8"/>
        <v/>
      </c>
      <c r="BA7" t="str">
        <f>IF($AM7,IF(DL_Desc &lt;&gt; "", DL_Desc &amp; Global_Seperator &amp; K7, K7), "")</f>
        <v>[Desc] - Trips Healthy</v>
      </c>
      <c r="BJ7" t="str">
        <f>IF($AM7,IF(AH7&lt;&gt;"",AH7,DL_Cluster),"")</f>
        <v>[Cluster]</v>
      </c>
      <c r="BK7" t="str">
        <f>IF($AM7,IF(Z7&lt;&gt;"",Z7,DL_Equip),"")</f>
        <v>[Equip]</v>
      </c>
      <c r="BL7" t="str">
        <f>IF($AM7,IF(BK7&lt;&gt;"",IF(DL_EnableItem="TRUE",IF(AA7&lt;&gt;"",AA7,A7),""),""),"")</f>
        <v/>
      </c>
      <c r="BM7" t="str">
        <f>IF($AM7,TRIM(DL_Historian), "")</f>
        <v>[Historian]</v>
      </c>
      <c r="BN7" t="str">
        <f>IF($AM7,TRIM(DL_DigAlmName), "")</f>
        <v>[DigAlmName]</v>
      </c>
      <c r="BO7" t="str">
        <f>IF($AM7,TRIM(DL_Desc), "")</f>
        <v>[Desc]</v>
      </c>
      <c r="BP7" t="str">
        <f t="shared" si="9"/>
        <v/>
      </c>
      <c r="BQ7">
        <f t="shared" si="10"/>
        <v>1</v>
      </c>
      <c r="BU7" t="str">
        <f t="shared" si="11"/>
        <v/>
      </c>
      <c r="BV7" t="str">
        <f>IF($AN7,DL_TagPrefixFull&amp;A7,"")</f>
        <v/>
      </c>
      <c r="BW7" t="str">
        <f>IF($AN7,DL_TagPrefixFull&amp;A7,"")</f>
        <v/>
      </c>
      <c r="BX7" t="str">
        <f>IF($AN7,IF(AI7&lt;&gt;"",AI7,IF(DL_Desc &lt;&gt; "", DL_Desc &amp; Global_Seperator &amp; K7, K7)),"")</f>
        <v/>
      </c>
      <c r="BY7" t="str">
        <f>IF($AN7,DL_TagPrefixFull&amp;A7,"")</f>
        <v/>
      </c>
      <c r="BZ7" t="str">
        <f>IF($AN7,IF(DL_VariableB&lt;&gt;"",DL_VariableB,""),"")</f>
        <v/>
      </c>
      <c r="CA7" t="str">
        <f t="shared" si="12"/>
        <v/>
      </c>
      <c r="CB7" t="str">
        <f>IF($AN7,IF(AB7&lt;&gt;"",AB7,DL_Help),"")</f>
        <v/>
      </c>
      <c r="CC7" t="str">
        <f>IF($AN7,Global_Alarm_Priv,"")</f>
        <v/>
      </c>
      <c r="CD7" t="str">
        <f>IF($AN7,TRIM(DL_Area),"")</f>
        <v/>
      </c>
      <c r="CE7" t="str">
        <f>IF($AN7,IF(DL_Desc&lt;&gt;"",DL_Desc &amp; Global_Seperator &amp; K7, K7),"")</f>
        <v/>
      </c>
      <c r="CH7" t="str">
        <f>IF($AN7,DL_DigAlmName,"")</f>
        <v/>
      </c>
      <c r="CP7" t="str">
        <f>IF($AN7,IF(AH7&lt;&gt;"",AH7,DL_Cluster),"")</f>
        <v/>
      </c>
      <c r="CV7" t="str">
        <f>IF($AN7,IF(Z7&lt;&gt;"",Z7,DL_Equip),"")</f>
        <v/>
      </c>
      <c r="CW7" t="str">
        <f>IF($AN7,IF(CV7&lt;&gt;"",IF(DL_EnableItem,IF(AA7&lt;&gt;"",AA7,A7),""),""),"")</f>
        <v/>
      </c>
      <c r="CY7" t="str">
        <f>IF($AO7,DL_TagPrefixFull&amp;A7,"")</f>
        <v>[TagPrefixFull]TripOK</v>
      </c>
      <c r="CZ7" t="str">
        <f>IF($AO7,DL_TagPrefixFull&amp;A7,"")</f>
        <v>[TagPrefixFull]TripOK</v>
      </c>
      <c r="DB7">
        <f t="shared" si="13"/>
        <v>1</v>
      </c>
      <c r="DE7" t="str">
        <f t="shared" si="14"/>
        <v/>
      </c>
      <c r="DF7" t="str">
        <f t="shared" si="15"/>
        <v/>
      </c>
      <c r="DG7" t="str">
        <f>IF($AO7,IF(DL_TrendPrefixOverride&lt;&gt;"",DL_TrendPrefixOverride&amp;AQ7&amp;"\"&amp;AQ7,Global_Trend_Prefix&amp;AQ7&amp;"\"&amp;AQ7),"")</f>
        <v>[TrendPrefixOverride][TagPrefixFull]TripOK\[TagPrefixFull]TripOK</v>
      </c>
      <c r="DH7" t="str">
        <f>IF($AO7,TRIM(Global_Trend_NumFiles),"")</f>
        <v>25</v>
      </c>
      <c r="DI7" t="str">
        <f>IF($AO7,TRIM(Global_Trend_Time),"")</f>
        <v>00:00:00</v>
      </c>
      <c r="DJ7" t="str">
        <f>IF($AO7,TRIM(Global_Trend_Period),"")</f>
        <v>Saturday</v>
      </c>
      <c r="DK7" t="str">
        <f>IF($AO7, DL_DigAlmName &amp; Global_Seperator &amp; IF(DL_Desc&lt;&gt;"",DL_Desc &amp; Global_Seperator &amp; K7, K7),"")</f>
        <v>[DigAlmName] - [Desc] - Trips Healthy</v>
      </c>
      <c r="DL7" t="str">
        <f t="shared" si="16"/>
        <v>TRN_PERIODIC</v>
      </c>
      <c r="DT7" t="str">
        <f t="shared" si="17"/>
        <v>Scaled (2-byte samples)</v>
      </c>
      <c r="DU7" t="str">
        <f>IF($AO7,IF(AH7&lt;&gt;"",AH7,DL_Cluster),"")</f>
        <v>[Cluster]</v>
      </c>
      <c r="DZ7" t="str">
        <f>IF($AO7,IF(Z7&lt;&gt;"",Z7,DL_Equip),"")</f>
        <v>[Equip]</v>
      </c>
      <c r="EA7" t="e">
        <f>IF($AO7,IF(DZ7&lt;&gt;"",IF(DL_EnableItem,IF(AA7&lt;&gt;"",AA7,A7),""),""),"")</f>
        <v>#VALUE!</v>
      </c>
      <c r="EC7" t="str">
        <f t="shared" si="18"/>
        <v/>
      </c>
      <c r="ED7" t="str">
        <f t="shared" si="19"/>
        <v/>
      </c>
    </row>
    <row r="8" spans="1:166" x14ac:dyDescent="0.3">
      <c r="A8" t="s">
        <v>317</v>
      </c>
      <c r="B8" t="s">
        <v>79</v>
      </c>
      <c r="C8" t="s">
        <v>320</v>
      </c>
      <c r="K8" t="s">
        <v>320</v>
      </c>
      <c r="T8">
        <v>1</v>
      </c>
      <c r="AK8" t="str">
        <f t="shared" si="0"/>
        <v>WarnOK</v>
      </c>
      <c r="AL8" t="str">
        <f t="shared" si="1"/>
        <v>WarnOK</v>
      </c>
      <c r="AM8" t="b">
        <f t="shared" si="2"/>
        <v>1</v>
      </c>
      <c r="AN8" t="b">
        <f>AND($U8&lt;&gt;"",$AF8&lt;&gt;TRUE, DL_DisableAlarms&lt;&gt;TRUE)</f>
        <v>0</v>
      </c>
      <c r="AO8" t="b">
        <f>AND($T8&lt;&gt;"",$AF8&lt;&gt;TRUE,DL_DisableTrends&lt;&gt;TRUE)</f>
        <v>1</v>
      </c>
      <c r="AP8" t="b">
        <f>AND(DL_PVEnable=TRUE,$AC8&lt;&gt;"IGNORE",$AF8&lt;&gt;TRUE)</f>
        <v>0</v>
      </c>
      <c r="AQ8" t="str">
        <f>IF($AM8,DL_TagPrefixFull&amp;A8,"")</f>
        <v>[TagPrefixFull]WarnOK</v>
      </c>
      <c r="AR8" t="str">
        <f>IF($AM8,VLOOKUP(B8,DataTypeMappings!$A$2:$B$18,2,"FALSE"),"")</f>
        <v>DIGITAL</v>
      </c>
      <c r="AS8" t="str">
        <f>IF($AM8,IF(AG8&lt;&gt;"",AG8,DL_PLC),"")</f>
        <v>[PLC]</v>
      </c>
      <c r="AT8" t="str">
        <f>IF($AM8,IF($Y8="",DL_AddrPrefixFull&amp;AK8,Y8),"")</f>
        <v>[AddrPrefixFull]WarnOK</v>
      </c>
      <c r="AU8" t="str">
        <f t="shared" si="3"/>
        <v/>
      </c>
      <c r="AV8" t="str">
        <f t="shared" si="4"/>
        <v/>
      </c>
      <c r="AW8" t="str">
        <f t="shared" si="5"/>
        <v/>
      </c>
      <c r="AX8" t="str">
        <f t="shared" si="6"/>
        <v/>
      </c>
      <c r="AY8" t="str">
        <f t="shared" si="7"/>
        <v/>
      </c>
      <c r="AZ8" t="str">
        <f t="shared" si="8"/>
        <v/>
      </c>
      <c r="BA8" t="str">
        <f>IF($AM8,IF(DL_Desc &lt;&gt; "", DL_Desc &amp; Global_Seperator &amp; K8, K8), "")</f>
        <v>[Desc] - Warnings Healthy</v>
      </c>
      <c r="BJ8" t="str">
        <f>IF($AM8,IF(AH8&lt;&gt;"",AH8,DL_Cluster),"")</f>
        <v>[Cluster]</v>
      </c>
      <c r="BK8" t="str">
        <f>IF($AM8,IF(Z8&lt;&gt;"",Z8,DL_Equip),"")</f>
        <v>[Equip]</v>
      </c>
      <c r="BL8" t="str">
        <f>IF($AM8,IF(BK8&lt;&gt;"",IF(DL_EnableItem="TRUE",IF(AA8&lt;&gt;"",AA8,A8),""),""),"")</f>
        <v/>
      </c>
      <c r="BM8" t="str">
        <f>IF($AM8,TRIM(DL_Historian), "")</f>
        <v>[Historian]</v>
      </c>
      <c r="BN8" t="str">
        <f>IF($AM8,TRIM(DL_DigAlmName), "")</f>
        <v>[DigAlmName]</v>
      </c>
      <c r="BO8" t="str">
        <f>IF($AM8,TRIM(DL_Desc), "")</f>
        <v>[Desc]</v>
      </c>
      <c r="BP8" t="str">
        <f t="shared" si="9"/>
        <v/>
      </c>
      <c r="BQ8">
        <f t="shared" si="10"/>
        <v>1</v>
      </c>
      <c r="BU8" t="str">
        <f t="shared" si="11"/>
        <v/>
      </c>
      <c r="BV8" t="str">
        <f>IF($AN8,DL_TagPrefixFull&amp;A8,"")</f>
        <v/>
      </c>
      <c r="BW8" t="str">
        <f>IF($AN8,DL_TagPrefixFull&amp;A8,"")</f>
        <v/>
      </c>
      <c r="BX8" t="str">
        <f>IF($AN8,IF(AI8&lt;&gt;"",AI8,IF(DL_Desc &lt;&gt; "", DL_Desc &amp; Global_Seperator &amp; K8, K8)),"")</f>
        <v/>
      </c>
      <c r="BY8" t="str">
        <f>IF($AN8,DL_TagPrefixFull&amp;A8,"")</f>
        <v/>
      </c>
      <c r="BZ8" t="str">
        <f>IF($AN8,IF(DL_VariableB&lt;&gt;"",DL_VariableB,""),"")</f>
        <v/>
      </c>
      <c r="CA8" t="str">
        <f t="shared" si="12"/>
        <v/>
      </c>
      <c r="CB8" t="str">
        <f>IF($AN8,IF(AB8&lt;&gt;"",AB8,DL_Help),"")</f>
        <v/>
      </c>
      <c r="CC8" t="str">
        <f>IF($AN8,Global_Alarm_Priv,"")</f>
        <v/>
      </c>
      <c r="CD8" t="str">
        <f>IF($AN8,TRIM(DL_Area),"")</f>
        <v/>
      </c>
      <c r="CE8" t="str">
        <f>IF($AN8,IF(DL_Desc&lt;&gt;"",DL_Desc &amp; Global_Seperator &amp; K8, K8),"")</f>
        <v/>
      </c>
      <c r="CH8" t="str">
        <f>IF($AN8,DL_DigAlmName,"")</f>
        <v/>
      </c>
      <c r="CP8" t="str">
        <f>IF($AN8,IF(AH8&lt;&gt;"",AH8,DL_Cluster),"")</f>
        <v/>
      </c>
      <c r="CV8" t="str">
        <f>IF($AN8,IF(Z8&lt;&gt;"",Z8,DL_Equip),"")</f>
        <v/>
      </c>
      <c r="CW8" t="str">
        <f>IF($AN8,IF(CV8&lt;&gt;"",IF(DL_EnableItem,IF(AA8&lt;&gt;"",AA8,A8),""),""),"")</f>
        <v/>
      </c>
      <c r="CY8" t="str">
        <f>IF($AO8,DL_TagPrefixFull&amp;A8,"")</f>
        <v>[TagPrefixFull]WarnOK</v>
      </c>
      <c r="CZ8" t="str">
        <f>IF($AO8,DL_TagPrefixFull&amp;A8,"")</f>
        <v>[TagPrefixFull]WarnOK</v>
      </c>
      <c r="DB8">
        <f t="shared" si="13"/>
        <v>1</v>
      </c>
      <c r="DE8" t="str">
        <f t="shared" si="14"/>
        <v/>
      </c>
      <c r="DF8" t="str">
        <f t="shared" si="15"/>
        <v/>
      </c>
      <c r="DG8" t="str">
        <f>IF($AO8,IF(DL_TrendPrefixOverride&lt;&gt;"",DL_TrendPrefixOverride&amp;AQ8&amp;"\"&amp;AQ8,Global_Trend_Prefix&amp;AQ8&amp;"\"&amp;AQ8),"")</f>
        <v>[TrendPrefixOverride][TagPrefixFull]WarnOK\[TagPrefixFull]WarnOK</v>
      </c>
      <c r="DH8" t="str">
        <f>IF($AO8,TRIM(Global_Trend_NumFiles),"")</f>
        <v>25</v>
      </c>
      <c r="DI8" t="str">
        <f>IF($AO8,TRIM(Global_Trend_Time),"")</f>
        <v>00:00:00</v>
      </c>
      <c r="DJ8" t="str">
        <f>IF($AO8,TRIM(Global_Trend_Period),"")</f>
        <v>Saturday</v>
      </c>
      <c r="DK8" t="str">
        <f>IF($AO8, DL_DigAlmName &amp; Global_Seperator &amp; IF(DL_Desc&lt;&gt;"",DL_Desc &amp; Global_Seperator &amp; K8, K8),"")</f>
        <v>[DigAlmName] - [Desc] - Warnings Healthy</v>
      </c>
      <c r="DL8" t="str">
        <f t="shared" si="16"/>
        <v>TRN_PERIODIC</v>
      </c>
      <c r="DT8" t="str">
        <f t="shared" si="17"/>
        <v>Scaled (2-byte samples)</v>
      </c>
      <c r="DU8" t="str">
        <f>IF($AO8,IF(AH8&lt;&gt;"",AH8,DL_Cluster),"")</f>
        <v>[Cluster]</v>
      </c>
      <c r="DZ8" t="str">
        <f>IF($AO8,IF(Z8&lt;&gt;"",Z8,DL_Equip),"")</f>
        <v>[Equip]</v>
      </c>
      <c r="EA8" t="e">
        <f>IF($AO8,IF(DZ8&lt;&gt;"",IF(DL_EnableItem,IF(AA8&lt;&gt;"",AA8,A8),""),""),"")</f>
        <v>#VALUE!</v>
      </c>
      <c r="EC8" t="str">
        <f t="shared" si="18"/>
        <v/>
      </c>
      <c r="ED8" t="str">
        <f t="shared" si="19"/>
        <v/>
      </c>
    </row>
    <row r="9" spans="1:166" x14ac:dyDescent="0.3">
      <c r="A9" t="s">
        <v>321</v>
      </c>
      <c r="B9" t="s">
        <v>79</v>
      </c>
      <c r="C9" t="s">
        <v>323</v>
      </c>
      <c r="K9" t="s">
        <v>323</v>
      </c>
      <c r="T9">
        <v>1</v>
      </c>
      <c r="AK9" t="str">
        <f t="shared" si="0"/>
        <v>InterlockOK</v>
      </c>
      <c r="AL9" t="str">
        <f t="shared" si="1"/>
        <v>InterlockOK</v>
      </c>
      <c r="AM9" t="b">
        <f t="shared" si="2"/>
        <v>1</v>
      </c>
      <c r="AN9" t="b">
        <f>AND($U9&lt;&gt;"",$AF9&lt;&gt;TRUE, DL_DisableAlarms&lt;&gt;TRUE)</f>
        <v>0</v>
      </c>
      <c r="AO9" t="b">
        <f>AND($T9&lt;&gt;"",$AF9&lt;&gt;TRUE,DL_DisableTrends&lt;&gt;TRUE)</f>
        <v>1</v>
      </c>
      <c r="AP9" t="b">
        <f>AND(DL_PVEnable=TRUE,$AC9&lt;&gt;"IGNORE",$AF9&lt;&gt;TRUE)</f>
        <v>0</v>
      </c>
      <c r="AQ9" t="str">
        <f>IF($AM9,DL_TagPrefixFull&amp;A9,"")</f>
        <v>[TagPrefixFull]InterlockOK</v>
      </c>
      <c r="AR9" t="str">
        <f>IF($AM9,VLOOKUP(B9,DataTypeMappings!$A$2:$B$18,2,"FALSE"),"")</f>
        <v>DIGITAL</v>
      </c>
      <c r="AS9" t="str">
        <f>IF($AM9,IF(AG9&lt;&gt;"",AG9,DL_PLC),"")</f>
        <v>[PLC]</v>
      </c>
      <c r="AT9" t="str">
        <f>IF($AM9,IF($Y9="",DL_AddrPrefixFull&amp;AK9,Y9),"")</f>
        <v>[AddrPrefixFull]InterlockOK</v>
      </c>
      <c r="AU9" t="str">
        <f t="shared" si="3"/>
        <v/>
      </c>
      <c r="AV9" t="str">
        <f t="shared" si="4"/>
        <v/>
      </c>
      <c r="AW9" t="str">
        <f t="shared" si="5"/>
        <v/>
      </c>
      <c r="AX9" t="str">
        <f t="shared" si="6"/>
        <v/>
      </c>
      <c r="AY9" t="str">
        <f t="shared" si="7"/>
        <v/>
      </c>
      <c r="AZ9" t="str">
        <f t="shared" si="8"/>
        <v/>
      </c>
      <c r="BA9" t="str">
        <f>IF($AM9,IF(DL_Desc &lt;&gt; "", DL_Desc &amp; Global_Seperator &amp; K9, K9), "")</f>
        <v>[Desc] - Interlocks Healthy</v>
      </c>
      <c r="BJ9" t="str">
        <f>IF($AM9,IF(AH9&lt;&gt;"",AH9,DL_Cluster),"")</f>
        <v>[Cluster]</v>
      </c>
      <c r="BK9" t="str">
        <f>IF($AM9,IF(Z9&lt;&gt;"",Z9,DL_Equip),"")</f>
        <v>[Equip]</v>
      </c>
      <c r="BL9" t="str">
        <f>IF($AM9,IF(BK9&lt;&gt;"",IF(DL_EnableItem="TRUE",IF(AA9&lt;&gt;"",AA9,A9),""),""),"")</f>
        <v/>
      </c>
      <c r="BM9" t="str">
        <f>IF($AM9,TRIM(DL_Historian), "")</f>
        <v>[Historian]</v>
      </c>
      <c r="BN9" t="str">
        <f>IF($AM9,TRIM(DL_DigAlmName), "")</f>
        <v>[DigAlmName]</v>
      </c>
      <c r="BO9" t="str">
        <f>IF($AM9,TRIM(DL_Desc), "")</f>
        <v>[Desc]</v>
      </c>
      <c r="BP9" t="str">
        <f t="shared" si="9"/>
        <v/>
      </c>
      <c r="BQ9">
        <f t="shared" si="10"/>
        <v>1</v>
      </c>
      <c r="BU9" t="str">
        <f t="shared" si="11"/>
        <v/>
      </c>
      <c r="BV9" t="str">
        <f>IF($AN9,DL_TagPrefixFull&amp;A9,"")</f>
        <v/>
      </c>
      <c r="BW9" t="str">
        <f>IF($AN9,DL_TagPrefixFull&amp;A9,"")</f>
        <v/>
      </c>
      <c r="BX9" t="str">
        <f>IF($AN9,IF(AI9&lt;&gt;"",AI9,IF(DL_Desc &lt;&gt; "", DL_Desc &amp; Global_Seperator &amp; K9, K9)),"")</f>
        <v/>
      </c>
      <c r="BY9" t="str">
        <f>IF($AN9,DL_TagPrefixFull&amp;A9,"")</f>
        <v/>
      </c>
      <c r="BZ9" t="str">
        <f>IF($AN9,IF(DL_VariableB&lt;&gt;"",DL_VariableB,""),"")</f>
        <v/>
      </c>
      <c r="CA9" t="str">
        <f t="shared" si="12"/>
        <v/>
      </c>
      <c r="CB9" t="str">
        <f>IF($AN9,IF(AB9&lt;&gt;"",AB9,DL_Help),"")</f>
        <v/>
      </c>
      <c r="CC9" t="str">
        <f>IF($AN9,Global_Alarm_Priv,"")</f>
        <v/>
      </c>
      <c r="CD9" t="str">
        <f>IF($AN9,TRIM(DL_Area),"")</f>
        <v/>
      </c>
      <c r="CE9" t="str">
        <f>IF($AN9,IF(DL_Desc&lt;&gt;"",DL_Desc &amp; Global_Seperator &amp; K9, K9),"")</f>
        <v/>
      </c>
      <c r="CH9" t="str">
        <f>IF($AN9,DL_DigAlmName,"")</f>
        <v/>
      </c>
      <c r="CP9" t="str">
        <f>IF($AN9,IF(AH9&lt;&gt;"",AH9,DL_Cluster),"")</f>
        <v/>
      </c>
      <c r="CV9" t="str">
        <f>IF($AN9,IF(Z9&lt;&gt;"",Z9,DL_Equip),"")</f>
        <v/>
      </c>
      <c r="CW9" t="str">
        <f>IF($AN9,IF(CV9&lt;&gt;"",IF(DL_EnableItem,IF(AA9&lt;&gt;"",AA9,A9),""),""),"")</f>
        <v/>
      </c>
      <c r="CY9" t="str">
        <f>IF($AO9,DL_TagPrefixFull&amp;A9,"")</f>
        <v>[TagPrefixFull]InterlockOK</v>
      </c>
      <c r="CZ9" t="str">
        <f>IF($AO9,DL_TagPrefixFull&amp;A9,"")</f>
        <v>[TagPrefixFull]InterlockOK</v>
      </c>
      <c r="DB9">
        <f t="shared" si="13"/>
        <v>1</v>
      </c>
      <c r="DE9" t="str">
        <f t="shared" si="14"/>
        <v/>
      </c>
      <c r="DF9" t="str">
        <f t="shared" si="15"/>
        <v/>
      </c>
      <c r="DG9" t="str">
        <f>IF($AO9,IF(DL_TrendPrefixOverride&lt;&gt;"",DL_TrendPrefixOverride&amp;AQ9&amp;"\"&amp;AQ9,Global_Trend_Prefix&amp;AQ9&amp;"\"&amp;AQ9),"")</f>
        <v>[TrendPrefixOverride][TagPrefixFull]InterlockOK\[TagPrefixFull]InterlockOK</v>
      </c>
      <c r="DH9" t="str">
        <f>IF($AO9,TRIM(Global_Trend_NumFiles),"")</f>
        <v>25</v>
      </c>
      <c r="DI9" t="str">
        <f>IF($AO9,TRIM(Global_Trend_Time),"")</f>
        <v>00:00:00</v>
      </c>
      <c r="DJ9" t="str">
        <f>IF($AO9,TRIM(Global_Trend_Period),"")</f>
        <v>Saturday</v>
      </c>
      <c r="DK9" t="str">
        <f>IF($AO9, DL_DigAlmName &amp; Global_Seperator &amp; IF(DL_Desc&lt;&gt;"",DL_Desc &amp; Global_Seperator &amp; K9, K9),"")</f>
        <v>[DigAlmName] - [Desc] - Interlocks Healthy</v>
      </c>
      <c r="DL9" t="str">
        <f t="shared" si="16"/>
        <v>TRN_PERIODIC</v>
      </c>
      <c r="DT9" t="str">
        <f t="shared" si="17"/>
        <v>Scaled (2-byte samples)</v>
      </c>
      <c r="DU9" t="str">
        <f>IF($AO9,IF(AH9&lt;&gt;"",AH9,DL_Cluster),"")</f>
        <v>[Cluster]</v>
      </c>
      <c r="DZ9" t="str">
        <f>IF($AO9,IF(Z9&lt;&gt;"",Z9,DL_Equip),"")</f>
        <v>[Equip]</v>
      </c>
      <c r="EA9" t="e">
        <f>IF($AO9,IF(DZ9&lt;&gt;"",IF(DL_EnableItem,IF(AA9&lt;&gt;"",AA9,A9),""),""),"")</f>
        <v>#VALUE!</v>
      </c>
      <c r="EC9" t="str">
        <f t="shared" si="18"/>
        <v/>
      </c>
      <c r="ED9" t="str">
        <f t="shared" si="19"/>
        <v/>
      </c>
    </row>
  </sheetData>
  <autoFilter ref="A4:ED5" xr:uid="{A8081164-2D9D-4DA1-9E28-82179C0C281C}"/>
  <mergeCells count="10">
    <mergeCell ref="AQ3:BU3"/>
    <mergeCell ref="BV3:CX3"/>
    <mergeCell ref="CY3:ED3"/>
    <mergeCell ref="EE3:FJ3"/>
    <mergeCell ref="D2:H2"/>
    <mergeCell ref="AG2:AH2"/>
    <mergeCell ref="D3:J3"/>
    <mergeCell ref="K3:AJ3"/>
    <mergeCell ref="AK3:AL3"/>
    <mergeCell ref="AM3:AP3"/>
  </mergeCells>
  <conditionalFormatting sqref="M5:M6">
    <cfRule type="duplicateValues" dxfId="11" priority="1"/>
  </conditionalFormatting>
  <printOptions gridLines="1"/>
  <pageMargins left="0" right="0" top="0" bottom="0" header="0" footer="0"/>
  <pageSetup paperSize="8" scale="25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3769729" r:id="rId4" name="Config_Vis">
          <controlPr defaultSize="0" autoLine="0" autoPict="0" r:id="rId5">
            <anchor moveWithCells="1">
              <from>
                <xdr:col>2</xdr:col>
                <xdr:colOff>601980</xdr:colOff>
                <xdr:row>0</xdr:row>
                <xdr:rowOff>68580</xdr:rowOff>
              </from>
              <to>
                <xdr:col>2</xdr:col>
                <xdr:colOff>1097280</xdr:colOff>
                <xdr:row>0</xdr:row>
                <xdr:rowOff>312420</xdr:rowOff>
              </to>
            </anchor>
          </controlPr>
        </control>
      </mc:Choice>
      <mc:Fallback>
        <control shapeId="13769729" r:id="rId4" name="Config_Vis"/>
      </mc:Fallback>
    </mc:AlternateContent>
    <mc:AlternateContent xmlns:mc="http://schemas.openxmlformats.org/markup-compatibility/2006">
      <mc:Choice Requires="x14">
        <control shapeId="13769730" r:id="rId6" name="Variable_Vis">
          <controlPr defaultSize="0" autoLine="0" autoPict="0" r:id="rId7">
            <anchor moveWithCells="1">
              <from>
                <xdr:col>2</xdr:col>
                <xdr:colOff>1150620</xdr:colOff>
                <xdr:row>0</xdr:row>
                <xdr:rowOff>60960</xdr:rowOff>
              </from>
              <to>
                <xdr:col>2</xdr:col>
                <xdr:colOff>1508760</xdr:colOff>
                <xdr:row>0</xdr:row>
                <xdr:rowOff>304800</xdr:rowOff>
              </to>
            </anchor>
          </controlPr>
        </control>
      </mc:Choice>
      <mc:Fallback>
        <control shapeId="13769730" r:id="rId6" name="Variable_Vis"/>
      </mc:Fallback>
    </mc:AlternateContent>
    <mc:AlternateContent xmlns:mc="http://schemas.openxmlformats.org/markup-compatibility/2006">
      <mc:Choice Requires="x14">
        <control shapeId="13769731" r:id="rId8" name="Digalm_Vis">
          <controlPr defaultSize="0" autoLine="0" autoPict="0" r:id="rId9">
            <anchor moveWithCells="1">
              <from>
                <xdr:col>2</xdr:col>
                <xdr:colOff>1562100</xdr:colOff>
                <xdr:row>0</xdr:row>
                <xdr:rowOff>60960</xdr:rowOff>
              </from>
              <to>
                <xdr:col>2</xdr:col>
                <xdr:colOff>2087880</xdr:colOff>
                <xdr:row>0</xdr:row>
                <xdr:rowOff>304800</xdr:rowOff>
              </to>
            </anchor>
          </controlPr>
        </control>
      </mc:Choice>
      <mc:Fallback>
        <control shapeId="13769731" r:id="rId8" name="Digalm_Vis"/>
      </mc:Fallback>
    </mc:AlternateContent>
    <mc:AlternateContent xmlns:mc="http://schemas.openxmlformats.org/markup-compatibility/2006">
      <mc:Choice Requires="x14">
        <control shapeId="13769732" r:id="rId10" name="Trend_Vis">
          <controlPr defaultSize="0" autoLine="0" autoPict="0" r:id="rId11">
            <anchor moveWithCells="1">
              <from>
                <xdr:col>2</xdr:col>
                <xdr:colOff>2156460</xdr:colOff>
                <xdr:row>0</xdr:row>
                <xdr:rowOff>60960</xdr:rowOff>
              </from>
              <to>
                <xdr:col>2</xdr:col>
                <xdr:colOff>2628900</xdr:colOff>
                <xdr:row>0</xdr:row>
                <xdr:rowOff>304800</xdr:rowOff>
              </to>
            </anchor>
          </controlPr>
        </control>
      </mc:Choice>
      <mc:Fallback>
        <control shapeId="13769732" r:id="rId10" name="Trend_Vis"/>
      </mc:Fallback>
    </mc:AlternateContent>
    <mc:AlternateContent xmlns:mc="http://schemas.openxmlformats.org/markup-compatibility/2006">
      <mc:Choice Requires="x14">
        <control shapeId="13769733" r:id="rId12" name="Import_Vis">
          <controlPr defaultSize="0" autoLine="0" autoPict="0" r:id="rId13">
            <anchor moveWithCells="1">
              <from>
                <xdr:col>2</xdr:col>
                <xdr:colOff>30480</xdr:colOff>
                <xdr:row>0</xdr:row>
                <xdr:rowOff>68580</xdr:rowOff>
              </from>
              <to>
                <xdr:col>2</xdr:col>
                <xdr:colOff>533400</xdr:colOff>
                <xdr:row>0</xdr:row>
                <xdr:rowOff>312420</xdr:rowOff>
              </to>
            </anchor>
          </controlPr>
        </control>
      </mc:Choice>
      <mc:Fallback>
        <control shapeId="13769733" r:id="rId12" name="Import_Vis"/>
      </mc:Fallback>
    </mc:AlternateContent>
    <mc:AlternateContent xmlns:mc="http://schemas.openxmlformats.org/markup-compatibility/2006">
      <mc:Choice Requires="x14">
        <control shapeId="13769736" r:id="rId14" name="PV_Vis">
          <controlPr defaultSize="0" autoLine="0" autoPict="0" r:id="rId15">
            <anchor moveWithCells="1">
              <from>
                <xdr:col>2</xdr:col>
                <xdr:colOff>2697480</xdr:colOff>
                <xdr:row>0</xdr:row>
                <xdr:rowOff>60960</xdr:rowOff>
              </from>
              <to>
                <xdr:col>2</xdr:col>
                <xdr:colOff>3048000</xdr:colOff>
                <xdr:row>0</xdr:row>
                <xdr:rowOff>304800</xdr:rowOff>
              </to>
            </anchor>
          </controlPr>
        </control>
      </mc:Choice>
      <mc:Fallback>
        <control shapeId="13769736" r:id="rId14" name="PV_Vis"/>
      </mc:Fallback>
    </mc:AlternateContent>
    <mc:AlternateContent xmlns:mc="http://schemas.openxmlformats.org/markup-compatibility/2006">
      <mc:Choice Requires="x14">
        <control shapeId="13769734" r:id="rId16" name="Button 6">
          <controlPr defaultSize="0" print="0" autoFill="0" autoPict="0" macro="[0]!Apply_Top_Row" altText="Apply top row">
            <anchor moveWithCells="1" sizeWithCells="1">
              <from>
                <xdr:col>2</xdr:col>
                <xdr:colOff>274320</xdr:colOff>
                <xdr:row>1</xdr:row>
                <xdr:rowOff>60960</xdr:rowOff>
              </from>
              <to>
                <xdr:col>2</xdr:col>
                <xdr:colOff>1508760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69735" r:id="rId17" name="Button 7">
          <controlPr defaultSize="0" print="0" autoFill="0" autoPict="0" macro="[0]!Update_Template">
            <anchor moveWithCells="1" sizeWithCells="1">
              <from>
                <xdr:col>2</xdr:col>
                <xdr:colOff>1783080</xdr:colOff>
                <xdr:row>1</xdr:row>
                <xdr:rowOff>60960</xdr:rowOff>
              </from>
              <to>
                <xdr:col>2</xdr:col>
                <xdr:colOff>3108960</xdr:colOff>
                <xdr:row>1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69737" r:id="rId18" name="Button 9">
          <controlPr defaultSize="0" print="0" autoFill="0" autoPict="0" macro="[0]!Import_UDT">
            <anchor moveWithCells="1" sizeWithCells="1">
              <from>
                <xdr:col>3</xdr:col>
                <xdr:colOff>83820</xdr:colOff>
                <xdr:row>1</xdr:row>
                <xdr:rowOff>60960</xdr:rowOff>
              </from>
              <to>
                <xdr:col>4</xdr:col>
                <xdr:colOff>350520</xdr:colOff>
                <xdr:row>1</xdr:row>
                <xdr:rowOff>502920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69738" r:id="rId19" name="Button 10">
          <controlPr defaultSize="0" print="0" autoFill="0" autoPict="0" macro="[0]!Export_UDT">
            <anchor moveWithCells="1" sizeWithCells="1">
              <from>
                <xdr:col>4</xdr:col>
                <xdr:colOff>403860</xdr:colOff>
                <xdr:row>1</xdr:row>
                <xdr:rowOff>68580</xdr:rowOff>
              </from>
              <to>
                <xdr:col>6</xdr:col>
                <xdr:colOff>259080</xdr:colOff>
                <xdr:row>1</xdr:row>
                <xdr:rowOff>518160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69739" r:id="rId20" name="Button 11">
          <controlPr defaultSize="0" print="0" autoFill="0" autoPict="0" macro="[0]!FindInFile">
            <anchor moveWithCells="1" sizeWithCells="1">
              <from>
                <xdr:col>22</xdr:col>
                <xdr:colOff>190500</xdr:colOff>
                <xdr:row>1</xdr:row>
                <xdr:rowOff>190500</xdr:rowOff>
              </from>
              <to>
                <xdr:col>23</xdr:col>
                <xdr:colOff>487680</xdr:colOff>
                <xdr:row>1</xdr:row>
                <xdr:rowOff>373380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D16D7-75C8-47E5-8F3C-7C560ABD8565}">
  <sheetPr codeName="Template_UDT21">
    <tabColor indexed="42"/>
    <pageSetUpPr fitToPage="1"/>
  </sheetPr>
  <dimension ref="A1:FJ25"/>
  <sheetViews>
    <sheetView zoomScale="85" zoomScaleNormal="85" workbookViewId="0">
      <pane ySplit="4" topLeftCell="A5" activePane="bottomLeft" state="frozen"/>
      <selection activeCell="C13" sqref="C13"/>
      <selection pane="bottomLeft" activeCell="C13" sqref="C13"/>
    </sheetView>
  </sheetViews>
  <sheetFormatPr defaultRowHeight="14.4" x14ac:dyDescent="0.3"/>
  <cols>
    <col min="1" max="1" width="30.33203125" customWidth="1"/>
    <col min="2" max="2" width="15.5546875" customWidth="1"/>
    <col min="3" max="3" width="53.109375" customWidth="1"/>
    <col min="4" max="4" width="13.44140625" hidden="1" customWidth="1"/>
    <col min="5" max="5" width="10" hidden="1" customWidth="1"/>
    <col min="6" max="6" width="8.88671875" hidden="1" customWidth="1"/>
    <col min="7" max="7" width="42.109375" hidden="1" customWidth="1"/>
    <col min="8" max="8" width="15" hidden="1" customWidth="1"/>
    <col min="9" max="10" width="1.6640625" hidden="1" customWidth="1"/>
    <col min="11" max="11" width="37.33203125" customWidth="1"/>
    <col min="12" max="12" width="8" customWidth="1"/>
    <col min="13" max="13" width="7.109375" customWidth="1"/>
    <col min="14" max="14" width="7.6640625" customWidth="1"/>
    <col min="15" max="15" width="6.5546875" customWidth="1"/>
    <col min="16" max="16" width="7.33203125" customWidth="1"/>
    <col min="17" max="17" width="7.44140625" customWidth="1"/>
    <col min="18" max="18" width="8.33203125" customWidth="1"/>
    <col min="19" max="19" width="8.44140625" customWidth="1"/>
    <col min="20" max="20" width="13" customWidth="1"/>
    <col min="21" max="21" width="10" customWidth="1"/>
    <col min="22" max="22" width="11.5546875" customWidth="1"/>
    <col min="23" max="23" width="9.6640625" customWidth="1"/>
    <col min="24" max="36" width="9" customWidth="1"/>
    <col min="37" max="38" width="16" customWidth="1"/>
    <col min="39" max="42" width="8.6640625" customWidth="1"/>
    <col min="43" max="43" width="22.88671875" hidden="1" customWidth="1"/>
    <col min="44" max="44" width="9.109375" hidden="1" customWidth="1"/>
    <col min="45" max="45" width="12.88671875" hidden="1" customWidth="1"/>
    <col min="46" max="46" width="36.88671875" hidden="1" customWidth="1"/>
    <col min="47" max="47" width="12.109375" hidden="1" customWidth="1"/>
    <col min="48" max="48" width="11.44140625" hidden="1" customWidth="1"/>
    <col min="49" max="49" width="11.6640625" hidden="1" customWidth="1"/>
    <col min="50" max="50" width="11" hidden="1" customWidth="1"/>
    <col min="51" max="51" width="12" hidden="1" customWidth="1"/>
    <col min="52" max="52" width="10" hidden="1" customWidth="1"/>
    <col min="53" max="53" width="29.33203125" hidden="1" customWidth="1"/>
    <col min="54" max="54" width="11.109375" hidden="1" customWidth="1"/>
    <col min="55" max="55" width="8.109375" hidden="1" customWidth="1"/>
    <col min="56" max="56" width="4.5546875" hidden="1" customWidth="1"/>
    <col min="57" max="57" width="5.88671875" hidden="1" customWidth="1"/>
    <col min="58" max="58" width="6.33203125" hidden="1" customWidth="1"/>
    <col min="59" max="59" width="12.5546875" hidden="1" customWidth="1"/>
    <col min="60" max="60" width="9.6640625" hidden="1" customWidth="1"/>
    <col min="61" max="61" width="13.5546875" hidden="1" customWidth="1"/>
    <col min="62" max="62" width="10.109375" hidden="1" customWidth="1"/>
    <col min="63" max="63" width="7.109375" hidden="1" customWidth="1"/>
    <col min="64" max="64" width="8.88671875" hidden="1" customWidth="1"/>
    <col min="65" max="65" width="11.6640625" hidden="1" customWidth="1"/>
    <col min="66" max="66" width="15.44140625" hidden="1" customWidth="1"/>
    <col min="67" max="67" width="10.6640625" hidden="1" customWidth="1"/>
    <col min="68" max="68" width="14.33203125" hidden="1" customWidth="1"/>
    <col min="69" max="73" width="10.6640625" hidden="1" customWidth="1"/>
    <col min="74" max="74" width="18.5546875" hidden="1" customWidth="1"/>
    <col min="75" max="75" width="20.44140625" hidden="1" customWidth="1"/>
    <col min="76" max="76" width="38.5546875" hidden="1" customWidth="1"/>
    <col min="77" max="77" width="18.5546875" hidden="1" customWidth="1"/>
    <col min="78" max="78" width="18.6640625" hidden="1" customWidth="1"/>
    <col min="79" max="79" width="12.109375" hidden="1" customWidth="1"/>
    <col min="80" max="80" width="21.6640625" hidden="1" customWidth="1"/>
    <col min="81" max="81" width="5.88671875" hidden="1" customWidth="1"/>
    <col min="82" max="82" width="6.88671875" hidden="1" customWidth="1"/>
    <col min="83" max="83" width="28.5546875" hidden="1" customWidth="1"/>
    <col min="84" max="84" width="11.6640625" hidden="1" customWidth="1"/>
    <col min="85" max="85" width="7.6640625" hidden="1" customWidth="1"/>
    <col min="86" max="86" width="10.33203125" hidden="1" customWidth="1"/>
    <col min="87" max="93" width="10.6640625" hidden="1" customWidth="1"/>
    <col min="94" max="94" width="10.109375" hidden="1" customWidth="1"/>
    <col min="95" max="95" width="13.5546875" hidden="1" customWidth="1"/>
    <col min="96" max="96" width="8.88671875" hidden="1" customWidth="1"/>
    <col min="97" max="97" width="13.109375" hidden="1" customWidth="1"/>
    <col min="98" max="98" width="11.109375" hidden="1" customWidth="1"/>
    <col min="99" max="99" width="8.109375" hidden="1" customWidth="1"/>
    <col min="100" max="100" width="7.109375" hidden="1" customWidth="1"/>
    <col min="101" max="101" width="6" hidden="1" customWidth="1"/>
    <col min="102" max="102" width="11.6640625" hidden="1" customWidth="1"/>
    <col min="103" max="104" width="18.5546875" customWidth="1"/>
    <col min="105" max="105" width="6.6640625" customWidth="1"/>
    <col min="106" max="106" width="13.5546875" customWidth="1"/>
    <col min="107" max="107" width="6.6640625" customWidth="1"/>
    <col min="108" max="108" width="6.88671875" customWidth="1"/>
    <col min="109" max="109" width="12" customWidth="1"/>
    <col min="110" max="110" width="10" customWidth="1"/>
    <col min="111" max="111" width="15.44140625" customWidth="1"/>
    <col min="112" max="112" width="6.6640625" customWidth="1"/>
    <col min="113" max="113" width="10" customWidth="1"/>
    <col min="114" max="114" width="8.88671875" customWidth="1"/>
    <col min="115" max="115" width="28.5546875" customWidth="1"/>
    <col min="116" max="116" width="16.33203125" customWidth="1"/>
    <col min="117" max="117" width="10.5546875" customWidth="1"/>
    <col min="118" max="119" width="6.6640625" customWidth="1"/>
    <col min="120" max="120" width="13.5546875" customWidth="1"/>
    <col min="121" max="121" width="14.5546875" customWidth="1"/>
    <col min="122" max="122" width="8.33203125" customWidth="1"/>
    <col min="123" max="123" width="12.88671875" customWidth="1"/>
    <col min="124" max="124" width="31" customWidth="1"/>
    <col min="125" max="125" width="10.109375" customWidth="1"/>
    <col min="126" max="126" width="13.5546875" customWidth="1"/>
    <col min="127" max="127" width="11.109375" customWidth="1"/>
    <col min="128" max="128" width="8.109375" customWidth="1"/>
    <col min="129" max="129" width="12.5546875" customWidth="1"/>
    <col min="130" max="130" width="7.109375" customWidth="1"/>
    <col min="131" max="131" width="6.6640625" customWidth="1"/>
    <col min="132" max="133" width="11.6640625" customWidth="1"/>
    <col min="134" max="134" width="11" customWidth="1"/>
    <col min="135" max="135" width="10.6640625" hidden="1" customWidth="1"/>
    <col min="136" max="136" width="37.5546875" hidden="1" customWidth="1"/>
    <col min="137" max="137" width="20.44140625" hidden="1" customWidth="1"/>
    <col min="138" max="141" width="5.6640625" hidden="1" customWidth="1"/>
    <col min="142" max="156" width="10.6640625" hidden="1" customWidth="1"/>
    <col min="157" max="157" width="38.6640625" hidden="1" customWidth="1"/>
    <col min="158" max="163" width="10.6640625" hidden="1" customWidth="1"/>
    <col min="164" max="165" width="100.6640625" hidden="1" customWidth="1"/>
    <col min="166" max="166" width="11.5546875" hidden="1" customWidth="1"/>
  </cols>
  <sheetData>
    <row r="1" spans="1:166" ht="32.25" customHeight="1" x14ac:dyDescent="0.3"/>
    <row r="2" spans="1:166" ht="48" customHeight="1" thickBot="1" x14ac:dyDescent="0.35">
      <c r="C2" s="20"/>
      <c r="D2" s="121" t="s">
        <v>292</v>
      </c>
      <c r="E2" s="121"/>
      <c r="F2" s="121"/>
      <c r="G2" s="121"/>
      <c r="H2" s="121"/>
      <c r="M2" s="60"/>
      <c r="N2" s="60"/>
      <c r="O2" s="60"/>
      <c r="P2" s="60"/>
      <c r="Q2" s="60"/>
      <c r="R2" s="60"/>
      <c r="S2" s="60"/>
      <c r="T2" s="60" t="s">
        <v>275</v>
      </c>
      <c r="U2" s="60" t="s">
        <v>274</v>
      </c>
      <c r="V2" s="60"/>
      <c r="W2" s="60"/>
      <c r="X2" s="60"/>
      <c r="Y2" s="60" t="s">
        <v>272</v>
      </c>
      <c r="Z2" s="71"/>
      <c r="AA2" s="71"/>
      <c r="AB2" s="60" t="s">
        <v>269</v>
      </c>
      <c r="AC2" s="60" t="s">
        <v>276</v>
      </c>
      <c r="AD2" s="60" t="s">
        <v>289</v>
      </c>
      <c r="AE2" s="60" t="s">
        <v>281</v>
      </c>
      <c r="AF2" s="60" t="s">
        <v>277</v>
      </c>
      <c r="AG2" s="128" t="s">
        <v>278</v>
      </c>
      <c r="AH2" s="128"/>
      <c r="AI2" s="60"/>
      <c r="AJ2" s="60"/>
      <c r="FH2" s="20" t="s">
        <v>264</v>
      </c>
      <c r="FI2" s="20" t="s">
        <v>290</v>
      </c>
    </row>
    <row r="3" spans="1:166" ht="15" thickBot="1" x14ac:dyDescent="0.35">
      <c r="D3" s="125" t="s">
        <v>72</v>
      </c>
      <c r="E3" s="126"/>
      <c r="F3" s="126"/>
      <c r="G3" s="126"/>
      <c r="H3" s="126"/>
      <c r="I3" s="126"/>
      <c r="J3" s="127"/>
      <c r="K3" s="122" t="s">
        <v>83</v>
      </c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2" t="s">
        <v>284</v>
      </c>
      <c r="AL3" s="124"/>
      <c r="AM3" s="122" t="s">
        <v>303</v>
      </c>
      <c r="AN3" s="123"/>
      <c r="AO3" s="123"/>
      <c r="AP3" s="124"/>
      <c r="AQ3" s="125" t="s">
        <v>91</v>
      </c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7"/>
      <c r="BV3" s="125" t="s">
        <v>89</v>
      </c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  <c r="CT3" s="126"/>
      <c r="CU3" s="126"/>
      <c r="CV3" s="126"/>
      <c r="CW3" s="126"/>
      <c r="CX3" s="127"/>
      <c r="CY3" s="125" t="s">
        <v>90</v>
      </c>
      <c r="CZ3" s="126"/>
      <c r="DA3" s="126"/>
      <c r="DB3" s="126"/>
      <c r="DC3" s="126"/>
      <c r="DD3" s="126"/>
      <c r="DE3" s="126"/>
      <c r="DF3" s="126"/>
      <c r="DG3" s="126"/>
      <c r="DH3" s="126"/>
      <c r="DI3" s="126"/>
      <c r="DJ3" s="126"/>
      <c r="DK3" s="126"/>
      <c r="DL3" s="126"/>
      <c r="DM3" s="126"/>
      <c r="DN3" s="126"/>
      <c r="DO3" s="126"/>
      <c r="DP3" s="126"/>
      <c r="DQ3" s="126"/>
      <c r="DR3" s="126"/>
      <c r="DS3" s="126"/>
      <c r="DT3" s="126"/>
      <c r="DU3" s="126"/>
      <c r="DV3" s="126"/>
      <c r="DW3" s="126"/>
      <c r="DX3" s="126"/>
      <c r="DY3" s="126"/>
      <c r="DZ3" s="126"/>
      <c r="EA3" s="126"/>
      <c r="EB3" s="126"/>
      <c r="EC3" s="126"/>
      <c r="ED3" s="127"/>
      <c r="EE3" s="122" t="s">
        <v>189</v>
      </c>
      <c r="EF3" s="123"/>
      <c r="EG3" s="123"/>
      <c r="EH3" s="123"/>
      <c r="EI3" s="123"/>
      <c r="EJ3" s="123"/>
      <c r="EK3" s="123"/>
      <c r="EL3" s="123"/>
      <c r="EM3" s="123"/>
      <c r="EN3" s="123"/>
      <c r="EO3" s="123"/>
      <c r="EP3" s="123"/>
      <c r="EQ3" s="123"/>
      <c r="ER3" s="123"/>
      <c r="ES3" s="123"/>
      <c r="ET3" s="123"/>
      <c r="EU3" s="123"/>
      <c r="EV3" s="123"/>
      <c r="EW3" s="123"/>
      <c r="EX3" s="123"/>
      <c r="EY3" s="123"/>
      <c r="EZ3" s="123"/>
      <c r="FA3" s="123"/>
      <c r="FB3" s="123"/>
      <c r="FC3" s="123"/>
      <c r="FD3" s="123"/>
      <c r="FE3" s="123"/>
      <c r="FF3" s="123"/>
      <c r="FG3" s="123"/>
      <c r="FH3" s="123"/>
      <c r="FI3" s="123"/>
      <c r="FJ3" s="124"/>
    </row>
    <row r="4" spans="1:166" s="32" customFormat="1" ht="44.25" customHeight="1" thickBot="1" x14ac:dyDescent="0.35">
      <c r="A4" s="21" t="s">
        <v>187</v>
      </c>
      <c r="B4" s="22" t="s">
        <v>76</v>
      </c>
      <c r="C4" s="23" t="s">
        <v>154</v>
      </c>
      <c r="D4" s="24" t="s">
        <v>86</v>
      </c>
      <c r="E4" s="18" t="s">
        <v>76</v>
      </c>
      <c r="F4" s="18" t="s">
        <v>87</v>
      </c>
      <c r="G4" s="18" t="s">
        <v>73</v>
      </c>
      <c r="H4" s="18" t="s">
        <v>88</v>
      </c>
      <c r="I4" s="25"/>
      <c r="J4" s="26"/>
      <c r="K4" s="21" t="s">
        <v>155</v>
      </c>
      <c r="L4" s="18" t="s">
        <v>327</v>
      </c>
      <c r="M4" s="18" t="s">
        <v>328</v>
      </c>
      <c r="N4" s="18" t="s">
        <v>329</v>
      </c>
      <c r="O4" s="18" t="s">
        <v>330</v>
      </c>
      <c r="P4" s="49" t="s">
        <v>331</v>
      </c>
      <c r="Q4" s="49" t="s">
        <v>332</v>
      </c>
      <c r="R4" s="18" t="s">
        <v>78</v>
      </c>
      <c r="S4" s="18" t="s">
        <v>81</v>
      </c>
      <c r="T4" s="18" t="s">
        <v>157</v>
      </c>
      <c r="U4" s="18" t="s">
        <v>77</v>
      </c>
      <c r="V4" s="27" t="s">
        <v>160</v>
      </c>
      <c r="W4" s="27" t="s">
        <v>161</v>
      </c>
      <c r="X4" s="27" t="s">
        <v>162</v>
      </c>
      <c r="Y4" s="28" t="s">
        <v>163</v>
      </c>
      <c r="Z4" s="70" t="s">
        <v>295</v>
      </c>
      <c r="AA4" s="70" t="s">
        <v>296</v>
      </c>
      <c r="AB4" s="49" t="s">
        <v>174</v>
      </c>
      <c r="AC4" s="49" t="s">
        <v>268</v>
      </c>
      <c r="AD4" s="49" t="s">
        <v>288</v>
      </c>
      <c r="AE4" s="49" t="s">
        <v>267</v>
      </c>
      <c r="AF4" s="49" t="s">
        <v>273</v>
      </c>
      <c r="AG4" s="67" t="s">
        <v>280</v>
      </c>
      <c r="AH4" s="67" t="s">
        <v>279</v>
      </c>
      <c r="AI4" s="67" t="s">
        <v>337</v>
      </c>
      <c r="AJ4" s="28" t="s">
        <v>339</v>
      </c>
      <c r="AK4" s="61" t="s">
        <v>282</v>
      </c>
      <c r="AL4" s="61" t="s">
        <v>283</v>
      </c>
      <c r="AM4" s="69" t="s">
        <v>299</v>
      </c>
      <c r="AN4" s="69" t="s">
        <v>301</v>
      </c>
      <c r="AO4" s="69" t="s">
        <v>300</v>
      </c>
      <c r="AP4" s="69" t="s">
        <v>302</v>
      </c>
      <c r="AQ4" s="30" t="s">
        <v>0</v>
      </c>
      <c r="AR4" s="31" t="s">
        <v>1</v>
      </c>
      <c r="AS4" s="31" t="s">
        <v>2</v>
      </c>
      <c r="AT4" s="31" t="s">
        <v>3</v>
      </c>
      <c r="AU4" s="31" t="s">
        <v>4</v>
      </c>
      <c r="AV4" s="31" t="s">
        <v>5</v>
      </c>
      <c r="AW4" s="31" t="s">
        <v>6</v>
      </c>
      <c r="AX4" s="31" t="s">
        <v>7</v>
      </c>
      <c r="AY4" s="31" t="s">
        <v>8</v>
      </c>
      <c r="AZ4" s="31" t="s">
        <v>9</v>
      </c>
      <c r="BA4" s="31" t="s">
        <v>10</v>
      </c>
      <c r="BB4" s="31" t="s">
        <v>11</v>
      </c>
      <c r="BC4" s="31" t="s">
        <v>12</v>
      </c>
      <c r="BD4" s="31" t="s">
        <v>13</v>
      </c>
      <c r="BE4" s="31" t="s">
        <v>14</v>
      </c>
      <c r="BF4" s="31" t="s">
        <v>15</v>
      </c>
      <c r="BG4" s="31" t="s">
        <v>16</v>
      </c>
      <c r="BH4" s="31" t="s">
        <v>17</v>
      </c>
      <c r="BI4" s="31" t="s">
        <v>18</v>
      </c>
      <c r="BJ4" s="31" t="s">
        <v>19</v>
      </c>
      <c r="BK4" s="31" t="s">
        <v>20</v>
      </c>
      <c r="BL4" s="31" t="s">
        <v>21</v>
      </c>
      <c r="BM4" s="31" t="s">
        <v>22</v>
      </c>
      <c r="BN4" s="31" t="s">
        <v>23</v>
      </c>
      <c r="BO4" s="31" t="s">
        <v>24</v>
      </c>
      <c r="BP4" s="31" t="s">
        <v>25</v>
      </c>
      <c r="BQ4" s="31" t="s">
        <v>26</v>
      </c>
      <c r="BR4" s="31" t="s">
        <v>27</v>
      </c>
      <c r="BS4" s="31" t="s">
        <v>28</v>
      </c>
      <c r="BT4" s="31" t="s">
        <v>29</v>
      </c>
      <c r="BU4" s="29" t="s">
        <v>30</v>
      </c>
      <c r="BV4" s="30" t="s">
        <v>31</v>
      </c>
      <c r="BW4" s="31" t="s">
        <v>0</v>
      </c>
      <c r="BX4" s="31" t="s">
        <v>32</v>
      </c>
      <c r="BY4" s="31" t="s">
        <v>33</v>
      </c>
      <c r="BZ4" s="31" t="s">
        <v>34</v>
      </c>
      <c r="CA4" s="31" t="s">
        <v>35</v>
      </c>
      <c r="CB4" s="31" t="s">
        <v>36</v>
      </c>
      <c r="CC4" s="31" t="s">
        <v>37</v>
      </c>
      <c r="CD4" s="31" t="s">
        <v>38</v>
      </c>
      <c r="CE4" s="31" t="s">
        <v>10</v>
      </c>
      <c r="CF4" s="31" t="s">
        <v>39</v>
      </c>
      <c r="CG4" s="31" t="s">
        <v>40</v>
      </c>
      <c r="CH4" s="31" t="s">
        <v>23</v>
      </c>
      <c r="CI4" s="31" t="s">
        <v>24</v>
      </c>
      <c r="CJ4" s="31" t="s">
        <v>25</v>
      </c>
      <c r="CK4" s="31" t="s">
        <v>26</v>
      </c>
      <c r="CL4" s="31" t="s">
        <v>27</v>
      </c>
      <c r="CM4" s="31" t="s">
        <v>28</v>
      </c>
      <c r="CN4" s="31" t="s">
        <v>29</v>
      </c>
      <c r="CO4" s="31" t="s">
        <v>30</v>
      </c>
      <c r="CP4" s="31" t="s">
        <v>19</v>
      </c>
      <c r="CQ4" s="31" t="s">
        <v>18</v>
      </c>
      <c r="CR4" s="31" t="s">
        <v>41</v>
      </c>
      <c r="CS4" s="31" t="s">
        <v>42</v>
      </c>
      <c r="CT4" s="31" t="s">
        <v>11</v>
      </c>
      <c r="CU4" s="31" t="s">
        <v>12</v>
      </c>
      <c r="CV4" s="31" t="s">
        <v>20</v>
      </c>
      <c r="CW4" s="31" t="s">
        <v>21</v>
      </c>
      <c r="CX4" s="29" t="s">
        <v>22</v>
      </c>
      <c r="CY4" s="30" t="s">
        <v>0</v>
      </c>
      <c r="CZ4" s="31" t="s">
        <v>43</v>
      </c>
      <c r="DA4" s="31"/>
      <c r="DB4" s="31" t="s">
        <v>45</v>
      </c>
      <c r="DC4" s="31" t="s">
        <v>37</v>
      </c>
      <c r="DD4" s="31" t="s">
        <v>38</v>
      </c>
      <c r="DE4" s="31" t="s">
        <v>8</v>
      </c>
      <c r="DF4" s="31" t="s">
        <v>9</v>
      </c>
      <c r="DG4" s="31" t="s">
        <v>46</v>
      </c>
      <c r="DH4" s="31" t="s">
        <v>47</v>
      </c>
      <c r="DI4" s="31" t="s">
        <v>48</v>
      </c>
      <c r="DJ4" s="31" t="s">
        <v>49</v>
      </c>
      <c r="DK4" s="31" t="s">
        <v>10</v>
      </c>
      <c r="DL4" s="31" t="s">
        <v>1</v>
      </c>
      <c r="DM4" s="31" t="s">
        <v>50</v>
      </c>
      <c r="DN4" s="31" t="s">
        <v>51</v>
      </c>
      <c r="DO4" s="31" t="s">
        <v>52</v>
      </c>
      <c r="DP4" s="31" t="s">
        <v>53</v>
      </c>
      <c r="DQ4" s="31" t="s">
        <v>54</v>
      </c>
      <c r="DR4" s="31" t="s">
        <v>55</v>
      </c>
      <c r="DS4" s="31" t="s">
        <v>56</v>
      </c>
      <c r="DT4" s="31" t="s">
        <v>57</v>
      </c>
      <c r="DU4" s="31" t="s">
        <v>19</v>
      </c>
      <c r="DV4" s="31" t="s">
        <v>18</v>
      </c>
      <c r="DW4" s="31" t="s">
        <v>11</v>
      </c>
      <c r="DX4" s="31" t="s">
        <v>12</v>
      </c>
      <c r="DY4" s="31" t="s">
        <v>16</v>
      </c>
      <c r="DZ4" s="31" t="s">
        <v>20</v>
      </c>
      <c r="EA4" s="31" t="s">
        <v>21</v>
      </c>
      <c r="EB4" s="31" t="s">
        <v>22</v>
      </c>
      <c r="EC4" s="31" t="s">
        <v>6</v>
      </c>
      <c r="ED4" s="29" t="s">
        <v>7</v>
      </c>
      <c r="EE4" s="30" t="s">
        <v>191</v>
      </c>
      <c r="EF4" s="31" t="s">
        <v>198</v>
      </c>
      <c r="EG4" s="31" t="s">
        <v>199</v>
      </c>
      <c r="EH4" s="31" t="s">
        <v>194</v>
      </c>
      <c r="EI4" s="31" t="s">
        <v>195</v>
      </c>
      <c r="EJ4" s="31" t="s">
        <v>196</v>
      </c>
      <c r="EK4" s="31" t="s">
        <v>190</v>
      </c>
      <c r="EL4" s="31" t="s">
        <v>197</v>
      </c>
      <c r="EM4" s="31" t="s">
        <v>200</v>
      </c>
      <c r="EN4" s="31" t="s">
        <v>201</v>
      </c>
      <c r="EO4" s="31" t="s">
        <v>202</v>
      </c>
      <c r="EP4" s="31" t="s">
        <v>203</v>
      </c>
      <c r="EQ4" s="31" t="s">
        <v>204</v>
      </c>
      <c r="ER4" s="31" t="s">
        <v>205</v>
      </c>
      <c r="ES4" s="31" t="s">
        <v>206</v>
      </c>
      <c r="ET4" s="31" t="s">
        <v>78</v>
      </c>
      <c r="EU4" s="31" t="s">
        <v>207</v>
      </c>
      <c r="EV4" s="31" t="s">
        <v>208</v>
      </c>
      <c r="EW4" s="31" t="s">
        <v>209</v>
      </c>
      <c r="EX4" s="31" t="s">
        <v>210</v>
      </c>
      <c r="EY4" s="31" t="s">
        <v>211</v>
      </c>
      <c r="EZ4" s="31" t="s">
        <v>212</v>
      </c>
      <c r="FA4" s="31" t="s">
        <v>213</v>
      </c>
      <c r="FB4" s="31" t="s">
        <v>214</v>
      </c>
      <c r="FC4" s="31" t="s">
        <v>215</v>
      </c>
      <c r="FD4" s="31" t="s">
        <v>216</v>
      </c>
      <c r="FE4" s="31" t="s">
        <v>217</v>
      </c>
      <c r="FF4" s="31" t="s">
        <v>218</v>
      </c>
      <c r="FG4" s="61" t="s">
        <v>192</v>
      </c>
      <c r="FH4" s="30" t="s">
        <v>262</v>
      </c>
      <c r="FI4" s="29" t="s">
        <v>263</v>
      </c>
      <c r="FJ4" s="63" t="s">
        <v>251</v>
      </c>
    </row>
    <row r="5" spans="1:166" x14ac:dyDescent="0.3">
      <c r="A5" s="53" t="s">
        <v>344</v>
      </c>
      <c r="B5" s="54" t="s">
        <v>79</v>
      </c>
      <c r="C5" s="54" t="s">
        <v>345</v>
      </c>
      <c r="D5" s="53"/>
      <c r="E5" s="54"/>
      <c r="F5" s="54"/>
      <c r="G5" s="54"/>
      <c r="H5" s="54"/>
      <c r="I5" s="54"/>
      <c r="J5" s="55"/>
      <c r="K5" s="56" t="s">
        <v>345</v>
      </c>
      <c r="U5" t="s">
        <v>308</v>
      </c>
      <c r="AK5" s="35" t="str">
        <f>IF(V5="",A5,V5)&amp;IF(W5&lt;&gt;"","{"&amp;W5&amp;"}","")&amp;IF(X5&lt;&gt;"","/"&amp;X5,"")</f>
        <v>Reset_C</v>
      </c>
      <c r="AL5" s="35" t="str">
        <f>IF(V5="",A5,V5)&amp;IF(W5&lt;&gt;"","["&amp;W5&amp;"]","")&amp;IF(X5&lt;&gt;"","/"&amp;X5,"")</f>
        <v>Reset_C</v>
      </c>
      <c r="AM5" s="35" t="b">
        <f>$AF5&lt;&gt;TRUE</f>
        <v>1</v>
      </c>
      <c r="AN5" s="35" t="b">
        <f t="shared" ref="AN5:AN25" si="0">AND($U5&lt;&gt;"",$AF5&lt;&gt;TRUE, DL_DisableAlarms&lt;&gt;TRUE)</f>
        <v>1</v>
      </c>
      <c r="AO5" s="35" t="b">
        <f t="shared" ref="AO5:AO25" si="1">AND($T5&lt;&gt;"",$AF5&lt;&gt;TRUE,DL_DisableTrends&lt;&gt;TRUE)</f>
        <v>0</v>
      </c>
      <c r="AP5" s="35" t="b">
        <f t="shared" ref="AP5:AP25" si="2">AND(DL_PVEnable=TRUE,$AC5&lt;&gt;"IGNORE",$AF5&lt;&gt;TRUE)</f>
        <v>0</v>
      </c>
      <c r="AQ5" s="34" t="str">
        <f t="shared" ref="AQ5:AQ25" si="3">IF($AM5,DL_TagPrefixFull&amp;A5,"")</f>
        <v>[TagPrefixFull]Reset_C</v>
      </c>
      <c r="AR5" s="35" t="str">
        <f>IF($AM5,VLOOKUP(B5,DataTypeMappings!$A$2:$B$18,2,"FALSE"),"")</f>
        <v>DIGITAL</v>
      </c>
      <c r="AS5" s="35" t="str">
        <f t="shared" ref="AS5:AS25" si="4">IF($AM5,IF(AG5&lt;&gt;"",AG5,DL_PLC),"")</f>
        <v>[PLC]</v>
      </c>
      <c r="AT5" s="35" t="str">
        <f t="shared" ref="AT5:AT25" si="5">IF($AM5,IF($Y5="",DL_AddrPrefixFull&amp;AK5,Y5),"")</f>
        <v>[AddrPrefixFull]Reset_C</v>
      </c>
      <c r="AU5" s="35" t="str">
        <f>IF($AM5,TRIM(L5),"")</f>
        <v/>
      </c>
      <c r="AV5" s="35" t="str">
        <f>IF($AM5,TRIM(M5),"")</f>
        <v/>
      </c>
      <c r="AW5" s="35" t="str">
        <f>IF($AM5,TRIM(N5),"")</f>
        <v/>
      </c>
      <c r="AX5" s="35" t="str">
        <f>IF($AM5,TRIM(O5),"")</f>
        <v/>
      </c>
      <c r="AY5" s="35" t="str">
        <f>IF($AM5,TRIM(R5),"")</f>
        <v/>
      </c>
      <c r="AZ5" s="35" t="str">
        <f>IF($AM5,TRIM(S5),"")</f>
        <v/>
      </c>
      <c r="BA5" s="35" t="str">
        <f t="shared" ref="BA5:BA25" si="6">IF($AM5,IF(DL_Desc &lt;&gt; "", DL_Desc &amp; Global_Seperator &amp; K5, K5), "")</f>
        <v>[Desc] - SCADA Reset Command</v>
      </c>
      <c r="BB5" s="35"/>
      <c r="BC5" s="35"/>
      <c r="BD5" s="35"/>
      <c r="BE5" s="35"/>
      <c r="BF5" s="35"/>
      <c r="BG5" s="35"/>
      <c r="BH5" s="35"/>
      <c r="BI5" s="35"/>
      <c r="BJ5" s="35" t="str">
        <f t="shared" ref="BJ5:BJ25" si="7">IF($AM5,IF(AH5&lt;&gt;"",AH5,DL_Cluster),"")</f>
        <v>[Cluster]</v>
      </c>
      <c r="BK5" s="35" t="str">
        <f t="shared" ref="BK5:BK25" si="8">IF($AM5,IF(Z5&lt;&gt;"",Z5,DL_Equip),"")</f>
        <v>[Equip]</v>
      </c>
      <c r="BL5" s="35" t="str">
        <f t="shared" ref="BL5:BL25" si="9">IF($AM5,IF(BK5&lt;&gt;"",IF(DL_EnableItem="TRUE",IF(AA5&lt;&gt;"",AA5,A5),""),""),"")</f>
        <v/>
      </c>
      <c r="BM5" s="35" t="str">
        <f t="shared" ref="BM5:BM25" si="10">IF($AM5,TRIM(DL_Historian), "")</f>
        <v>[Historian]</v>
      </c>
      <c r="BN5" s="35" t="str">
        <f t="shared" ref="BN5:BN25" si="11">IF($AM5,TRIM(DL_DigAlmName), "")</f>
        <v>[DigAlmName]</v>
      </c>
      <c r="BO5" s="35" t="str">
        <f t="shared" ref="BO5:BO25" si="12">IF($AM5,TRIM(DL_Desc), "")</f>
        <v>[Desc]</v>
      </c>
      <c r="BP5" s="35" t="str">
        <f>IF($AN5,U5,"")</f>
        <v>Alm_Event</v>
      </c>
      <c r="BQ5" s="35" t="str">
        <f>IF($AO5,T5,"")</f>
        <v/>
      </c>
      <c r="BR5" s="35"/>
      <c r="BS5" s="35"/>
      <c r="BT5" s="35"/>
      <c r="BU5" s="83" t="str">
        <f>IF($AM5,TRIM(AJ5), "")</f>
        <v/>
      </c>
      <c r="BV5" s="34" t="str">
        <f t="shared" ref="BV5:BV25" si="13">IF($AN5,DL_TagPrefixFull&amp;A5,"")</f>
        <v>[TagPrefixFull]Reset_C</v>
      </c>
      <c r="BW5" s="35" t="str">
        <f t="shared" ref="BW5:BW25" si="14">IF($AN5,DL_TagPrefixFull&amp;A5,"")</f>
        <v>[TagPrefixFull]Reset_C</v>
      </c>
      <c r="BX5" s="35" t="str">
        <f t="shared" ref="BX5:BX25" si="15">IF($AN5,IF(AI5&lt;&gt;"",AI5,IF(DL_Desc &lt;&gt; "", DL_Desc &amp; Global_Seperator &amp; K5, K5)),"")</f>
        <v>[Desc] - SCADA Reset Command</v>
      </c>
      <c r="BY5" s="35" t="str">
        <f t="shared" ref="BY5:BY25" si="16">IF($AN5,DL_TagPrefixFull&amp;A5,"")</f>
        <v>[TagPrefixFull]Reset_C</v>
      </c>
      <c r="BZ5" s="35" t="str">
        <f t="shared" ref="BZ5:BZ25" si="17">IF($AN5,IF(DL_VariableB&lt;&gt;"",DL_VariableB,""),"")</f>
        <v>[VariableB]</v>
      </c>
      <c r="CA5" s="35" t="str">
        <f>IF($AN5,U5,"")</f>
        <v>Alm_Event</v>
      </c>
      <c r="CB5" s="35" t="str">
        <f t="shared" ref="CB5:CB25" si="18">IF($AN5,IF(AB5&lt;&gt;"",AB5,DL_Help),"")</f>
        <v>[Help]</v>
      </c>
      <c r="CC5" s="35" t="str">
        <f t="shared" ref="CC5:CC25" si="19">IF($AN5,Global_Alarm_Priv,"")</f>
        <v>Priv_Alarm</v>
      </c>
      <c r="CD5" s="35" t="str">
        <f t="shared" ref="CD5:CD25" si="20">IF($AN5,TRIM(DL_Area),"")</f>
        <v>[Area]</v>
      </c>
      <c r="CE5" s="35" t="str">
        <f t="shared" ref="CE5:CE25" si="21">IF($AN5,IF(DL_Desc&lt;&gt;"",DL_Desc &amp; Global_Seperator &amp; K5, K5),"")</f>
        <v>[Desc] - SCADA Reset Command</v>
      </c>
      <c r="CF5" s="35"/>
      <c r="CG5" s="35"/>
      <c r="CH5" s="35" t="str">
        <f t="shared" ref="CH5:CH25" si="22">IF($AN5,DL_DigAlmName,"")</f>
        <v>[DigAlmName]</v>
      </c>
      <c r="CI5" s="35"/>
      <c r="CJ5" s="35"/>
      <c r="CK5" s="35"/>
      <c r="CL5" s="35"/>
      <c r="CM5" s="35"/>
      <c r="CN5" s="35"/>
      <c r="CO5" s="35"/>
      <c r="CP5" s="35" t="str">
        <f t="shared" ref="CP5:CP25" si="23">IF($AN5,IF(AH5&lt;&gt;"",AH5,DL_Cluster),"")</f>
        <v>[Cluster]</v>
      </c>
      <c r="CQ5" s="35"/>
      <c r="CR5" s="35"/>
      <c r="CS5" s="35"/>
      <c r="CT5" s="35"/>
      <c r="CU5" s="35"/>
      <c r="CV5" s="35" t="str">
        <f t="shared" ref="CV5:CV25" si="24">IF($AN5,IF(Z5&lt;&gt;"",Z5,DL_Equip),"")</f>
        <v>[Equip]</v>
      </c>
      <c r="CW5" s="35" t="e">
        <f t="shared" ref="CW5:CW25" si="25">IF($AN5,IF(CV5&lt;&gt;"",IF(DL_EnableItem,IF(AA5&lt;&gt;"",AA5,A5),""),""),"")</f>
        <v>#VALUE!</v>
      </c>
      <c r="CX5" s="35"/>
      <c r="CY5" s="34" t="str">
        <f t="shared" ref="CY5:CY25" si="26">IF($AO5,DL_TagPrefixFull&amp;A5,"")</f>
        <v/>
      </c>
      <c r="CZ5" s="35" t="str">
        <f t="shared" ref="CZ5:CZ25" si="27">IF($AO5,DL_TagPrefixFull&amp;A5,"")</f>
        <v/>
      </c>
      <c r="DA5" s="35"/>
      <c r="DB5" s="35" t="str">
        <f>IF($AO5,T5,"")</f>
        <v/>
      </c>
      <c r="DC5" s="35"/>
      <c r="DD5" s="35"/>
      <c r="DE5" s="35" t="str">
        <f>IF($AO5,TRIM(R5),"")</f>
        <v/>
      </c>
      <c r="DF5" s="35" t="str">
        <f>IF($AO5,TRIM(S5),"")</f>
        <v/>
      </c>
      <c r="DG5" s="35" t="str">
        <f t="shared" ref="DG5:DG25" si="28">IF($AO5,IF(DL_TrendPrefixOverride&lt;&gt;"",DL_TrendPrefixOverride&amp;AQ5&amp;"\"&amp;AQ5,Global_Trend_Prefix&amp;AQ5&amp;"\"&amp;AQ5),"")</f>
        <v/>
      </c>
      <c r="DH5" s="35" t="str">
        <f t="shared" ref="DH5:DH25" si="29">IF($AO5,TRIM(Global_Trend_NumFiles),"")</f>
        <v/>
      </c>
      <c r="DI5" s="35" t="str">
        <f t="shared" ref="DI5:DI25" si="30">IF($AO5,TRIM(Global_Trend_Time),"")</f>
        <v/>
      </c>
      <c r="DJ5" s="35" t="str">
        <f t="shared" ref="DJ5:DJ25" si="31">IF($AO5,TRIM(Global_Trend_Period),"")</f>
        <v/>
      </c>
      <c r="DK5" s="35" t="str">
        <f t="shared" ref="DK5:DK25" si="32">IF($AO5, DL_DigAlmName &amp; Global_Seperator &amp; IF(DL_Desc&lt;&gt;"",DL_Desc &amp; Global_Seperator &amp; K5, K5),"")</f>
        <v/>
      </c>
      <c r="DL5" s="35" t="str">
        <f>IF($AO5,"TRN_PERIODIC","")</f>
        <v/>
      </c>
      <c r="DM5" s="35"/>
      <c r="DN5" s="35"/>
      <c r="DO5" s="35"/>
      <c r="DP5" s="35"/>
      <c r="DQ5" s="35"/>
      <c r="DR5" s="35"/>
      <c r="DS5" s="35"/>
      <c r="DT5" s="35" t="str">
        <f>IF($AO5,IF(AR5="DIGITAL","Scaled (2-byte samples)","Floating Point (8-byte samples)"),"")</f>
        <v/>
      </c>
      <c r="DU5" s="35" t="str">
        <f t="shared" ref="DU5:DU25" si="33">IF($AO5,IF(AH5&lt;&gt;"",AH5,DL_Cluster),"")</f>
        <v/>
      </c>
      <c r="DV5" s="35"/>
      <c r="DW5" s="35"/>
      <c r="DX5" s="35"/>
      <c r="DY5" s="35"/>
      <c r="DZ5" s="35" t="str">
        <f t="shared" ref="DZ5:DZ25" si="34">IF($AO5,IF(Z5&lt;&gt;"",Z5,DL_Equip),"")</f>
        <v/>
      </c>
      <c r="EA5" s="35" t="str">
        <f t="shared" ref="EA5:EA25" si="35">IF($AO5,IF(DZ5&lt;&gt;"",IF(DL_EnableItem,IF(AA5&lt;&gt;"",AA5,A5),""),""),"")</f>
        <v/>
      </c>
      <c r="EB5" s="35"/>
      <c r="EC5" s="35" t="str">
        <f>IF($AO5,TRIM(P5),"")</f>
        <v/>
      </c>
      <c r="ED5" s="33" t="str">
        <f>IF($AO5,TRIM(Q5),"")</f>
        <v/>
      </c>
      <c r="EE5" s="57" t="str">
        <f>IF($AP5 = FALSE,"",VLOOKUP(B5,DataTypeMappings!$A$2:$C$18,3,FALSE))</f>
        <v/>
      </c>
      <c r="EF5" s="58" t="str">
        <f>IF($AP5 = FALSE,"",IF(AC5&lt;&gt;"",AC5,DL_PVFolder)&amp;"\"&amp;IF(AD5="",DL_PVPrefixFull&amp;A5,DL_PVPrefixFull&amp;AD5))</f>
        <v/>
      </c>
      <c r="EG5" s="58" t="str">
        <f>IF($AP5 = FALSE,"",DL_Desc&amp;" "&amp;K5)</f>
        <v/>
      </c>
      <c r="EH5" s="58" t="str">
        <f>IF($AP5 = FALSE,"","F")</f>
        <v/>
      </c>
      <c r="EI5" s="58" t="str">
        <f>IF($AP5 = FALSE,"","D")</f>
        <v/>
      </c>
      <c r="EJ5" s="58" t="str">
        <f>IF($AP5 = FALSE,"","*")</f>
        <v/>
      </c>
      <c r="EK5" s="58" t="str">
        <f>IF($AP5 = FALSE,"","F")</f>
        <v/>
      </c>
      <c r="EL5" s="58" t="str">
        <f>IF($AP5 = FALSE,"",VLOOKUP(B5,DataTypeMappings!$A$2:$D$18,4,FALSE()))</f>
        <v/>
      </c>
      <c r="EM5" s="58" t="str">
        <f>IF($AP5 = FALSE,"",IF(EE5="A","L",""))</f>
        <v/>
      </c>
      <c r="EN5" s="58" t="str">
        <f>IF($AP5 = FALSE,"",IF(EE5="A",N5,""))</f>
        <v/>
      </c>
      <c r="EO5" s="58" t="str">
        <f>IF($AP5 = FALSE,"",IF(EE5="A",O5,""))</f>
        <v/>
      </c>
      <c r="EP5" s="58" t="str">
        <f>IF($AP5 = FALSE,"",IF(EE5="A","0",""))</f>
        <v/>
      </c>
      <c r="EQ5" s="58" t="str">
        <f>IF($AP5 = FALSE,"",IF(EE5="A",IF(M5&lt;&gt;O5,O5/M5,1),""))</f>
        <v/>
      </c>
      <c r="ER5" s="58" t="str">
        <f>IF($AP5 = FALSE,"",IF(EE5="A","0",""))</f>
        <v/>
      </c>
      <c r="ES5" s="58" t="str">
        <f>IF($AP5 = FALSE,"",IF(EE5="A","0",""))</f>
        <v/>
      </c>
      <c r="ET5" s="58" t="str">
        <f>IF($AP5 = FALSE,"",TRIM(R5))</f>
        <v/>
      </c>
      <c r="EU5" s="58" t="str">
        <f>IF($AP5 = FALSE,"",IF(EE5="D","0",""))</f>
        <v/>
      </c>
      <c r="EV5" s="58" t="str">
        <f>IF($AP5 = FALSE,"",IF(EE5="D","1",""))</f>
        <v/>
      </c>
      <c r="EW5" s="58" t="str">
        <f>IF($AP5 = FALSE,"",IF(EE5="D","0",""))</f>
        <v/>
      </c>
      <c r="EX5" s="58" t="str">
        <f>IF($AP5 = FALSE,"",IF(EE5="S","82",""))</f>
        <v/>
      </c>
      <c r="EY5" s="58"/>
      <c r="EZ5" s="58"/>
      <c r="FA5" s="58" t="str">
        <f>IF($AP5 = FALSE,"","["&amp;DL_PVPLC&amp;"]"&amp;IF($Y5="",DL_AddrPrefixFull&amp;AL5,Y5))</f>
        <v/>
      </c>
      <c r="FB5" s="58"/>
      <c r="FC5" s="58"/>
      <c r="FD5" s="58"/>
      <c r="FE5" s="58"/>
      <c r="FF5" s="35"/>
      <c r="FG5" s="35"/>
      <c r="FH5" s="35" t="str">
        <f>IF(OR($A5="",DL_PVEnable=FALSE(),AC5="IGNORE",$AF5=TRUE,$AE5="",$AE5=FALSE),"",SUBSTITUTE($FH$2,"~Tag~",EF5))</f>
        <v/>
      </c>
      <c r="FI5" s="33" t="str">
        <f>IF(OR($A5="",DL_PVEnable=FALSE(),AC5="IGNORE",$AF5=TRUE,$AE5="",$AE5=FALSE),"",SUBSTITUTE($FI$2,"~Tag~",EG5))</f>
        <v/>
      </c>
      <c r="FJ5" s="62" t="str">
        <f>IF($AP5 = FALSE,"",IF(AC5&lt;&gt;"",AC5,DL_PVFolder))</f>
        <v/>
      </c>
    </row>
    <row r="6" spans="1:166" x14ac:dyDescent="0.3">
      <c r="A6" t="s">
        <v>346</v>
      </c>
      <c r="B6" t="s">
        <v>79</v>
      </c>
      <c r="C6" t="s">
        <v>359</v>
      </c>
      <c r="K6" t="s">
        <v>359</v>
      </c>
      <c r="U6" t="s">
        <v>308</v>
      </c>
      <c r="AK6" t="str">
        <f t="shared" ref="AK6:AK25" si="36">IF(V6="",A6,V6)&amp;IF(W6&lt;&gt;"","{"&amp;W6&amp;"}","")&amp;IF(X6&lt;&gt;"","/"&amp;X6,"")</f>
        <v>ResetPB</v>
      </c>
      <c r="AL6" t="str">
        <f t="shared" ref="AL6:AL25" si="37">IF(V6="",A6,V6)&amp;IF(W6&lt;&gt;"","["&amp;W6&amp;"]","")&amp;IF(X6&lt;&gt;"","/"&amp;X6,"")</f>
        <v>ResetPB</v>
      </c>
      <c r="AM6" t="b">
        <f t="shared" ref="AM6:AM25" si="38">$AF6&lt;&gt;TRUE</f>
        <v>1</v>
      </c>
      <c r="AN6" t="b">
        <f t="shared" si="0"/>
        <v>1</v>
      </c>
      <c r="AO6" t="b">
        <f t="shared" si="1"/>
        <v>0</v>
      </c>
      <c r="AP6" t="b">
        <f t="shared" si="2"/>
        <v>0</v>
      </c>
      <c r="AQ6" t="str">
        <f t="shared" si="3"/>
        <v>[TagPrefixFull]ResetPB</v>
      </c>
      <c r="AR6" t="str">
        <f>IF($AM6,VLOOKUP(B6,DataTypeMappings!$A$2:$B$18,2,"FALSE"),"")</f>
        <v>DIGITAL</v>
      </c>
      <c r="AS6" t="str">
        <f t="shared" si="4"/>
        <v>[PLC]</v>
      </c>
      <c r="AT6" t="str">
        <f t="shared" si="5"/>
        <v>[AddrPrefixFull]ResetPB</v>
      </c>
      <c r="AU6" t="str">
        <f t="shared" ref="AU6:AU25" si="39">IF($AM6,TRIM(L6),"")</f>
        <v/>
      </c>
      <c r="AV6" t="str">
        <f t="shared" ref="AV6:AV25" si="40">IF($AM6,TRIM(M6),"")</f>
        <v/>
      </c>
      <c r="AW6" t="str">
        <f t="shared" ref="AW6:AW25" si="41">IF($AM6,TRIM(N6),"")</f>
        <v/>
      </c>
      <c r="AX6" t="str">
        <f t="shared" ref="AX6:AX25" si="42">IF($AM6,TRIM(O6),"")</f>
        <v/>
      </c>
      <c r="AY6" t="str">
        <f t="shared" ref="AY6:AY25" si="43">IF($AM6,TRIM(R6),"")</f>
        <v/>
      </c>
      <c r="AZ6" t="str">
        <f t="shared" ref="AZ6:AZ25" si="44">IF($AM6,TRIM(S6),"")</f>
        <v/>
      </c>
      <c r="BA6" t="str">
        <f t="shared" si="6"/>
        <v>[Desc] - Local Reset Push Button</v>
      </c>
      <c r="BJ6" t="str">
        <f t="shared" si="7"/>
        <v>[Cluster]</v>
      </c>
      <c r="BK6" t="str">
        <f t="shared" si="8"/>
        <v>[Equip]</v>
      </c>
      <c r="BL6" t="str">
        <f t="shared" si="9"/>
        <v/>
      </c>
      <c r="BM6" t="str">
        <f t="shared" si="10"/>
        <v>[Historian]</v>
      </c>
      <c r="BN6" t="str">
        <f t="shared" si="11"/>
        <v>[DigAlmName]</v>
      </c>
      <c r="BO6" t="str">
        <f t="shared" si="12"/>
        <v>[Desc]</v>
      </c>
      <c r="BP6" t="str">
        <f t="shared" ref="BP6:BP25" si="45">IF($AN6,U6,"")</f>
        <v>Alm_Event</v>
      </c>
      <c r="BQ6" t="str">
        <f t="shared" ref="BQ6:BQ25" si="46">IF($AO6,T6,"")</f>
        <v/>
      </c>
      <c r="BU6" t="str">
        <f t="shared" ref="BU6:BU25" si="47">IF($AM6,TRIM(AJ6), "")</f>
        <v/>
      </c>
      <c r="BV6" t="str">
        <f t="shared" si="13"/>
        <v>[TagPrefixFull]ResetPB</v>
      </c>
      <c r="BW6" t="str">
        <f t="shared" si="14"/>
        <v>[TagPrefixFull]ResetPB</v>
      </c>
      <c r="BX6" t="str">
        <f t="shared" si="15"/>
        <v>[Desc] - Local Reset Push Button</v>
      </c>
      <c r="BY6" t="str">
        <f t="shared" si="16"/>
        <v>[TagPrefixFull]ResetPB</v>
      </c>
      <c r="BZ6" t="str">
        <f t="shared" si="17"/>
        <v>[VariableB]</v>
      </c>
      <c r="CA6" t="str">
        <f t="shared" ref="CA6:CA25" si="48">IF($AN6,U6,"")</f>
        <v>Alm_Event</v>
      </c>
      <c r="CB6" t="str">
        <f t="shared" si="18"/>
        <v>[Help]</v>
      </c>
      <c r="CC6" t="str">
        <f t="shared" si="19"/>
        <v>Priv_Alarm</v>
      </c>
      <c r="CD6" t="str">
        <f t="shared" si="20"/>
        <v>[Area]</v>
      </c>
      <c r="CE6" t="str">
        <f t="shared" si="21"/>
        <v>[Desc] - Local Reset Push Button</v>
      </c>
      <c r="CH6" t="str">
        <f t="shared" si="22"/>
        <v>[DigAlmName]</v>
      </c>
      <c r="CP6" t="str">
        <f t="shared" si="23"/>
        <v>[Cluster]</v>
      </c>
      <c r="CV6" t="str">
        <f t="shared" si="24"/>
        <v>[Equip]</v>
      </c>
      <c r="CW6" t="e">
        <f t="shared" si="25"/>
        <v>#VALUE!</v>
      </c>
      <c r="CY6" t="str">
        <f t="shared" si="26"/>
        <v/>
      </c>
      <c r="CZ6" t="str">
        <f t="shared" si="27"/>
        <v/>
      </c>
      <c r="DB6" t="str">
        <f t="shared" ref="DB6:DB25" si="49">IF($AO6,T6,"")</f>
        <v/>
      </c>
      <c r="DE6" t="str">
        <f t="shared" ref="DE6:DE25" si="50">IF($AO6,TRIM(R6),"")</f>
        <v/>
      </c>
      <c r="DF6" t="str">
        <f t="shared" ref="DF6:DF25" si="51">IF($AO6,TRIM(S6),"")</f>
        <v/>
      </c>
      <c r="DG6" t="str">
        <f t="shared" si="28"/>
        <v/>
      </c>
      <c r="DH6" t="str">
        <f t="shared" si="29"/>
        <v/>
      </c>
      <c r="DI6" t="str">
        <f t="shared" si="30"/>
        <v/>
      </c>
      <c r="DJ6" t="str">
        <f t="shared" si="31"/>
        <v/>
      </c>
      <c r="DK6" t="str">
        <f t="shared" si="32"/>
        <v/>
      </c>
      <c r="DL6" t="str">
        <f t="shared" ref="DL6:DL25" si="52">IF($AO6,"TRN_PERIODIC","")</f>
        <v/>
      </c>
      <c r="DT6" t="str">
        <f t="shared" ref="DT6:DT25" si="53">IF($AO6,IF(AR6="DIGITAL","Scaled (2-byte samples)","Floating Point (8-byte samples)"),"")</f>
        <v/>
      </c>
      <c r="DU6" t="str">
        <f t="shared" si="33"/>
        <v/>
      </c>
      <c r="DZ6" t="str">
        <f t="shared" si="34"/>
        <v/>
      </c>
      <c r="EA6" t="str">
        <f t="shared" si="35"/>
        <v/>
      </c>
      <c r="EC6" t="str">
        <f t="shared" ref="EC6:EC25" si="54">IF($AO6,TRIM(P6),"")</f>
        <v/>
      </c>
      <c r="ED6" t="str">
        <f t="shared" ref="ED6:ED25" si="55">IF($AO6,TRIM(Q6),"")</f>
        <v/>
      </c>
    </row>
    <row r="7" spans="1:166" x14ac:dyDescent="0.3">
      <c r="A7" t="s">
        <v>722</v>
      </c>
      <c r="B7" t="s">
        <v>79</v>
      </c>
      <c r="C7" t="s">
        <v>723</v>
      </c>
      <c r="K7" t="s">
        <v>723</v>
      </c>
      <c r="T7">
        <v>1</v>
      </c>
      <c r="AK7" t="str">
        <f t="shared" si="36"/>
        <v>Transformer_InterlockOK</v>
      </c>
      <c r="AL7" t="str">
        <f t="shared" si="37"/>
        <v>Transformer_InterlockOK</v>
      </c>
      <c r="AM7" t="b">
        <f t="shared" si="38"/>
        <v>1</v>
      </c>
      <c r="AN7" t="b">
        <f t="shared" si="0"/>
        <v>0</v>
      </c>
      <c r="AO7" t="b">
        <f t="shared" si="1"/>
        <v>1</v>
      </c>
      <c r="AP7" t="b">
        <f t="shared" si="2"/>
        <v>0</v>
      </c>
      <c r="AQ7" t="str">
        <f t="shared" si="3"/>
        <v>[TagPrefixFull]Transformer_InterlockOK</v>
      </c>
      <c r="AR7" t="str">
        <f>IF($AM7,VLOOKUP(B7,DataTypeMappings!$A$2:$B$18,2,"FALSE"),"")</f>
        <v>DIGITAL</v>
      </c>
      <c r="AS7" t="str">
        <f t="shared" si="4"/>
        <v>[PLC]</v>
      </c>
      <c r="AT7" t="str">
        <f t="shared" si="5"/>
        <v>[AddrPrefixFull]Transformer_InterlockOK</v>
      </c>
      <c r="AU7" t="str">
        <f t="shared" si="39"/>
        <v/>
      </c>
      <c r="AV7" t="str">
        <f t="shared" si="40"/>
        <v/>
      </c>
      <c r="AW7" t="str">
        <f t="shared" si="41"/>
        <v/>
      </c>
      <c r="AX7" t="str">
        <f t="shared" si="42"/>
        <v/>
      </c>
      <c r="AY7" t="str">
        <f t="shared" si="43"/>
        <v/>
      </c>
      <c r="AZ7" t="str">
        <f t="shared" si="44"/>
        <v/>
      </c>
      <c r="BA7" t="str">
        <f t="shared" si="6"/>
        <v>[Desc] - Transformer Interlocks Healthy</v>
      </c>
      <c r="BJ7" t="str">
        <f t="shared" si="7"/>
        <v>[Cluster]</v>
      </c>
      <c r="BK7" t="str">
        <f t="shared" si="8"/>
        <v>[Equip]</v>
      </c>
      <c r="BL7" t="str">
        <f t="shared" si="9"/>
        <v/>
      </c>
      <c r="BM7" t="str">
        <f t="shared" si="10"/>
        <v>[Historian]</v>
      </c>
      <c r="BN7" t="str">
        <f t="shared" si="11"/>
        <v>[DigAlmName]</v>
      </c>
      <c r="BO7" t="str">
        <f t="shared" si="12"/>
        <v>[Desc]</v>
      </c>
      <c r="BP7" t="str">
        <f t="shared" si="45"/>
        <v/>
      </c>
      <c r="BQ7">
        <f t="shared" si="46"/>
        <v>1</v>
      </c>
      <c r="BU7" t="str">
        <f t="shared" si="47"/>
        <v/>
      </c>
      <c r="BV7" t="str">
        <f t="shared" si="13"/>
        <v/>
      </c>
      <c r="BW7" t="str">
        <f t="shared" si="14"/>
        <v/>
      </c>
      <c r="BX7" t="str">
        <f t="shared" si="15"/>
        <v/>
      </c>
      <c r="BY7" t="str">
        <f t="shared" si="16"/>
        <v/>
      </c>
      <c r="BZ7" t="str">
        <f t="shared" si="17"/>
        <v/>
      </c>
      <c r="CA7" t="str">
        <f t="shared" si="48"/>
        <v/>
      </c>
      <c r="CB7" t="str">
        <f t="shared" si="18"/>
        <v/>
      </c>
      <c r="CC7" t="str">
        <f t="shared" si="19"/>
        <v/>
      </c>
      <c r="CD7" t="str">
        <f t="shared" si="20"/>
        <v/>
      </c>
      <c r="CE7" t="str">
        <f t="shared" si="21"/>
        <v/>
      </c>
      <c r="CH7" t="str">
        <f t="shared" si="22"/>
        <v/>
      </c>
      <c r="CP7" t="str">
        <f t="shared" si="23"/>
        <v/>
      </c>
      <c r="CV7" t="str">
        <f t="shared" si="24"/>
        <v/>
      </c>
      <c r="CW7" t="str">
        <f t="shared" si="25"/>
        <v/>
      </c>
      <c r="CY7" t="str">
        <f t="shared" si="26"/>
        <v>[TagPrefixFull]Transformer_InterlockOK</v>
      </c>
      <c r="CZ7" t="str">
        <f t="shared" si="27"/>
        <v>[TagPrefixFull]Transformer_InterlockOK</v>
      </c>
      <c r="DB7">
        <f t="shared" si="49"/>
        <v>1</v>
      </c>
      <c r="DE7" t="str">
        <f t="shared" si="50"/>
        <v/>
      </c>
      <c r="DF7" t="str">
        <f t="shared" si="51"/>
        <v/>
      </c>
      <c r="DG7" t="str">
        <f t="shared" si="28"/>
        <v>[TrendPrefixOverride][TagPrefixFull]Transformer_InterlockOK\[TagPrefixFull]Transformer_InterlockOK</v>
      </c>
      <c r="DH7" t="str">
        <f t="shared" si="29"/>
        <v>25</v>
      </c>
      <c r="DI7" t="str">
        <f t="shared" si="30"/>
        <v>00:00:00</v>
      </c>
      <c r="DJ7" t="str">
        <f t="shared" si="31"/>
        <v>Saturday</v>
      </c>
      <c r="DK7" t="str">
        <f t="shared" si="32"/>
        <v>[DigAlmName] - [Desc] - Transformer Interlocks Healthy</v>
      </c>
      <c r="DL7" t="str">
        <f t="shared" si="52"/>
        <v>TRN_PERIODIC</v>
      </c>
      <c r="DT7" t="str">
        <f t="shared" si="53"/>
        <v>Scaled (2-byte samples)</v>
      </c>
      <c r="DU7" t="str">
        <f t="shared" si="33"/>
        <v>[Cluster]</v>
      </c>
      <c r="DZ7" t="str">
        <f t="shared" si="34"/>
        <v>[Equip]</v>
      </c>
      <c r="EA7" t="e">
        <f t="shared" si="35"/>
        <v>#VALUE!</v>
      </c>
      <c r="EC7" t="str">
        <f t="shared" si="54"/>
        <v/>
      </c>
      <c r="ED7" t="str">
        <f t="shared" si="55"/>
        <v/>
      </c>
    </row>
    <row r="8" spans="1:166" x14ac:dyDescent="0.3">
      <c r="A8" t="s">
        <v>720</v>
      </c>
      <c r="B8" t="s">
        <v>79</v>
      </c>
      <c r="C8" t="s">
        <v>721</v>
      </c>
      <c r="K8" t="s">
        <v>721</v>
      </c>
      <c r="T8">
        <v>1</v>
      </c>
      <c r="AK8" t="str">
        <f t="shared" si="36"/>
        <v>Transformer_TripOK</v>
      </c>
      <c r="AL8" t="str">
        <f t="shared" si="37"/>
        <v>Transformer_TripOK</v>
      </c>
      <c r="AM8" t="b">
        <f t="shared" si="38"/>
        <v>1</v>
      </c>
      <c r="AN8" t="b">
        <f t="shared" si="0"/>
        <v>0</v>
      </c>
      <c r="AO8" t="b">
        <f t="shared" si="1"/>
        <v>1</v>
      </c>
      <c r="AP8" t="b">
        <f t="shared" si="2"/>
        <v>0</v>
      </c>
      <c r="AQ8" t="str">
        <f t="shared" si="3"/>
        <v>[TagPrefixFull]Transformer_TripOK</v>
      </c>
      <c r="AR8" t="str">
        <f>IF($AM8,VLOOKUP(B8,DataTypeMappings!$A$2:$B$18,2,"FALSE"),"")</f>
        <v>DIGITAL</v>
      </c>
      <c r="AS8" t="str">
        <f t="shared" si="4"/>
        <v>[PLC]</v>
      </c>
      <c r="AT8" t="str">
        <f t="shared" si="5"/>
        <v>[AddrPrefixFull]Transformer_TripOK</v>
      </c>
      <c r="AU8" t="str">
        <f t="shared" si="39"/>
        <v/>
      </c>
      <c r="AV8" t="str">
        <f t="shared" si="40"/>
        <v/>
      </c>
      <c r="AW8" t="str">
        <f t="shared" si="41"/>
        <v/>
      </c>
      <c r="AX8" t="str">
        <f t="shared" si="42"/>
        <v/>
      </c>
      <c r="AY8" t="str">
        <f t="shared" si="43"/>
        <v/>
      </c>
      <c r="AZ8" t="str">
        <f t="shared" si="44"/>
        <v/>
      </c>
      <c r="BA8" t="str">
        <f t="shared" si="6"/>
        <v>[Desc] - Transformer Trip Healthy</v>
      </c>
      <c r="BJ8" t="str">
        <f t="shared" si="7"/>
        <v>[Cluster]</v>
      </c>
      <c r="BK8" t="str">
        <f t="shared" si="8"/>
        <v>[Equip]</v>
      </c>
      <c r="BL8" t="str">
        <f t="shared" si="9"/>
        <v/>
      </c>
      <c r="BM8" t="str">
        <f t="shared" si="10"/>
        <v>[Historian]</v>
      </c>
      <c r="BN8" t="str">
        <f t="shared" si="11"/>
        <v>[DigAlmName]</v>
      </c>
      <c r="BO8" t="str">
        <f t="shared" si="12"/>
        <v>[Desc]</v>
      </c>
      <c r="BP8" t="str">
        <f t="shared" si="45"/>
        <v/>
      </c>
      <c r="BQ8">
        <f t="shared" si="46"/>
        <v>1</v>
      </c>
      <c r="BU8" t="str">
        <f t="shared" si="47"/>
        <v/>
      </c>
      <c r="BV8" t="str">
        <f t="shared" si="13"/>
        <v/>
      </c>
      <c r="BW8" t="str">
        <f t="shared" si="14"/>
        <v/>
      </c>
      <c r="BX8" t="str">
        <f t="shared" si="15"/>
        <v/>
      </c>
      <c r="BY8" t="str">
        <f t="shared" si="16"/>
        <v/>
      </c>
      <c r="BZ8" t="str">
        <f t="shared" si="17"/>
        <v/>
      </c>
      <c r="CA8" t="str">
        <f t="shared" si="48"/>
        <v/>
      </c>
      <c r="CB8" t="str">
        <f t="shared" si="18"/>
        <v/>
      </c>
      <c r="CC8" t="str">
        <f t="shared" si="19"/>
        <v/>
      </c>
      <c r="CD8" t="str">
        <f t="shared" si="20"/>
        <v/>
      </c>
      <c r="CE8" t="str">
        <f t="shared" si="21"/>
        <v/>
      </c>
      <c r="CH8" t="str">
        <f t="shared" si="22"/>
        <v/>
      </c>
      <c r="CP8" t="str">
        <f t="shared" si="23"/>
        <v/>
      </c>
      <c r="CV8" t="str">
        <f t="shared" si="24"/>
        <v/>
      </c>
      <c r="CW8" t="str">
        <f t="shared" si="25"/>
        <v/>
      </c>
      <c r="CY8" t="str">
        <f t="shared" si="26"/>
        <v>[TagPrefixFull]Transformer_TripOK</v>
      </c>
      <c r="CZ8" t="str">
        <f t="shared" si="27"/>
        <v>[TagPrefixFull]Transformer_TripOK</v>
      </c>
      <c r="DB8">
        <f t="shared" si="49"/>
        <v>1</v>
      </c>
      <c r="DE8" t="str">
        <f t="shared" si="50"/>
        <v/>
      </c>
      <c r="DF8" t="str">
        <f t="shared" si="51"/>
        <v/>
      </c>
      <c r="DG8" t="str">
        <f t="shared" si="28"/>
        <v>[TrendPrefixOverride][TagPrefixFull]Transformer_TripOK\[TagPrefixFull]Transformer_TripOK</v>
      </c>
      <c r="DH8" t="str">
        <f t="shared" si="29"/>
        <v>25</v>
      </c>
      <c r="DI8" t="str">
        <f t="shared" si="30"/>
        <v>00:00:00</v>
      </c>
      <c r="DJ8" t="str">
        <f t="shared" si="31"/>
        <v>Saturday</v>
      </c>
      <c r="DK8" t="str">
        <f t="shared" si="32"/>
        <v>[DigAlmName] - [Desc] - Transformer Trip Healthy</v>
      </c>
      <c r="DL8" t="str">
        <f t="shared" si="52"/>
        <v>TRN_PERIODIC</v>
      </c>
      <c r="DT8" t="str">
        <f t="shared" si="53"/>
        <v>Scaled (2-byte samples)</v>
      </c>
      <c r="DU8" t="str">
        <f t="shared" si="33"/>
        <v>[Cluster]</v>
      </c>
      <c r="DZ8" t="str">
        <f t="shared" si="34"/>
        <v>[Equip]</v>
      </c>
      <c r="EA8" t="e">
        <f t="shared" si="35"/>
        <v>#VALUE!</v>
      </c>
      <c r="EC8" t="str">
        <f t="shared" si="54"/>
        <v/>
      </c>
      <c r="ED8" t="str">
        <f t="shared" si="55"/>
        <v/>
      </c>
    </row>
    <row r="9" spans="1:166" x14ac:dyDescent="0.3">
      <c r="A9" t="s">
        <v>727</v>
      </c>
      <c r="B9" t="s">
        <v>79</v>
      </c>
      <c r="C9" t="s">
        <v>728</v>
      </c>
      <c r="K9" t="s">
        <v>728</v>
      </c>
      <c r="T9">
        <v>1</v>
      </c>
      <c r="AK9" t="str">
        <f t="shared" si="36"/>
        <v>Transformer_WarnOK</v>
      </c>
      <c r="AL9" t="str">
        <f t="shared" si="37"/>
        <v>Transformer_WarnOK</v>
      </c>
      <c r="AM9" t="b">
        <f t="shared" si="38"/>
        <v>1</v>
      </c>
      <c r="AN9" t="b">
        <f t="shared" si="0"/>
        <v>0</v>
      </c>
      <c r="AO9" t="b">
        <f t="shared" si="1"/>
        <v>1</v>
      </c>
      <c r="AP9" t="b">
        <f t="shared" si="2"/>
        <v>0</v>
      </c>
      <c r="AQ9" t="str">
        <f t="shared" si="3"/>
        <v>[TagPrefixFull]Transformer_WarnOK</v>
      </c>
      <c r="AR9" t="str">
        <f>IF($AM9,VLOOKUP(B9,DataTypeMappings!$A$2:$B$18,2,"FALSE"),"")</f>
        <v>DIGITAL</v>
      </c>
      <c r="AS9" t="str">
        <f t="shared" si="4"/>
        <v>[PLC]</v>
      </c>
      <c r="AT9" t="str">
        <f t="shared" si="5"/>
        <v>[AddrPrefixFull]Transformer_WarnOK</v>
      </c>
      <c r="AU9" t="str">
        <f t="shared" si="39"/>
        <v/>
      </c>
      <c r="AV9" t="str">
        <f t="shared" si="40"/>
        <v/>
      </c>
      <c r="AW9" t="str">
        <f t="shared" si="41"/>
        <v/>
      </c>
      <c r="AX9" t="str">
        <f t="shared" si="42"/>
        <v/>
      </c>
      <c r="AY9" t="str">
        <f t="shared" si="43"/>
        <v/>
      </c>
      <c r="AZ9" t="str">
        <f t="shared" si="44"/>
        <v/>
      </c>
      <c r="BA9" t="str">
        <f t="shared" si="6"/>
        <v>[Desc] - Transformer Warning Healthy</v>
      </c>
      <c r="BJ9" t="str">
        <f t="shared" si="7"/>
        <v>[Cluster]</v>
      </c>
      <c r="BK9" t="str">
        <f t="shared" si="8"/>
        <v>[Equip]</v>
      </c>
      <c r="BL9" t="str">
        <f t="shared" si="9"/>
        <v/>
      </c>
      <c r="BM9" t="str">
        <f t="shared" si="10"/>
        <v>[Historian]</v>
      </c>
      <c r="BN9" t="str">
        <f t="shared" si="11"/>
        <v>[DigAlmName]</v>
      </c>
      <c r="BO9" t="str">
        <f t="shared" si="12"/>
        <v>[Desc]</v>
      </c>
      <c r="BP9" t="str">
        <f t="shared" si="45"/>
        <v/>
      </c>
      <c r="BQ9">
        <f t="shared" si="46"/>
        <v>1</v>
      </c>
      <c r="BU9" t="str">
        <f t="shared" si="47"/>
        <v/>
      </c>
      <c r="BV9" t="str">
        <f t="shared" si="13"/>
        <v/>
      </c>
      <c r="BW9" t="str">
        <f t="shared" si="14"/>
        <v/>
      </c>
      <c r="BX9" t="str">
        <f t="shared" si="15"/>
        <v/>
      </c>
      <c r="BY9" t="str">
        <f t="shared" si="16"/>
        <v/>
      </c>
      <c r="BZ9" t="str">
        <f t="shared" si="17"/>
        <v/>
      </c>
      <c r="CA9" t="str">
        <f t="shared" si="48"/>
        <v/>
      </c>
      <c r="CB9" t="str">
        <f t="shared" si="18"/>
        <v/>
      </c>
      <c r="CC9" t="str">
        <f t="shared" si="19"/>
        <v/>
      </c>
      <c r="CD9" t="str">
        <f t="shared" si="20"/>
        <v/>
      </c>
      <c r="CE9" t="str">
        <f t="shared" si="21"/>
        <v/>
      </c>
      <c r="CH9" t="str">
        <f t="shared" si="22"/>
        <v/>
      </c>
      <c r="CP9" t="str">
        <f t="shared" si="23"/>
        <v/>
      </c>
      <c r="CV9" t="str">
        <f t="shared" si="24"/>
        <v/>
      </c>
      <c r="CW9" t="str">
        <f t="shared" si="25"/>
        <v/>
      </c>
      <c r="CY9" t="str">
        <f t="shared" si="26"/>
        <v>[TagPrefixFull]Transformer_WarnOK</v>
      </c>
      <c r="CZ9" t="str">
        <f t="shared" si="27"/>
        <v>[TagPrefixFull]Transformer_WarnOK</v>
      </c>
      <c r="DB9">
        <f t="shared" si="49"/>
        <v>1</v>
      </c>
      <c r="DE9" t="str">
        <f t="shared" si="50"/>
        <v/>
      </c>
      <c r="DF9" t="str">
        <f t="shared" si="51"/>
        <v/>
      </c>
      <c r="DG9" t="str">
        <f t="shared" si="28"/>
        <v>[TrendPrefixOverride][TagPrefixFull]Transformer_WarnOK\[TagPrefixFull]Transformer_WarnOK</v>
      </c>
      <c r="DH9" t="str">
        <f t="shared" si="29"/>
        <v>25</v>
      </c>
      <c r="DI9" t="str">
        <f t="shared" si="30"/>
        <v>00:00:00</v>
      </c>
      <c r="DJ9" t="str">
        <f t="shared" si="31"/>
        <v>Saturday</v>
      </c>
      <c r="DK9" t="str">
        <f t="shared" si="32"/>
        <v>[DigAlmName] - [Desc] - Transformer Warning Healthy</v>
      </c>
      <c r="DL9" t="str">
        <f t="shared" si="52"/>
        <v>TRN_PERIODIC</v>
      </c>
      <c r="DT9" t="str">
        <f t="shared" si="53"/>
        <v>Scaled (2-byte samples)</v>
      </c>
      <c r="DU9" t="str">
        <f t="shared" si="33"/>
        <v>[Cluster]</v>
      </c>
      <c r="DZ9" t="str">
        <f t="shared" si="34"/>
        <v>[Equip]</v>
      </c>
      <c r="EA9" t="e">
        <f t="shared" si="35"/>
        <v>#VALUE!</v>
      </c>
      <c r="EC9" t="str">
        <f t="shared" si="54"/>
        <v/>
      </c>
      <c r="ED9" t="str">
        <f t="shared" si="55"/>
        <v/>
      </c>
    </row>
    <row r="10" spans="1:166" x14ac:dyDescent="0.3">
      <c r="A10" t="s">
        <v>803</v>
      </c>
      <c r="B10" t="s">
        <v>79</v>
      </c>
      <c r="C10" t="s">
        <v>806</v>
      </c>
      <c r="K10" t="s">
        <v>806</v>
      </c>
      <c r="T10">
        <v>1</v>
      </c>
      <c r="AK10" t="str">
        <f t="shared" si="36"/>
        <v>PumpCB_InterlockOK</v>
      </c>
      <c r="AL10" t="str">
        <f t="shared" si="37"/>
        <v>PumpCB_InterlockOK</v>
      </c>
      <c r="AM10" t="b">
        <f t="shared" si="38"/>
        <v>1</v>
      </c>
      <c r="AN10" t="b">
        <f t="shared" si="0"/>
        <v>0</v>
      </c>
      <c r="AO10" t="b">
        <f t="shared" si="1"/>
        <v>1</v>
      </c>
      <c r="AP10" t="b">
        <f t="shared" si="2"/>
        <v>0</v>
      </c>
      <c r="AQ10" t="str">
        <f t="shared" si="3"/>
        <v>[TagPrefixFull]PumpCB_InterlockOK</v>
      </c>
      <c r="AR10" t="str">
        <f>IF($AM10,VLOOKUP(B10,DataTypeMappings!$A$2:$B$18,2,"FALSE"),"")</f>
        <v>DIGITAL</v>
      </c>
      <c r="AS10" t="str">
        <f t="shared" si="4"/>
        <v>[PLC]</v>
      </c>
      <c r="AT10" t="str">
        <f t="shared" si="5"/>
        <v>[AddrPrefixFull]PumpCB_InterlockOK</v>
      </c>
      <c r="AU10" t="str">
        <f t="shared" si="39"/>
        <v/>
      </c>
      <c r="AV10" t="str">
        <f t="shared" si="40"/>
        <v/>
      </c>
      <c r="AW10" t="str">
        <f t="shared" si="41"/>
        <v/>
      </c>
      <c r="AX10" t="str">
        <f t="shared" si="42"/>
        <v/>
      </c>
      <c r="AY10" t="str">
        <f t="shared" si="43"/>
        <v/>
      </c>
      <c r="AZ10" t="str">
        <f t="shared" si="44"/>
        <v/>
      </c>
      <c r="BA10" t="str">
        <f t="shared" si="6"/>
        <v>[Desc] - Pump CB Interlocks Healthy</v>
      </c>
      <c r="BJ10" t="str">
        <f t="shared" si="7"/>
        <v>[Cluster]</v>
      </c>
      <c r="BK10" t="str">
        <f t="shared" si="8"/>
        <v>[Equip]</v>
      </c>
      <c r="BL10" t="str">
        <f t="shared" si="9"/>
        <v/>
      </c>
      <c r="BM10" t="str">
        <f t="shared" si="10"/>
        <v>[Historian]</v>
      </c>
      <c r="BN10" t="str">
        <f t="shared" si="11"/>
        <v>[DigAlmName]</v>
      </c>
      <c r="BO10" t="str">
        <f t="shared" si="12"/>
        <v>[Desc]</v>
      </c>
      <c r="BP10" t="str">
        <f t="shared" si="45"/>
        <v/>
      </c>
      <c r="BQ10">
        <f t="shared" si="46"/>
        <v>1</v>
      </c>
      <c r="BU10" t="str">
        <f t="shared" si="47"/>
        <v/>
      </c>
      <c r="BV10" t="str">
        <f t="shared" si="13"/>
        <v/>
      </c>
      <c r="BW10" t="str">
        <f t="shared" si="14"/>
        <v/>
      </c>
      <c r="BX10" t="str">
        <f t="shared" si="15"/>
        <v/>
      </c>
      <c r="BY10" t="str">
        <f t="shared" si="16"/>
        <v/>
      </c>
      <c r="BZ10" t="str">
        <f t="shared" si="17"/>
        <v/>
      </c>
      <c r="CA10" t="str">
        <f t="shared" si="48"/>
        <v/>
      </c>
      <c r="CB10" t="str">
        <f t="shared" si="18"/>
        <v/>
      </c>
      <c r="CC10" t="str">
        <f t="shared" si="19"/>
        <v/>
      </c>
      <c r="CD10" t="str">
        <f t="shared" si="20"/>
        <v/>
      </c>
      <c r="CE10" t="str">
        <f t="shared" si="21"/>
        <v/>
      </c>
      <c r="CH10" t="str">
        <f t="shared" si="22"/>
        <v/>
      </c>
      <c r="CP10" t="str">
        <f t="shared" si="23"/>
        <v/>
      </c>
      <c r="CV10" t="str">
        <f t="shared" si="24"/>
        <v/>
      </c>
      <c r="CW10" t="str">
        <f t="shared" si="25"/>
        <v/>
      </c>
      <c r="CY10" t="str">
        <f t="shared" si="26"/>
        <v>[TagPrefixFull]PumpCB_InterlockOK</v>
      </c>
      <c r="CZ10" t="str">
        <f t="shared" si="27"/>
        <v>[TagPrefixFull]PumpCB_InterlockOK</v>
      </c>
      <c r="DB10">
        <f t="shared" si="49"/>
        <v>1</v>
      </c>
      <c r="DE10" t="str">
        <f t="shared" si="50"/>
        <v/>
      </c>
      <c r="DF10" t="str">
        <f t="shared" si="51"/>
        <v/>
      </c>
      <c r="DG10" t="str">
        <f t="shared" si="28"/>
        <v>[TrendPrefixOverride][TagPrefixFull]PumpCB_InterlockOK\[TagPrefixFull]PumpCB_InterlockOK</v>
      </c>
      <c r="DH10" t="str">
        <f t="shared" si="29"/>
        <v>25</v>
      </c>
      <c r="DI10" t="str">
        <f t="shared" si="30"/>
        <v>00:00:00</v>
      </c>
      <c r="DJ10" t="str">
        <f t="shared" si="31"/>
        <v>Saturday</v>
      </c>
      <c r="DK10" t="str">
        <f t="shared" si="32"/>
        <v>[DigAlmName] - [Desc] - Pump CB Interlocks Healthy</v>
      </c>
      <c r="DL10" t="str">
        <f t="shared" si="52"/>
        <v>TRN_PERIODIC</v>
      </c>
      <c r="DT10" t="str">
        <f t="shared" si="53"/>
        <v>Scaled (2-byte samples)</v>
      </c>
      <c r="DU10" t="str">
        <f t="shared" si="33"/>
        <v>[Cluster]</v>
      </c>
      <c r="DZ10" t="str">
        <f t="shared" si="34"/>
        <v>[Equip]</v>
      </c>
      <c r="EA10" t="e">
        <f t="shared" si="35"/>
        <v>#VALUE!</v>
      </c>
      <c r="EC10" t="str">
        <f t="shared" si="54"/>
        <v/>
      </c>
      <c r="ED10" t="str">
        <f t="shared" si="55"/>
        <v/>
      </c>
    </row>
    <row r="11" spans="1:166" x14ac:dyDescent="0.3">
      <c r="A11" t="s">
        <v>804</v>
      </c>
      <c r="B11" t="s">
        <v>79</v>
      </c>
      <c r="C11" t="s">
        <v>807</v>
      </c>
      <c r="K11" t="s">
        <v>807</v>
      </c>
      <c r="T11">
        <v>1</v>
      </c>
      <c r="AK11" t="str">
        <f t="shared" si="36"/>
        <v>PumpCB_TripOK</v>
      </c>
      <c r="AL11" t="str">
        <f t="shared" si="37"/>
        <v>PumpCB_TripOK</v>
      </c>
      <c r="AM11" t="b">
        <f t="shared" si="38"/>
        <v>1</v>
      </c>
      <c r="AN11" t="b">
        <f t="shared" si="0"/>
        <v>0</v>
      </c>
      <c r="AO11" t="b">
        <f t="shared" si="1"/>
        <v>1</v>
      </c>
      <c r="AP11" t="b">
        <f t="shared" si="2"/>
        <v>0</v>
      </c>
      <c r="AQ11" t="str">
        <f t="shared" si="3"/>
        <v>[TagPrefixFull]PumpCB_TripOK</v>
      </c>
      <c r="AR11" t="str">
        <f>IF($AM11,VLOOKUP(B11,DataTypeMappings!$A$2:$B$18,2,"FALSE"),"")</f>
        <v>DIGITAL</v>
      </c>
      <c r="AS11" t="str">
        <f t="shared" si="4"/>
        <v>[PLC]</v>
      </c>
      <c r="AT11" t="str">
        <f t="shared" si="5"/>
        <v>[AddrPrefixFull]PumpCB_TripOK</v>
      </c>
      <c r="AU11" t="str">
        <f t="shared" si="39"/>
        <v/>
      </c>
      <c r="AV11" t="str">
        <f t="shared" si="40"/>
        <v/>
      </c>
      <c r="AW11" t="str">
        <f t="shared" si="41"/>
        <v/>
      </c>
      <c r="AX11" t="str">
        <f t="shared" si="42"/>
        <v/>
      </c>
      <c r="AY11" t="str">
        <f t="shared" si="43"/>
        <v/>
      </c>
      <c r="AZ11" t="str">
        <f t="shared" si="44"/>
        <v/>
      </c>
      <c r="BA11" t="str">
        <f t="shared" si="6"/>
        <v>[Desc] - Pump CB Trip Healthy</v>
      </c>
      <c r="BJ11" t="str">
        <f t="shared" si="7"/>
        <v>[Cluster]</v>
      </c>
      <c r="BK11" t="str">
        <f t="shared" si="8"/>
        <v>[Equip]</v>
      </c>
      <c r="BL11" t="str">
        <f t="shared" si="9"/>
        <v/>
      </c>
      <c r="BM11" t="str">
        <f t="shared" si="10"/>
        <v>[Historian]</v>
      </c>
      <c r="BN11" t="str">
        <f t="shared" si="11"/>
        <v>[DigAlmName]</v>
      </c>
      <c r="BO11" t="str">
        <f t="shared" si="12"/>
        <v>[Desc]</v>
      </c>
      <c r="BP11" t="str">
        <f t="shared" si="45"/>
        <v/>
      </c>
      <c r="BQ11">
        <f t="shared" si="46"/>
        <v>1</v>
      </c>
      <c r="BU11" t="str">
        <f t="shared" si="47"/>
        <v/>
      </c>
      <c r="BV11" t="str">
        <f t="shared" si="13"/>
        <v/>
      </c>
      <c r="BW11" t="str">
        <f t="shared" si="14"/>
        <v/>
      </c>
      <c r="BX11" t="str">
        <f t="shared" si="15"/>
        <v/>
      </c>
      <c r="BY11" t="str">
        <f t="shared" si="16"/>
        <v/>
      </c>
      <c r="BZ11" t="str">
        <f t="shared" si="17"/>
        <v/>
      </c>
      <c r="CA11" t="str">
        <f t="shared" si="48"/>
        <v/>
      </c>
      <c r="CB11" t="str">
        <f t="shared" si="18"/>
        <v/>
      </c>
      <c r="CC11" t="str">
        <f t="shared" si="19"/>
        <v/>
      </c>
      <c r="CD11" t="str">
        <f t="shared" si="20"/>
        <v/>
      </c>
      <c r="CE11" t="str">
        <f t="shared" si="21"/>
        <v/>
      </c>
      <c r="CH11" t="str">
        <f t="shared" si="22"/>
        <v/>
      </c>
      <c r="CP11" t="str">
        <f t="shared" si="23"/>
        <v/>
      </c>
      <c r="CV11" t="str">
        <f t="shared" si="24"/>
        <v/>
      </c>
      <c r="CW11" t="str">
        <f t="shared" si="25"/>
        <v/>
      </c>
      <c r="CY11" t="str">
        <f t="shared" si="26"/>
        <v>[TagPrefixFull]PumpCB_TripOK</v>
      </c>
      <c r="CZ11" t="str">
        <f t="shared" si="27"/>
        <v>[TagPrefixFull]PumpCB_TripOK</v>
      </c>
      <c r="DB11">
        <f t="shared" si="49"/>
        <v>1</v>
      </c>
      <c r="DE11" t="str">
        <f t="shared" si="50"/>
        <v/>
      </c>
      <c r="DF11" t="str">
        <f t="shared" si="51"/>
        <v/>
      </c>
      <c r="DG11" t="str">
        <f t="shared" si="28"/>
        <v>[TrendPrefixOverride][TagPrefixFull]PumpCB_TripOK\[TagPrefixFull]PumpCB_TripOK</v>
      </c>
      <c r="DH11" t="str">
        <f t="shared" si="29"/>
        <v>25</v>
      </c>
      <c r="DI11" t="str">
        <f t="shared" si="30"/>
        <v>00:00:00</v>
      </c>
      <c r="DJ11" t="str">
        <f t="shared" si="31"/>
        <v>Saturday</v>
      </c>
      <c r="DK11" t="str">
        <f t="shared" si="32"/>
        <v>[DigAlmName] - [Desc] - Pump CB Trip Healthy</v>
      </c>
      <c r="DL11" t="str">
        <f t="shared" si="52"/>
        <v>TRN_PERIODIC</v>
      </c>
      <c r="DT11" t="str">
        <f t="shared" si="53"/>
        <v>Scaled (2-byte samples)</v>
      </c>
      <c r="DU11" t="str">
        <f t="shared" si="33"/>
        <v>[Cluster]</v>
      </c>
      <c r="DZ11" t="str">
        <f t="shared" si="34"/>
        <v>[Equip]</v>
      </c>
      <c r="EA11" t="e">
        <f t="shared" si="35"/>
        <v>#VALUE!</v>
      </c>
      <c r="EC11" t="str">
        <f t="shared" si="54"/>
        <v/>
      </c>
      <c r="ED11" t="str">
        <f t="shared" si="55"/>
        <v/>
      </c>
    </row>
    <row r="12" spans="1:166" x14ac:dyDescent="0.3">
      <c r="A12" t="s">
        <v>805</v>
      </c>
      <c r="B12" t="s">
        <v>79</v>
      </c>
      <c r="C12" t="s">
        <v>808</v>
      </c>
      <c r="K12" t="s">
        <v>808</v>
      </c>
      <c r="T12">
        <v>1</v>
      </c>
      <c r="AF12" t="b">
        <v>1</v>
      </c>
      <c r="AK12" t="str">
        <f t="shared" si="36"/>
        <v>PumpCB_WarnOK</v>
      </c>
      <c r="AL12" t="str">
        <f t="shared" si="37"/>
        <v>PumpCB_WarnOK</v>
      </c>
      <c r="AM12" t="b">
        <f t="shared" si="38"/>
        <v>0</v>
      </c>
      <c r="AN12" t="b">
        <f t="shared" si="0"/>
        <v>0</v>
      </c>
      <c r="AO12" t="b">
        <f t="shared" si="1"/>
        <v>0</v>
      </c>
      <c r="AP12" t="b">
        <f t="shared" si="2"/>
        <v>0</v>
      </c>
      <c r="AQ12" t="str">
        <f t="shared" si="3"/>
        <v/>
      </c>
      <c r="AR12" t="str">
        <f>IF($AM12,VLOOKUP(B12,DataTypeMappings!$A$2:$B$18,2,"FALSE"),"")</f>
        <v/>
      </c>
      <c r="AS12" t="str">
        <f t="shared" si="4"/>
        <v/>
      </c>
      <c r="AT12" t="str">
        <f t="shared" si="5"/>
        <v/>
      </c>
      <c r="AU12" t="str">
        <f t="shared" si="39"/>
        <v/>
      </c>
      <c r="AV12" t="str">
        <f t="shared" si="40"/>
        <v/>
      </c>
      <c r="AW12" t="str">
        <f t="shared" si="41"/>
        <v/>
      </c>
      <c r="AX12" t="str">
        <f t="shared" si="42"/>
        <v/>
      </c>
      <c r="AY12" t="str">
        <f t="shared" si="43"/>
        <v/>
      </c>
      <c r="AZ12" t="str">
        <f t="shared" si="44"/>
        <v/>
      </c>
      <c r="BA12" t="str">
        <f t="shared" si="6"/>
        <v/>
      </c>
      <c r="BJ12" t="str">
        <f t="shared" si="7"/>
        <v/>
      </c>
      <c r="BK12" t="str">
        <f t="shared" si="8"/>
        <v/>
      </c>
      <c r="BL12" t="str">
        <f t="shared" si="9"/>
        <v/>
      </c>
      <c r="BM12" t="str">
        <f t="shared" si="10"/>
        <v/>
      </c>
      <c r="BN12" t="str">
        <f t="shared" si="11"/>
        <v/>
      </c>
      <c r="BO12" t="str">
        <f t="shared" si="12"/>
        <v/>
      </c>
      <c r="BP12" t="str">
        <f t="shared" si="45"/>
        <v/>
      </c>
      <c r="BQ12" t="str">
        <f t="shared" si="46"/>
        <v/>
      </c>
      <c r="BU12" t="str">
        <f t="shared" si="47"/>
        <v/>
      </c>
      <c r="BV12" t="str">
        <f t="shared" si="13"/>
        <v/>
      </c>
      <c r="BW12" t="str">
        <f t="shared" si="14"/>
        <v/>
      </c>
      <c r="BX12" t="str">
        <f t="shared" si="15"/>
        <v/>
      </c>
      <c r="BY12" t="str">
        <f t="shared" si="16"/>
        <v/>
      </c>
      <c r="BZ12" t="str">
        <f t="shared" si="17"/>
        <v/>
      </c>
      <c r="CA12" t="str">
        <f t="shared" si="48"/>
        <v/>
      </c>
      <c r="CB12" t="str">
        <f t="shared" si="18"/>
        <v/>
      </c>
      <c r="CC12" t="str">
        <f t="shared" si="19"/>
        <v/>
      </c>
      <c r="CD12" t="str">
        <f t="shared" si="20"/>
        <v/>
      </c>
      <c r="CE12" t="str">
        <f t="shared" si="21"/>
        <v/>
      </c>
      <c r="CH12" t="str">
        <f t="shared" si="22"/>
        <v/>
      </c>
      <c r="CP12" t="str">
        <f t="shared" si="23"/>
        <v/>
      </c>
      <c r="CV12" t="str">
        <f t="shared" si="24"/>
        <v/>
      </c>
      <c r="CW12" t="str">
        <f t="shared" si="25"/>
        <v/>
      </c>
      <c r="CY12" t="str">
        <f t="shared" si="26"/>
        <v/>
      </c>
      <c r="CZ12" t="str">
        <f t="shared" si="27"/>
        <v/>
      </c>
      <c r="DB12" t="str">
        <f t="shared" si="49"/>
        <v/>
      </c>
      <c r="DE12" t="str">
        <f t="shared" si="50"/>
        <v/>
      </c>
      <c r="DF12" t="str">
        <f t="shared" si="51"/>
        <v/>
      </c>
      <c r="DG12" t="str">
        <f t="shared" si="28"/>
        <v/>
      </c>
      <c r="DH12" t="str">
        <f t="shared" si="29"/>
        <v/>
      </c>
      <c r="DI12" t="str">
        <f t="shared" si="30"/>
        <v/>
      </c>
      <c r="DJ12" t="str">
        <f t="shared" si="31"/>
        <v/>
      </c>
      <c r="DK12" t="str">
        <f t="shared" si="32"/>
        <v/>
      </c>
      <c r="DL12" t="str">
        <f t="shared" si="52"/>
        <v/>
      </c>
      <c r="DT12" t="str">
        <f t="shared" si="53"/>
        <v/>
      </c>
      <c r="DU12" t="str">
        <f t="shared" si="33"/>
        <v/>
      </c>
      <c r="DZ12" t="str">
        <f t="shared" si="34"/>
        <v/>
      </c>
      <c r="EA12" t="str">
        <f t="shared" si="35"/>
        <v/>
      </c>
      <c r="EC12" t="str">
        <f t="shared" si="54"/>
        <v/>
      </c>
      <c r="ED12" t="str">
        <f t="shared" si="55"/>
        <v/>
      </c>
    </row>
    <row r="13" spans="1:166" x14ac:dyDescent="0.3">
      <c r="A13" t="s">
        <v>820</v>
      </c>
      <c r="B13" t="s">
        <v>79</v>
      </c>
      <c r="C13" t="s">
        <v>823</v>
      </c>
      <c r="K13" t="s">
        <v>823</v>
      </c>
      <c r="T13">
        <v>1</v>
      </c>
      <c r="AK13" t="str">
        <f t="shared" si="36"/>
        <v>PumpFeeder_InterlockOk</v>
      </c>
      <c r="AL13" t="str">
        <f t="shared" si="37"/>
        <v>PumpFeeder_InterlockOk</v>
      </c>
      <c r="AM13" t="b">
        <f t="shared" si="38"/>
        <v>1</v>
      </c>
      <c r="AN13" t="b">
        <f t="shared" si="0"/>
        <v>0</v>
      </c>
      <c r="AO13" t="b">
        <f t="shared" si="1"/>
        <v>1</v>
      </c>
      <c r="AP13" t="b">
        <f t="shared" si="2"/>
        <v>0</v>
      </c>
      <c r="AQ13" t="str">
        <f t="shared" si="3"/>
        <v>[TagPrefixFull]PumpFeeder_InterlockOk</v>
      </c>
      <c r="AR13" t="str">
        <f>IF($AM13,VLOOKUP(B13,DataTypeMappings!$A$2:$B$18,2,"FALSE"),"")</f>
        <v>DIGITAL</v>
      </c>
      <c r="AS13" t="str">
        <f t="shared" si="4"/>
        <v>[PLC]</v>
      </c>
      <c r="AT13" t="str">
        <f t="shared" si="5"/>
        <v>[AddrPrefixFull]PumpFeeder_InterlockOk</v>
      </c>
      <c r="AU13" t="str">
        <f t="shared" si="39"/>
        <v/>
      </c>
      <c r="AV13" t="str">
        <f t="shared" si="40"/>
        <v/>
      </c>
      <c r="AW13" t="str">
        <f t="shared" si="41"/>
        <v/>
      </c>
      <c r="AX13" t="str">
        <f t="shared" si="42"/>
        <v/>
      </c>
      <c r="AY13" t="str">
        <f t="shared" si="43"/>
        <v/>
      </c>
      <c r="AZ13" t="str">
        <f t="shared" si="44"/>
        <v/>
      </c>
      <c r="BA13" t="str">
        <f t="shared" si="6"/>
        <v>[Desc] - Pump Feeder Interlocks Healthy</v>
      </c>
      <c r="BJ13" t="str">
        <f t="shared" si="7"/>
        <v>[Cluster]</v>
      </c>
      <c r="BK13" t="str">
        <f t="shared" si="8"/>
        <v>[Equip]</v>
      </c>
      <c r="BL13" t="str">
        <f t="shared" si="9"/>
        <v/>
      </c>
      <c r="BM13" t="str">
        <f t="shared" si="10"/>
        <v>[Historian]</v>
      </c>
      <c r="BN13" t="str">
        <f t="shared" si="11"/>
        <v>[DigAlmName]</v>
      </c>
      <c r="BO13" t="str">
        <f t="shared" si="12"/>
        <v>[Desc]</v>
      </c>
      <c r="BP13" t="str">
        <f t="shared" si="45"/>
        <v/>
      </c>
      <c r="BQ13">
        <f t="shared" si="46"/>
        <v>1</v>
      </c>
      <c r="BU13" t="str">
        <f t="shared" si="47"/>
        <v/>
      </c>
      <c r="BV13" t="str">
        <f t="shared" si="13"/>
        <v/>
      </c>
      <c r="BW13" t="str">
        <f t="shared" si="14"/>
        <v/>
      </c>
      <c r="BX13" t="str">
        <f t="shared" si="15"/>
        <v/>
      </c>
      <c r="BY13" t="str">
        <f t="shared" si="16"/>
        <v/>
      </c>
      <c r="BZ13" t="str">
        <f t="shared" si="17"/>
        <v/>
      </c>
      <c r="CA13" t="str">
        <f t="shared" si="48"/>
        <v/>
      </c>
      <c r="CB13" t="str">
        <f t="shared" si="18"/>
        <v/>
      </c>
      <c r="CC13" t="str">
        <f t="shared" si="19"/>
        <v/>
      </c>
      <c r="CD13" t="str">
        <f t="shared" si="20"/>
        <v/>
      </c>
      <c r="CE13" t="str">
        <f t="shared" si="21"/>
        <v/>
      </c>
      <c r="CH13" t="str">
        <f t="shared" si="22"/>
        <v/>
      </c>
      <c r="CP13" t="str">
        <f t="shared" si="23"/>
        <v/>
      </c>
      <c r="CV13" t="str">
        <f t="shared" si="24"/>
        <v/>
      </c>
      <c r="CW13" t="str">
        <f t="shared" si="25"/>
        <v/>
      </c>
      <c r="CY13" t="str">
        <f t="shared" si="26"/>
        <v>[TagPrefixFull]PumpFeeder_InterlockOk</v>
      </c>
      <c r="CZ13" t="str">
        <f t="shared" si="27"/>
        <v>[TagPrefixFull]PumpFeeder_InterlockOk</v>
      </c>
      <c r="DB13">
        <f t="shared" si="49"/>
        <v>1</v>
      </c>
      <c r="DE13" t="str">
        <f t="shared" si="50"/>
        <v/>
      </c>
      <c r="DF13" t="str">
        <f t="shared" si="51"/>
        <v/>
      </c>
      <c r="DG13" t="str">
        <f t="shared" si="28"/>
        <v>[TrendPrefixOverride][TagPrefixFull]PumpFeeder_InterlockOk\[TagPrefixFull]PumpFeeder_InterlockOk</v>
      </c>
      <c r="DH13" t="str">
        <f t="shared" si="29"/>
        <v>25</v>
      </c>
      <c r="DI13" t="str">
        <f t="shared" si="30"/>
        <v>00:00:00</v>
      </c>
      <c r="DJ13" t="str">
        <f t="shared" si="31"/>
        <v>Saturday</v>
      </c>
      <c r="DK13" t="str">
        <f t="shared" si="32"/>
        <v>[DigAlmName] - [Desc] - Pump Feeder Interlocks Healthy</v>
      </c>
      <c r="DL13" t="str">
        <f t="shared" si="52"/>
        <v>TRN_PERIODIC</v>
      </c>
      <c r="DT13" t="str">
        <f t="shared" si="53"/>
        <v>Scaled (2-byte samples)</v>
      </c>
      <c r="DU13" t="str">
        <f t="shared" si="33"/>
        <v>[Cluster]</v>
      </c>
      <c r="DZ13" t="str">
        <f t="shared" si="34"/>
        <v>[Equip]</v>
      </c>
      <c r="EA13" t="e">
        <f t="shared" si="35"/>
        <v>#VALUE!</v>
      </c>
      <c r="EC13" t="str">
        <f t="shared" si="54"/>
        <v/>
      </c>
      <c r="ED13" t="str">
        <f t="shared" si="55"/>
        <v/>
      </c>
    </row>
    <row r="14" spans="1:166" x14ac:dyDescent="0.3">
      <c r="A14" t="s">
        <v>821</v>
      </c>
      <c r="B14" t="s">
        <v>79</v>
      </c>
      <c r="C14" t="s">
        <v>824</v>
      </c>
      <c r="K14" t="s">
        <v>824</v>
      </c>
      <c r="T14">
        <v>1</v>
      </c>
      <c r="AK14" t="str">
        <f t="shared" si="36"/>
        <v>PumpFeeder_TripOk</v>
      </c>
      <c r="AL14" t="str">
        <f t="shared" si="37"/>
        <v>PumpFeeder_TripOk</v>
      </c>
      <c r="AM14" t="b">
        <f t="shared" si="38"/>
        <v>1</v>
      </c>
      <c r="AN14" t="b">
        <f t="shared" si="0"/>
        <v>0</v>
      </c>
      <c r="AO14" t="b">
        <f t="shared" si="1"/>
        <v>1</v>
      </c>
      <c r="AP14" t="b">
        <f t="shared" si="2"/>
        <v>0</v>
      </c>
      <c r="AQ14" t="str">
        <f t="shared" si="3"/>
        <v>[TagPrefixFull]PumpFeeder_TripOk</v>
      </c>
      <c r="AR14" t="str">
        <f>IF($AM14,VLOOKUP(B14,DataTypeMappings!$A$2:$B$18,2,"FALSE"),"")</f>
        <v>DIGITAL</v>
      </c>
      <c r="AS14" t="str">
        <f t="shared" si="4"/>
        <v>[PLC]</v>
      </c>
      <c r="AT14" t="str">
        <f t="shared" si="5"/>
        <v>[AddrPrefixFull]PumpFeeder_TripOk</v>
      </c>
      <c r="AU14" t="str">
        <f t="shared" si="39"/>
        <v/>
      </c>
      <c r="AV14" t="str">
        <f t="shared" si="40"/>
        <v/>
      </c>
      <c r="AW14" t="str">
        <f t="shared" si="41"/>
        <v/>
      </c>
      <c r="AX14" t="str">
        <f t="shared" si="42"/>
        <v/>
      </c>
      <c r="AY14" t="str">
        <f t="shared" si="43"/>
        <v/>
      </c>
      <c r="AZ14" t="str">
        <f t="shared" si="44"/>
        <v/>
      </c>
      <c r="BA14" t="str">
        <f t="shared" si="6"/>
        <v>[Desc] - Pump Feeder Trips Healthy</v>
      </c>
      <c r="BJ14" t="str">
        <f t="shared" si="7"/>
        <v>[Cluster]</v>
      </c>
      <c r="BK14" t="str">
        <f t="shared" si="8"/>
        <v>[Equip]</v>
      </c>
      <c r="BL14" t="str">
        <f t="shared" si="9"/>
        <v/>
      </c>
      <c r="BM14" t="str">
        <f t="shared" si="10"/>
        <v>[Historian]</v>
      </c>
      <c r="BN14" t="str">
        <f t="shared" si="11"/>
        <v>[DigAlmName]</v>
      </c>
      <c r="BO14" t="str">
        <f t="shared" si="12"/>
        <v>[Desc]</v>
      </c>
      <c r="BP14" t="str">
        <f t="shared" si="45"/>
        <v/>
      </c>
      <c r="BQ14">
        <f t="shared" si="46"/>
        <v>1</v>
      </c>
      <c r="BU14" t="str">
        <f t="shared" si="47"/>
        <v/>
      </c>
      <c r="BV14" t="str">
        <f t="shared" si="13"/>
        <v/>
      </c>
      <c r="BW14" t="str">
        <f t="shared" si="14"/>
        <v/>
      </c>
      <c r="BX14" t="str">
        <f t="shared" si="15"/>
        <v/>
      </c>
      <c r="BY14" t="str">
        <f t="shared" si="16"/>
        <v/>
      </c>
      <c r="BZ14" t="str">
        <f t="shared" si="17"/>
        <v/>
      </c>
      <c r="CA14" t="str">
        <f t="shared" si="48"/>
        <v/>
      </c>
      <c r="CB14" t="str">
        <f t="shared" si="18"/>
        <v/>
      </c>
      <c r="CC14" t="str">
        <f t="shared" si="19"/>
        <v/>
      </c>
      <c r="CD14" t="str">
        <f t="shared" si="20"/>
        <v/>
      </c>
      <c r="CE14" t="str">
        <f t="shared" si="21"/>
        <v/>
      </c>
      <c r="CH14" t="str">
        <f t="shared" si="22"/>
        <v/>
      </c>
      <c r="CP14" t="str">
        <f t="shared" si="23"/>
        <v/>
      </c>
      <c r="CV14" t="str">
        <f t="shared" si="24"/>
        <v/>
      </c>
      <c r="CW14" t="str">
        <f t="shared" si="25"/>
        <v/>
      </c>
      <c r="CY14" t="str">
        <f t="shared" si="26"/>
        <v>[TagPrefixFull]PumpFeeder_TripOk</v>
      </c>
      <c r="CZ14" t="str">
        <f t="shared" si="27"/>
        <v>[TagPrefixFull]PumpFeeder_TripOk</v>
      </c>
      <c r="DB14">
        <f t="shared" si="49"/>
        <v>1</v>
      </c>
      <c r="DE14" t="str">
        <f t="shared" si="50"/>
        <v/>
      </c>
      <c r="DF14" t="str">
        <f t="shared" si="51"/>
        <v/>
      </c>
      <c r="DG14" t="str">
        <f t="shared" si="28"/>
        <v>[TrendPrefixOverride][TagPrefixFull]PumpFeeder_TripOk\[TagPrefixFull]PumpFeeder_TripOk</v>
      </c>
      <c r="DH14" t="str">
        <f t="shared" si="29"/>
        <v>25</v>
      </c>
      <c r="DI14" t="str">
        <f t="shared" si="30"/>
        <v>00:00:00</v>
      </c>
      <c r="DJ14" t="str">
        <f t="shared" si="31"/>
        <v>Saturday</v>
      </c>
      <c r="DK14" t="str">
        <f t="shared" si="32"/>
        <v>[DigAlmName] - [Desc] - Pump Feeder Trips Healthy</v>
      </c>
      <c r="DL14" t="str">
        <f t="shared" si="52"/>
        <v>TRN_PERIODIC</v>
      </c>
      <c r="DT14" t="str">
        <f t="shared" si="53"/>
        <v>Scaled (2-byte samples)</v>
      </c>
      <c r="DU14" t="str">
        <f t="shared" si="33"/>
        <v>[Cluster]</v>
      </c>
      <c r="DZ14" t="str">
        <f t="shared" si="34"/>
        <v>[Equip]</v>
      </c>
      <c r="EA14" t="e">
        <f t="shared" si="35"/>
        <v>#VALUE!</v>
      </c>
      <c r="EC14" t="str">
        <f t="shared" si="54"/>
        <v/>
      </c>
      <c r="ED14" t="str">
        <f t="shared" si="55"/>
        <v/>
      </c>
    </row>
    <row r="15" spans="1:166" x14ac:dyDescent="0.3">
      <c r="A15" t="s">
        <v>822</v>
      </c>
      <c r="B15" t="s">
        <v>79</v>
      </c>
      <c r="C15" t="s">
        <v>825</v>
      </c>
      <c r="K15" t="s">
        <v>825</v>
      </c>
      <c r="T15">
        <v>1</v>
      </c>
      <c r="AF15" t="b">
        <v>1</v>
      </c>
      <c r="AK15" t="str">
        <f t="shared" si="36"/>
        <v>PumpFeeder_WarnOk</v>
      </c>
      <c r="AL15" t="str">
        <f t="shared" si="37"/>
        <v>PumpFeeder_WarnOk</v>
      </c>
      <c r="AM15" t="b">
        <f t="shared" si="38"/>
        <v>0</v>
      </c>
      <c r="AN15" t="b">
        <f t="shared" si="0"/>
        <v>0</v>
      </c>
      <c r="AO15" t="b">
        <f t="shared" si="1"/>
        <v>0</v>
      </c>
      <c r="AP15" t="b">
        <f t="shared" si="2"/>
        <v>0</v>
      </c>
      <c r="AQ15" t="str">
        <f t="shared" si="3"/>
        <v/>
      </c>
      <c r="AR15" t="str">
        <f>IF($AM15,VLOOKUP(B15,DataTypeMappings!$A$2:$B$18,2,"FALSE"),"")</f>
        <v/>
      </c>
      <c r="AS15" t="str">
        <f t="shared" si="4"/>
        <v/>
      </c>
      <c r="AT15" t="str">
        <f t="shared" si="5"/>
        <v/>
      </c>
      <c r="AU15" t="str">
        <f t="shared" si="39"/>
        <v/>
      </c>
      <c r="AV15" t="str">
        <f t="shared" si="40"/>
        <v/>
      </c>
      <c r="AW15" t="str">
        <f t="shared" si="41"/>
        <v/>
      </c>
      <c r="AX15" t="str">
        <f t="shared" si="42"/>
        <v/>
      </c>
      <c r="AY15" t="str">
        <f t="shared" si="43"/>
        <v/>
      </c>
      <c r="AZ15" t="str">
        <f t="shared" si="44"/>
        <v/>
      </c>
      <c r="BA15" t="str">
        <f t="shared" si="6"/>
        <v/>
      </c>
      <c r="BJ15" t="str">
        <f t="shared" si="7"/>
        <v/>
      </c>
      <c r="BK15" t="str">
        <f t="shared" si="8"/>
        <v/>
      </c>
      <c r="BL15" t="str">
        <f t="shared" si="9"/>
        <v/>
      </c>
      <c r="BM15" t="str">
        <f t="shared" si="10"/>
        <v/>
      </c>
      <c r="BN15" t="str">
        <f t="shared" si="11"/>
        <v/>
      </c>
      <c r="BO15" t="str">
        <f t="shared" si="12"/>
        <v/>
      </c>
      <c r="BP15" t="str">
        <f t="shared" si="45"/>
        <v/>
      </c>
      <c r="BQ15" t="str">
        <f t="shared" si="46"/>
        <v/>
      </c>
      <c r="BU15" t="str">
        <f t="shared" si="47"/>
        <v/>
      </c>
      <c r="BV15" t="str">
        <f t="shared" si="13"/>
        <v/>
      </c>
      <c r="BW15" t="str">
        <f t="shared" si="14"/>
        <v/>
      </c>
      <c r="BX15" t="str">
        <f t="shared" si="15"/>
        <v/>
      </c>
      <c r="BY15" t="str">
        <f t="shared" si="16"/>
        <v/>
      </c>
      <c r="BZ15" t="str">
        <f t="shared" si="17"/>
        <v/>
      </c>
      <c r="CA15" t="str">
        <f t="shared" si="48"/>
        <v/>
      </c>
      <c r="CB15" t="str">
        <f t="shared" si="18"/>
        <v/>
      </c>
      <c r="CC15" t="str">
        <f t="shared" si="19"/>
        <v/>
      </c>
      <c r="CD15" t="str">
        <f t="shared" si="20"/>
        <v/>
      </c>
      <c r="CE15" t="str">
        <f t="shared" si="21"/>
        <v/>
      </c>
      <c r="CH15" t="str">
        <f t="shared" si="22"/>
        <v/>
      </c>
      <c r="CP15" t="str">
        <f t="shared" si="23"/>
        <v/>
      </c>
      <c r="CV15" t="str">
        <f t="shared" si="24"/>
        <v/>
      </c>
      <c r="CW15" t="str">
        <f t="shared" si="25"/>
        <v/>
      </c>
      <c r="CY15" t="str">
        <f t="shared" si="26"/>
        <v/>
      </c>
      <c r="CZ15" t="str">
        <f t="shared" si="27"/>
        <v/>
      </c>
      <c r="DB15" t="str">
        <f t="shared" si="49"/>
        <v/>
      </c>
      <c r="DE15" t="str">
        <f t="shared" si="50"/>
        <v/>
      </c>
      <c r="DF15" t="str">
        <f t="shared" si="51"/>
        <v/>
      </c>
      <c r="DG15" t="str">
        <f t="shared" si="28"/>
        <v/>
      </c>
      <c r="DH15" t="str">
        <f t="shared" si="29"/>
        <v/>
      </c>
      <c r="DI15" t="str">
        <f t="shared" si="30"/>
        <v/>
      </c>
      <c r="DJ15" t="str">
        <f t="shared" si="31"/>
        <v/>
      </c>
      <c r="DK15" t="str">
        <f t="shared" si="32"/>
        <v/>
      </c>
      <c r="DL15" t="str">
        <f t="shared" si="52"/>
        <v/>
      </c>
      <c r="DT15" t="str">
        <f t="shared" si="53"/>
        <v/>
      </c>
      <c r="DU15" t="str">
        <f t="shared" si="33"/>
        <v/>
      </c>
      <c r="DZ15" t="str">
        <f t="shared" si="34"/>
        <v/>
      </c>
      <c r="EA15" t="str">
        <f t="shared" si="35"/>
        <v/>
      </c>
      <c r="EC15" t="str">
        <f t="shared" si="54"/>
        <v/>
      </c>
      <c r="ED15" t="str">
        <f t="shared" si="55"/>
        <v/>
      </c>
    </row>
    <row r="16" spans="1:166" x14ac:dyDescent="0.3">
      <c r="A16" t="s">
        <v>705</v>
      </c>
      <c r="B16" t="s">
        <v>79</v>
      </c>
      <c r="C16" t="s">
        <v>706</v>
      </c>
      <c r="K16" t="s">
        <v>706</v>
      </c>
      <c r="T16">
        <v>1</v>
      </c>
      <c r="AK16" t="str">
        <f t="shared" si="36"/>
        <v>FaceFeeders_InterlockOk</v>
      </c>
      <c r="AL16" t="str">
        <f t="shared" si="37"/>
        <v>FaceFeeders_InterlockOk</v>
      </c>
      <c r="AM16" t="b">
        <f t="shared" si="38"/>
        <v>1</v>
      </c>
      <c r="AN16" t="b">
        <f t="shared" si="0"/>
        <v>0</v>
      </c>
      <c r="AO16" t="b">
        <f t="shared" si="1"/>
        <v>1</v>
      </c>
      <c r="AP16" t="b">
        <f t="shared" si="2"/>
        <v>0</v>
      </c>
      <c r="AQ16" t="str">
        <f t="shared" si="3"/>
        <v>[TagPrefixFull]FaceFeeders_InterlockOk</v>
      </c>
      <c r="AR16" t="str">
        <f>IF($AM16,VLOOKUP(B16,DataTypeMappings!$A$2:$B$18,2,"FALSE"),"")</f>
        <v>DIGITAL</v>
      </c>
      <c r="AS16" t="str">
        <f t="shared" si="4"/>
        <v>[PLC]</v>
      </c>
      <c r="AT16" t="str">
        <f t="shared" si="5"/>
        <v>[AddrPrefixFull]FaceFeeders_InterlockOk</v>
      </c>
      <c r="AU16" t="str">
        <f t="shared" si="39"/>
        <v/>
      </c>
      <c r="AV16" t="str">
        <f t="shared" si="40"/>
        <v/>
      </c>
      <c r="AW16" t="str">
        <f t="shared" si="41"/>
        <v/>
      </c>
      <c r="AX16" t="str">
        <f t="shared" si="42"/>
        <v/>
      </c>
      <c r="AY16" t="str">
        <f t="shared" si="43"/>
        <v/>
      </c>
      <c r="AZ16" t="str">
        <f t="shared" si="44"/>
        <v/>
      </c>
      <c r="BA16" t="str">
        <f t="shared" si="6"/>
        <v>[Desc] - Face Feeders Interlocks Healthy</v>
      </c>
      <c r="BJ16" t="str">
        <f t="shared" si="7"/>
        <v>[Cluster]</v>
      </c>
      <c r="BK16" t="str">
        <f t="shared" si="8"/>
        <v>[Equip]</v>
      </c>
      <c r="BL16" t="str">
        <f t="shared" si="9"/>
        <v/>
      </c>
      <c r="BM16" t="str">
        <f t="shared" si="10"/>
        <v>[Historian]</v>
      </c>
      <c r="BN16" t="str">
        <f t="shared" si="11"/>
        <v>[DigAlmName]</v>
      </c>
      <c r="BO16" t="str">
        <f t="shared" si="12"/>
        <v>[Desc]</v>
      </c>
      <c r="BP16" t="str">
        <f t="shared" si="45"/>
        <v/>
      </c>
      <c r="BQ16">
        <f t="shared" si="46"/>
        <v>1</v>
      </c>
      <c r="BU16" t="str">
        <f t="shared" si="47"/>
        <v/>
      </c>
      <c r="BV16" t="str">
        <f t="shared" si="13"/>
        <v/>
      </c>
      <c r="BW16" t="str">
        <f t="shared" si="14"/>
        <v/>
      </c>
      <c r="BX16" t="str">
        <f t="shared" si="15"/>
        <v/>
      </c>
      <c r="BY16" t="str">
        <f t="shared" si="16"/>
        <v/>
      </c>
      <c r="BZ16" t="str">
        <f t="shared" si="17"/>
        <v/>
      </c>
      <c r="CA16" t="str">
        <f t="shared" si="48"/>
        <v/>
      </c>
      <c r="CB16" t="str">
        <f t="shared" si="18"/>
        <v/>
      </c>
      <c r="CC16" t="str">
        <f t="shared" si="19"/>
        <v/>
      </c>
      <c r="CD16" t="str">
        <f t="shared" si="20"/>
        <v/>
      </c>
      <c r="CE16" t="str">
        <f t="shared" si="21"/>
        <v/>
      </c>
      <c r="CH16" t="str">
        <f t="shared" si="22"/>
        <v/>
      </c>
      <c r="CP16" t="str">
        <f t="shared" si="23"/>
        <v/>
      </c>
      <c r="CV16" t="str">
        <f t="shared" si="24"/>
        <v/>
      </c>
      <c r="CW16" t="str">
        <f t="shared" si="25"/>
        <v/>
      </c>
      <c r="CY16" t="str">
        <f t="shared" si="26"/>
        <v>[TagPrefixFull]FaceFeeders_InterlockOk</v>
      </c>
      <c r="CZ16" t="str">
        <f t="shared" si="27"/>
        <v>[TagPrefixFull]FaceFeeders_InterlockOk</v>
      </c>
      <c r="DB16">
        <f t="shared" si="49"/>
        <v>1</v>
      </c>
      <c r="DE16" t="str">
        <f t="shared" si="50"/>
        <v/>
      </c>
      <c r="DF16" t="str">
        <f t="shared" si="51"/>
        <v/>
      </c>
      <c r="DG16" t="str">
        <f t="shared" si="28"/>
        <v>[TrendPrefixOverride][TagPrefixFull]FaceFeeders_InterlockOk\[TagPrefixFull]FaceFeeders_InterlockOk</v>
      </c>
      <c r="DH16" t="str">
        <f t="shared" si="29"/>
        <v>25</v>
      </c>
      <c r="DI16" t="str">
        <f t="shared" si="30"/>
        <v>00:00:00</v>
      </c>
      <c r="DJ16" t="str">
        <f t="shared" si="31"/>
        <v>Saturday</v>
      </c>
      <c r="DK16" t="str">
        <f t="shared" si="32"/>
        <v>[DigAlmName] - [Desc] - Face Feeders Interlocks Healthy</v>
      </c>
      <c r="DL16" t="str">
        <f t="shared" si="52"/>
        <v>TRN_PERIODIC</v>
      </c>
      <c r="DT16" t="str">
        <f t="shared" si="53"/>
        <v>Scaled (2-byte samples)</v>
      </c>
      <c r="DU16" t="str">
        <f t="shared" si="33"/>
        <v>[Cluster]</v>
      </c>
      <c r="DZ16" t="str">
        <f t="shared" si="34"/>
        <v>[Equip]</v>
      </c>
      <c r="EA16" t="e">
        <f t="shared" si="35"/>
        <v>#VALUE!</v>
      </c>
      <c r="EC16" t="str">
        <f t="shared" si="54"/>
        <v/>
      </c>
      <c r="ED16" t="str">
        <f t="shared" si="55"/>
        <v/>
      </c>
    </row>
    <row r="17" spans="1:134" x14ac:dyDescent="0.3">
      <c r="A17" t="s">
        <v>627</v>
      </c>
      <c r="B17" t="s">
        <v>79</v>
      </c>
      <c r="C17" t="s">
        <v>628</v>
      </c>
      <c r="K17" t="s">
        <v>628</v>
      </c>
      <c r="T17">
        <v>1</v>
      </c>
      <c r="AK17" t="str">
        <f t="shared" si="36"/>
        <v>FaceFeeders_TripOk</v>
      </c>
      <c r="AL17" t="str">
        <f t="shared" si="37"/>
        <v>FaceFeeders_TripOk</v>
      </c>
      <c r="AM17" t="b">
        <f t="shared" si="38"/>
        <v>1</v>
      </c>
      <c r="AN17" t="b">
        <f t="shared" si="0"/>
        <v>0</v>
      </c>
      <c r="AO17" t="b">
        <f t="shared" si="1"/>
        <v>1</v>
      </c>
      <c r="AP17" t="b">
        <f t="shared" si="2"/>
        <v>0</v>
      </c>
      <c r="AQ17" t="str">
        <f t="shared" si="3"/>
        <v>[TagPrefixFull]FaceFeeders_TripOk</v>
      </c>
      <c r="AR17" t="str">
        <f>IF($AM17,VLOOKUP(B17,DataTypeMappings!$A$2:$B$18,2,"FALSE"),"")</f>
        <v>DIGITAL</v>
      </c>
      <c r="AS17" t="str">
        <f t="shared" si="4"/>
        <v>[PLC]</v>
      </c>
      <c r="AT17" t="str">
        <f t="shared" si="5"/>
        <v>[AddrPrefixFull]FaceFeeders_TripOk</v>
      </c>
      <c r="AU17" t="str">
        <f t="shared" si="39"/>
        <v/>
      </c>
      <c r="AV17" t="str">
        <f t="shared" si="40"/>
        <v/>
      </c>
      <c r="AW17" t="str">
        <f t="shared" si="41"/>
        <v/>
      </c>
      <c r="AX17" t="str">
        <f t="shared" si="42"/>
        <v/>
      </c>
      <c r="AY17" t="str">
        <f t="shared" si="43"/>
        <v/>
      </c>
      <c r="AZ17" t="str">
        <f t="shared" si="44"/>
        <v/>
      </c>
      <c r="BA17" t="str">
        <f t="shared" si="6"/>
        <v>[Desc] - Face Feeders Trips Healthy</v>
      </c>
      <c r="BJ17" t="str">
        <f t="shared" si="7"/>
        <v>[Cluster]</v>
      </c>
      <c r="BK17" t="str">
        <f t="shared" si="8"/>
        <v>[Equip]</v>
      </c>
      <c r="BL17" t="str">
        <f t="shared" si="9"/>
        <v/>
      </c>
      <c r="BM17" t="str">
        <f t="shared" si="10"/>
        <v>[Historian]</v>
      </c>
      <c r="BN17" t="str">
        <f t="shared" si="11"/>
        <v>[DigAlmName]</v>
      </c>
      <c r="BO17" t="str">
        <f t="shared" si="12"/>
        <v>[Desc]</v>
      </c>
      <c r="BP17" t="str">
        <f t="shared" si="45"/>
        <v/>
      </c>
      <c r="BQ17">
        <f t="shared" si="46"/>
        <v>1</v>
      </c>
      <c r="BU17" t="str">
        <f t="shared" si="47"/>
        <v/>
      </c>
      <c r="BV17" t="str">
        <f t="shared" si="13"/>
        <v/>
      </c>
      <c r="BW17" t="str">
        <f t="shared" si="14"/>
        <v/>
      </c>
      <c r="BX17" t="str">
        <f t="shared" si="15"/>
        <v/>
      </c>
      <c r="BY17" t="str">
        <f t="shared" si="16"/>
        <v/>
      </c>
      <c r="BZ17" t="str">
        <f t="shared" si="17"/>
        <v/>
      </c>
      <c r="CA17" t="str">
        <f t="shared" si="48"/>
        <v/>
      </c>
      <c r="CB17" t="str">
        <f t="shared" si="18"/>
        <v/>
      </c>
      <c r="CC17" t="str">
        <f t="shared" si="19"/>
        <v/>
      </c>
      <c r="CD17" t="str">
        <f t="shared" si="20"/>
        <v/>
      </c>
      <c r="CE17" t="str">
        <f t="shared" si="21"/>
        <v/>
      </c>
      <c r="CH17" t="str">
        <f t="shared" si="22"/>
        <v/>
      </c>
      <c r="CP17" t="str">
        <f t="shared" si="23"/>
        <v/>
      </c>
      <c r="CV17" t="str">
        <f t="shared" si="24"/>
        <v/>
      </c>
      <c r="CW17" t="str">
        <f t="shared" si="25"/>
        <v/>
      </c>
      <c r="CY17" t="str">
        <f t="shared" si="26"/>
        <v>[TagPrefixFull]FaceFeeders_TripOk</v>
      </c>
      <c r="CZ17" t="str">
        <f t="shared" si="27"/>
        <v>[TagPrefixFull]FaceFeeders_TripOk</v>
      </c>
      <c r="DB17">
        <f t="shared" si="49"/>
        <v>1</v>
      </c>
      <c r="DE17" t="str">
        <f t="shared" si="50"/>
        <v/>
      </c>
      <c r="DF17" t="str">
        <f t="shared" si="51"/>
        <v/>
      </c>
      <c r="DG17" t="str">
        <f t="shared" si="28"/>
        <v>[TrendPrefixOverride][TagPrefixFull]FaceFeeders_TripOk\[TagPrefixFull]FaceFeeders_TripOk</v>
      </c>
      <c r="DH17" t="str">
        <f t="shared" si="29"/>
        <v>25</v>
      </c>
      <c r="DI17" t="str">
        <f t="shared" si="30"/>
        <v>00:00:00</v>
      </c>
      <c r="DJ17" t="str">
        <f t="shared" si="31"/>
        <v>Saturday</v>
      </c>
      <c r="DK17" t="str">
        <f t="shared" si="32"/>
        <v>[DigAlmName] - [Desc] - Face Feeders Trips Healthy</v>
      </c>
      <c r="DL17" t="str">
        <f t="shared" si="52"/>
        <v>TRN_PERIODIC</v>
      </c>
      <c r="DT17" t="str">
        <f t="shared" si="53"/>
        <v>Scaled (2-byte samples)</v>
      </c>
      <c r="DU17" t="str">
        <f t="shared" si="33"/>
        <v>[Cluster]</v>
      </c>
      <c r="DZ17" t="str">
        <f t="shared" si="34"/>
        <v>[Equip]</v>
      </c>
      <c r="EA17" t="e">
        <f t="shared" si="35"/>
        <v>#VALUE!</v>
      </c>
      <c r="EC17" t="str">
        <f t="shared" si="54"/>
        <v/>
      </c>
      <c r="ED17" t="str">
        <f t="shared" si="55"/>
        <v/>
      </c>
    </row>
    <row r="18" spans="1:134" x14ac:dyDescent="0.3">
      <c r="A18" t="s">
        <v>801</v>
      </c>
      <c r="B18" t="s">
        <v>79</v>
      </c>
      <c r="C18" t="s">
        <v>802</v>
      </c>
      <c r="K18" t="s">
        <v>802</v>
      </c>
      <c r="T18">
        <v>1</v>
      </c>
      <c r="AF18" t="b">
        <v>1</v>
      </c>
      <c r="AK18" t="str">
        <f t="shared" si="36"/>
        <v>FaceFeeders_WarnOk</v>
      </c>
      <c r="AL18" t="str">
        <f t="shared" si="37"/>
        <v>FaceFeeders_WarnOk</v>
      </c>
      <c r="AM18" t="b">
        <f t="shared" si="38"/>
        <v>0</v>
      </c>
      <c r="AN18" t="b">
        <f t="shared" si="0"/>
        <v>0</v>
      </c>
      <c r="AO18" t="b">
        <f t="shared" si="1"/>
        <v>0</v>
      </c>
      <c r="AP18" t="b">
        <f t="shared" si="2"/>
        <v>0</v>
      </c>
      <c r="AQ18" t="str">
        <f t="shared" si="3"/>
        <v/>
      </c>
      <c r="AR18" t="str">
        <f>IF($AM18,VLOOKUP(B18,DataTypeMappings!$A$2:$B$18,2,"FALSE"),"")</f>
        <v/>
      </c>
      <c r="AS18" t="str">
        <f t="shared" si="4"/>
        <v/>
      </c>
      <c r="AT18" t="str">
        <f t="shared" si="5"/>
        <v/>
      </c>
      <c r="AU18" t="str">
        <f t="shared" si="39"/>
        <v/>
      </c>
      <c r="AV18" t="str">
        <f t="shared" si="40"/>
        <v/>
      </c>
      <c r="AW18" t="str">
        <f t="shared" si="41"/>
        <v/>
      </c>
      <c r="AX18" t="str">
        <f t="shared" si="42"/>
        <v/>
      </c>
      <c r="AY18" t="str">
        <f t="shared" si="43"/>
        <v/>
      </c>
      <c r="AZ18" t="str">
        <f t="shared" si="44"/>
        <v/>
      </c>
      <c r="BA18" t="str">
        <f t="shared" si="6"/>
        <v/>
      </c>
      <c r="BJ18" t="str">
        <f t="shared" si="7"/>
        <v/>
      </c>
      <c r="BK18" t="str">
        <f t="shared" si="8"/>
        <v/>
      </c>
      <c r="BL18" t="str">
        <f t="shared" si="9"/>
        <v/>
      </c>
      <c r="BM18" t="str">
        <f t="shared" si="10"/>
        <v/>
      </c>
      <c r="BN18" t="str">
        <f t="shared" si="11"/>
        <v/>
      </c>
      <c r="BO18" t="str">
        <f t="shared" si="12"/>
        <v/>
      </c>
      <c r="BP18" t="str">
        <f t="shared" si="45"/>
        <v/>
      </c>
      <c r="BQ18" t="str">
        <f t="shared" si="46"/>
        <v/>
      </c>
      <c r="BU18" t="str">
        <f t="shared" si="47"/>
        <v/>
      </c>
      <c r="BV18" t="str">
        <f t="shared" si="13"/>
        <v/>
      </c>
      <c r="BW18" t="str">
        <f t="shared" si="14"/>
        <v/>
      </c>
      <c r="BX18" t="str">
        <f t="shared" si="15"/>
        <v/>
      </c>
      <c r="BY18" t="str">
        <f t="shared" si="16"/>
        <v/>
      </c>
      <c r="BZ18" t="str">
        <f t="shared" si="17"/>
        <v/>
      </c>
      <c r="CA18" t="str">
        <f t="shared" si="48"/>
        <v/>
      </c>
      <c r="CB18" t="str">
        <f t="shared" si="18"/>
        <v/>
      </c>
      <c r="CC18" t="str">
        <f t="shared" si="19"/>
        <v/>
      </c>
      <c r="CD18" t="str">
        <f t="shared" si="20"/>
        <v/>
      </c>
      <c r="CE18" t="str">
        <f t="shared" si="21"/>
        <v/>
      </c>
      <c r="CH18" t="str">
        <f t="shared" si="22"/>
        <v/>
      </c>
      <c r="CP18" t="str">
        <f t="shared" si="23"/>
        <v/>
      </c>
      <c r="CV18" t="str">
        <f t="shared" si="24"/>
        <v/>
      </c>
      <c r="CW18" t="str">
        <f t="shared" si="25"/>
        <v/>
      </c>
      <c r="CY18" t="str">
        <f t="shared" si="26"/>
        <v/>
      </c>
      <c r="CZ18" t="str">
        <f t="shared" si="27"/>
        <v/>
      </c>
      <c r="DB18" t="str">
        <f t="shared" si="49"/>
        <v/>
      </c>
      <c r="DE18" t="str">
        <f t="shared" si="50"/>
        <v/>
      </c>
      <c r="DF18" t="str">
        <f t="shared" si="51"/>
        <v/>
      </c>
      <c r="DG18" t="str">
        <f t="shared" si="28"/>
        <v/>
      </c>
      <c r="DH18" t="str">
        <f t="shared" si="29"/>
        <v/>
      </c>
      <c r="DI18" t="str">
        <f t="shared" si="30"/>
        <v/>
      </c>
      <c r="DJ18" t="str">
        <f t="shared" si="31"/>
        <v/>
      </c>
      <c r="DK18" t="str">
        <f t="shared" si="32"/>
        <v/>
      </c>
      <c r="DL18" t="str">
        <f t="shared" si="52"/>
        <v/>
      </c>
      <c r="DT18" t="str">
        <f t="shared" si="53"/>
        <v/>
      </c>
      <c r="DU18" t="str">
        <f t="shared" si="33"/>
        <v/>
      </c>
      <c r="DZ18" t="str">
        <f t="shared" si="34"/>
        <v/>
      </c>
      <c r="EA18" t="str">
        <f t="shared" si="35"/>
        <v/>
      </c>
      <c r="EC18" t="str">
        <f t="shared" si="54"/>
        <v/>
      </c>
      <c r="ED18" t="str">
        <f t="shared" si="55"/>
        <v/>
      </c>
    </row>
    <row r="19" spans="1:134" x14ac:dyDescent="0.3">
      <c r="A19" t="s">
        <v>809</v>
      </c>
      <c r="B19" t="s">
        <v>79</v>
      </c>
      <c r="C19" t="s">
        <v>812</v>
      </c>
      <c r="K19" t="s">
        <v>812</v>
      </c>
      <c r="T19">
        <v>1</v>
      </c>
      <c r="AK19" t="str">
        <f t="shared" si="36"/>
        <v>Supply240_InterlockOK</v>
      </c>
      <c r="AL19" t="str">
        <f t="shared" si="37"/>
        <v>Supply240_InterlockOK</v>
      </c>
      <c r="AM19" t="b">
        <f t="shared" si="38"/>
        <v>1</v>
      </c>
      <c r="AN19" t="b">
        <f t="shared" si="0"/>
        <v>0</v>
      </c>
      <c r="AO19" t="b">
        <f t="shared" si="1"/>
        <v>1</v>
      </c>
      <c r="AP19" t="b">
        <f t="shared" si="2"/>
        <v>0</v>
      </c>
      <c r="AQ19" t="str">
        <f t="shared" si="3"/>
        <v>[TagPrefixFull]Supply240_InterlockOK</v>
      </c>
      <c r="AR19" t="str">
        <f>IF($AM19,VLOOKUP(B19,DataTypeMappings!$A$2:$B$18,2,"FALSE"),"")</f>
        <v>DIGITAL</v>
      </c>
      <c r="AS19" t="str">
        <f t="shared" si="4"/>
        <v>[PLC]</v>
      </c>
      <c r="AT19" t="str">
        <f t="shared" si="5"/>
        <v>[AddrPrefixFull]Supply240_InterlockOK</v>
      </c>
      <c r="AU19" t="str">
        <f t="shared" si="39"/>
        <v/>
      </c>
      <c r="AV19" t="str">
        <f t="shared" si="40"/>
        <v/>
      </c>
      <c r="AW19" t="str">
        <f t="shared" si="41"/>
        <v/>
      </c>
      <c r="AX19" t="str">
        <f t="shared" si="42"/>
        <v/>
      </c>
      <c r="AY19" t="str">
        <f t="shared" si="43"/>
        <v/>
      </c>
      <c r="AZ19" t="str">
        <f t="shared" si="44"/>
        <v/>
      </c>
      <c r="BA19" t="str">
        <f t="shared" si="6"/>
        <v>[Desc] - 240VAC Supply Interlocks Healthy</v>
      </c>
      <c r="BJ19" t="str">
        <f t="shared" si="7"/>
        <v>[Cluster]</v>
      </c>
      <c r="BK19" t="str">
        <f t="shared" si="8"/>
        <v>[Equip]</v>
      </c>
      <c r="BL19" t="str">
        <f t="shared" si="9"/>
        <v/>
      </c>
      <c r="BM19" t="str">
        <f t="shared" si="10"/>
        <v>[Historian]</v>
      </c>
      <c r="BN19" t="str">
        <f t="shared" si="11"/>
        <v>[DigAlmName]</v>
      </c>
      <c r="BO19" t="str">
        <f t="shared" si="12"/>
        <v>[Desc]</v>
      </c>
      <c r="BP19" t="str">
        <f t="shared" si="45"/>
        <v/>
      </c>
      <c r="BQ19">
        <f t="shared" si="46"/>
        <v>1</v>
      </c>
      <c r="BU19" t="str">
        <f t="shared" si="47"/>
        <v/>
      </c>
      <c r="BV19" t="str">
        <f t="shared" si="13"/>
        <v/>
      </c>
      <c r="BW19" t="str">
        <f t="shared" si="14"/>
        <v/>
      </c>
      <c r="BX19" t="str">
        <f t="shared" si="15"/>
        <v/>
      </c>
      <c r="BY19" t="str">
        <f t="shared" si="16"/>
        <v/>
      </c>
      <c r="BZ19" t="str">
        <f t="shared" si="17"/>
        <v/>
      </c>
      <c r="CA19" t="str">
        <f t="shared" si="48"/>
        <v/>
      </c>
      <c r="CB19" t="str">
        <f t="shared" si="18"/>
        <v/>
      </c>
      <c r="CC19" t="str">
        <f t="shared" si="19"/>
        <v/>
      </c>
      <c r="CD19" t="str">
        <f t="shared" si="20"/>
        <v/>
      </c>
      <c r="CE19" t="str">
        <f t="shared" si="21"/>
        <v/>
      </c>
      <c r="CH19" t="str">
        <f t="shared" si="22"/>
        <v/>
      </c>
      <c r="CP19" t="str">
        <f t="shared" si="23"/>
        <v/>
      </c>
      <c r="CV19" t="str">
        <f t="shared" si="24"/>
        <v/>
      </c>
      <c r="CW19" t="str">
        <f t="shared" si="25"/>
        <v/>
      </c>
      <c r="CY19" t="str">
        <f t="shared" si="26"/>
        <v>[TagPrefixFull]Supply240_InterlockOK</v>
      </c>
      <c r="CZ19" t="str">
        <f t="shared" si="27"/>
        <v>[TagPrefixFull]Supply240_InterlockOK</v>
      </c>
      <c r="DB19">
        <f t="shared" si="49"/>
        <v>1</v>
      </c>
      <c r="DE19" t="str">
        <f t="shared" si="50"/>
        <v/>
      </c>
      <c r="DF19" t="str">
        <f t="shared" si="51"/>
        <v/>
      </c>
      <c r="DG19" t="str">
        <f t="shared" si="28"/>
        <v>[TrendPrefixOverride][TagPrefixFull]Supply240_InterlockOK\[TagPrefixFull]Supply240_InterlockOK</v>
      </c>
      <c r="DH19" t="str">
        <f t="shared" si="29"/>
        <v>25</v>
      </c>
      <c r="DI19" t="str">
        <f t="shared" si="30"/>
        <v>00:00:00</v>
      </c>
      <c r="DJ19" t="str">
        <f t="shared" si="31"/>
        <v>Saturday</v>
      </c>
      <c r="DK19" t="str">
        <f t="shared" si="32"/>
        <v>[DigAlmName] - [Desc] - 240VAC Supply Interlocks Healthy</v>
      </c>
      <c r="DL19" t="str">
        <f t="shared" si="52"/>
        <v>TRN_PERIODIC</v>
      </c>
      <c r="DT19" t="str">
        <f t="shared" si="53"/>
        <v>Scaled (2-byte samples)</v>
      </c>
      <c r="DU19" t="str">
        <f t="shared" si="33"/>
        <v>[Cluster]</v>
      </c>
      <c r="DZ19" t="str">
        <f t="shared" si="34"/>
        <v>[Equip]</v>
      </c>
      <c r="EA19" t="e">
        <f t="shared" si="35"/>
        <v>#VALUE!</v>
      </c>
      <c r="EC19" t="str">
        <f t="shared" si="54"/>
        <v/>
      </c>
      <c r="ED19" t="str">
        <f t="shared" si="55"/>
        <v/>
      </c>
    </row>
    <row r="20" spans="1:134" x14ac:dyDescent="0.3">
      <c r="A20" t="s">
        <v>810</v>
      </c>
      <c r="B20" t="s">
        <v>79</v>
      </c>
      <c r="C20" t="s">
        <v>813</v>
      </c>
      <c r="K20" t="s">
        <v>813</v>
      </c>
      <c r="T20">
        <v>1</v>
      </c>
      <c r="AK20" t="str">
        <f t="shared" si="36"/>
        <v>Supply240_TripOK</v>
      </c>
      <c r="AL20" t="str">
        <f t="shared" si="37"/>
        <v>Supply240_TripOK</v>
      </c>
      <c r="AM20" t="b">
        <f t="shared" si="38"/>
        <v>1</v>
      </c>
      <c r="AN20" t="b">
        <f t="shared" si="0"/>
        <v>0</v>
      </c>
      <c r="AO20" t="b">
        <f t="shared" si="1"/>
        <v>1</v>
      </c>
      <c r="AP20" t="b">
        <f t="shared" si="2"/>
        <v>0</v>
      </c>
      <c r="AQ20" t="str">
        <f t="shared" si="3"/>
        <v>[TagPrefixFull]Supply240_TripOK</v>
      </c>
      <c r="AR20" t="str">
        <f>IF($AM20,VLOOKUP(B20,DataTypeMappings!$A$2:$B$18,2,"FALSE"),"")</f>
        <v>DIGITAL</v>
      </c>
      <c r="AS20" t="str">
        <f t="shared" si="4"/>
        <v>[PLC]</v>
      </c>
      <c r="AT20" t="str">
        <f t="shared" si="5"/>
        <v>[AddrPrefixFull]Supply240_TripOK</v>
      </c>
      <c r="AU20" t="str">
        <f t="shared" si="39"/>
        <v/>
      </c>
      <c r="AV20" t="str">
        <f t="shared" si="40"/>
        <v/>
      </c>
      <c r="AW20" t="str">
        <f t="shared" si="41"/>
        <v/>
      </c>
      <c r="AX20" t="str">
        <f t="shared" si="42"/>
        <v/>
      </c>
      <c r="AY20" t="str">
        <f t="shared" si="43"/>
        <v/>
      </c>
      <c r="AZ20" t="str">
        <f t="shared" si="44"/>
        <v/>
      </c>
      <c r="BA20" t="str">
        <f t="shared" si="6"/>
        <v>[Desc] - 240VAC Supply Trip Healthy</v>
      </c>
      <c r="BJ20" t="str">
        <f t="shared" si="7"/>
        <v>[Cluster]</v>
      </c>
      <c r="BK20" t="str">
        <f t="shared" si="8"/>
        <v>[Equip]</v>
      </c>
      <c r="BL20" t="str">
        <f t="shared" si="9"/>
        <v/>
      </c>
      <c r="BM20" t="str">
        <f t="shared" si="10"/>
        <v>[Historian]</v>
      </c>
      <c r="BN20" t="str">
        <f t="shared" si="11"/>
        <v>[DigAlmName]</v>
      </c>
      <c r="BO20" t="str">
        <f t="shared" si="12"/>
        <v>[Desc]</v>
      </c>
      <c r="BP20" t="str">
        <f t="shared" si="45"/>
        <v/>
      </c>
      <c r="BQ20">
        <f t="shared" si="46"/>
        <v>1</v>
      </c>
      <c r="BU20" t="str">
        <f t="shared" si="47"/>
        <v/>
      </c>
      <c r="BV20" t="str">
        <f t="shared" si="13"/>
        <v/>
      </c>
      <c r="BW20" t="str">
        <f t="shared" si="14"/>
        <v/>
      </c>
      <c r="BX20" t="str">
        <f t="shared" si="15"/>
        <v/>
      </c>
      <c r="BY20" t="str">
        <f t="shared" si="16"/>
        <v/>
      </c>
      <c r="BZ20" t="str">
        <f t="shared" si="17"/>
        <v/>
      </c>
      <c r="CA20" t="str">
        <f t="shared" si="48"/>
        <v/>
      </c>
      <c r="CB20" t="str">
        <f t="shared" si="18"/>
        <v/>
      </c>
      <c r="CC20" t="str">
        <f t="shared" si="19"/>
        <v/>
      </c>
      <c r="CD20" t="str">
        <f t="shared" si="20"/>
        <v/>
      </c>
      <c r="CE20" t="str">
        <f t="shared" si="21"/>
        <v/>
      </c>
      <c r="CH20" t="str">
        <f t="shared" si="22"/>
        <v/>
      </c>
      <c r="CP20" t="str">
        <f t="shared" si="23"/>
        <v/>
      </c>
      <c r="CV20" t="str">
        <f t="shared" si="24"/>
        <v/>
      </c>
      <c r="CW20" t="str">
        <f t="shared" si="25"/>
        <v/>
      </c>
      <c r="CY20" t="str">
        <f t="shared" si="26"/>
        <v>[TagPrefixFull]Supply240_TripOK</v>
      </c>
      <c r="CZ20" t="str">
        <f t="shared" si="27"/>
        <v>[TagPrefixFull]Supply240_TripOK</v>
      </c>
      <c r="DB20">
        <f t="shared" si="49"/>
        <v>1</v>
      </c>
      <c r="DE20" t="str">
        <f t="shared" si="50"/>
        <v/>
      </c>
      <c r="DF20" t="str">
        <f t="shared" si="51"/>
        <v/>
      </c>
      <c r="DG20" t="str">
        <f t="shared" si="28"/>
        <v>[TrendPrefixOverride][TagPrefixFull]Supply240_TripOK\[TagPrefixFull]Supply240_TripOK</v>
      </c>
      <c r="DH20" t="str">
        <f t="shared" si="29"/>
        <v>25</v>
      </c>
      <c r="DI20" t="str">
        <f t="shared" si="30"/>
        <v>00:00:00</v>
      </c>
      <c r="DJ20" t="str">
        <f t="shared" si="31"/>
        <v>Saturday</v>
      </c>
      <c r="DK20" t="str">
        <f t="shared" si="32"/>
        <v>[DigAlmName] - [Desc] - 240VAC Supply Trip Healthy</v>
      </c>
      <c r="DL20" t="str">
        <f t="shared" si="52"/>
        <v>TRN_PERIODIC</v>
      </c>
      <c r="DT20" t="str">
        <f t="shared" si="53"/>
        <v>Scaled (2-byte samples)</v>
      </c>
      <c r="DU20" t="str">
        <f t="shared" si="33"/>
        <v>[Cluster]</v>
      </c>
      <c r="DZ20" t="str">
        <f t="shared" si="34"/>
        <v>[Equip]</v>
      </c>
      <c r="EA20" t="e">
        <f t="shared" si="35"/>
        <v>#VALUE!</v>
      </c>
      <c r="EC20" t="str">
        <f t="shared" si="54"/>
        <v/>
      </c>
      <c r="ED20" t="str">
        <f t="shared" si="55"/>
        <v/>
      </c>
    </row>
    <row r="21" spans="1:134" x14ac:dyDescent="0.3">
      <c r="A21" t="s">
        <v>811</v>
      </c>
      <c r="B21" t="s">
        <v>79</v>
      </c>
      <c r="C21" t="s">
        <v>814</v>
      </c>
      <c r="K21" t="s">
        <v>814</v>
      </c>
      <c r="T21">
        <v>1</v>
      </c>
      <c r="AF21" t="b">
        <v>1</v>
      </c>
      <c r="AK21" t="str">
        <f t="shared" si="36"/>
        <v>Supply240_WarnOK</v>
      </c>
      <c r="AL21" t="str">
        <f t="shared" si="37"/>
        <v>Supply240_WarnOK</v>
      </c>
      <c r="AM21" t="b">
        <f t="shared" si="38"/>
        <v>0</v>
      </c>
      <c r="AN21" t="b">
        <f t="shared" si="0"/>
        <v>0</v>
      </c>
      <c r="AO21" t="b">
        <f t="shared" si="1"/>
        <v>0</v>
      </c>
      <c r="AP21" t="b">
        <f t="shared" si="2"/>
        <v>0</v>
      </c>
      <c r="AQ21" t="str">
        <f t="shared" si="3"/>
        <v/>
      </c>
      <c r="AR21" t="str">
        <f>IF($AM21,VLOOKUP(B21,DataTypeMappings!$A$2:$B$18,2,"FALSE"),"")</f>
        <v/>
      </c>
      <c r="AS21" t="str">
        <f t="shared" si="4"/>
        <v/>
      </c>
      <c r="AT21" t="str">
        <f t="shared" si="5"/>
        <v/>
      </c>
      <c r="AU21" t="str">
        <f t="shared" si="39"/>
        <v/>
      </c>
      <c r="AV21" t="str">
        <f t="shared" si="40"/>
        <v/>
      </c>
      <c r="AW21" t="str">
        <f t="shared" si="41"/>
        <v/>
      </c>
      <c r="AX21" t="str">
        <f t="shared" si="42"/>
        <v/>
      </c>
      <c r="AY21" t="str">
        <f t="shared" si="43"/>
        <v/>
      </c>
      <c r="AZ21" t="str">
        <f t="shared" si="44"/>
        <v/>
      </c>
      <c r="BA21" t="str">
        <f t="shared" si="6"/>
        <v/>
      </c>
      <c r="BJ21" t="str">
        <f t="shared" si="7"/>
        <v/>
      </c>
      <c r="BK21" t="str">
        <f t="shared" si="8"/>
        <v/>
      </c>
      <c r="BL21" t="str">
        <f t="shared" si="9"/>
        <v/>
      </c>
      <c r="BM21" t="str">
        <f t="shared" si="10"/>
        <v/>
      </c>
      <c r="BN21" t="str">
        <f t="shared" si="11"/>
        <v/>
      </c>
      <c r="BO21" t="str">
        <f t="shared" si="12"/>
        <v/>
      </c>
      <c r="BP21" t="str">
        <f t="shared" si="45"/>
        <v/>
      </c>
      <c r="BQ21" t="str">
        <f t="shared" si="46"/>
        <v/>
      </c>
      <c r="BU21" t="str">
        <f t="shared" si="47"/>
        <v/>
      </c>
      <c r="BV21" t="str">
        <f t="shared" si="13"/>
        <v/>
      </c>
      <c r="BW21" t="str">
        <f t="shared" si="14"/>
        <v/>
      </c>
      <c r="BX21" t="str">
        <f t="shared" si="15"/>
        <v/>
      </c>
      <c r="BY21" t="str">
        <f t="shared" si="16"/>
        <v/>
      </c>
      <c r="BZ21" t="str">
        <f t="shared" si="17"/>
        <v/>
      </c>
      <c r="CA21" t="str">
        <f t="shared" si="48"/>
        <v/>
      </c>
      <c r="CB21" t="str">
        <f t="shared" si="18"/>
        <v/>
      </c>
      <c r="CC21" t="str">
        <f t="shared" si="19"/>
        <v/>
      </c>
      <c r="CD21" t="str">
        <f t="shared" si="20"/>
        <v/>
      </c>
      <c r="CE21" t="str">
        <f t="shared" si="21"/>
        <v/>
      </c>
      <c r="CH21" t="str">
        <f t="shared" si="22"/>
        <v/>
      </c>
      <c r="CP21" t="str">
        <f t="shared" si="23"/>
        <v/>
      </c>
      <c r="CV21" t="str">
        <f t="shared" si="24"/>
        <v/>
      </c>
      <c r="CW21" t="str">
        <f t="shared" si="25"/>
        <v/>
      </c>
      <c r="CY21" t="str">
        <f t="shared" si="26"/>
        <v/>
      </c>
      <c r="CZ21" t="str">
        <f t="shared" si="27"/>
        <v/>
      </c>
      <c r="DB21" t="str">
        <f t="shared" si="49"/>
        <v/>
      </c>
      <c r="DE21" t="str">
        <f t="shared" si="50"/>
        <v/>
      </c>
      <c r="DF21" t="str">
        <f t="shared" si="51"/>
        <v/>
      </c>
      <c r="DG21" t="str">
        <f t="shared" si="28"/>
        <v/>
      </c>
      <c r="DH21" t="str">
        <f t="shared" si="29"/>
        <v/>
      </c>
      <c r="DI21" t="str">
        <f t="shared" si="30"/>
        <v/>
      </c>
      <c r="DJ21" t="str">
        <f t="shared" si="31"/>
        <v/>
      </c>
      <c r="DK21" t="str">
        <f t="shared" si="32"/>
        <v/>
      </c>
      <c r="DL21" t="str">
        <f t="shared" si="52"/>
        <v/>
      </c>
      <c r="DT21" t="str">
        <f t="shared" si="53"/>
        <v/>
      </c>
      <c r="DU21" t="str">
        <f t="shared" si="33"/>
        <v/>
      </c>
      <c r="DZ21" t="str">
        <f t="shared" si="34"/>
        <v/>
      </c>
      <c r="EA21" t="str">
        <f t="shared" si="35"/>
        <v/>
      </c>
      <c r="EC21" t="str">
        <f t="shared" si="54"/>
        <v/>
      </c>
      <c r="ED21" t="str">
        <f t="shared" si="55"/>
        <v/>
      </c>
    </row>
    <row r="22" spans="1:134" x14ac:dyDescent="0.3">
      <c r="A22" t="s">
        <v>815</v>
      </c>
      <c r="B22" t="s">
        <v>79</v>
      </c>
      <c r="C22" t="s">
        <v>817</v>
      </c>
      <c r="K22" t="s">
        <v>817</v>
      </c>
      <c r="T22">
        <v>1</v>
      </c>
      <c r="AF22" t="b">
        <v>1</v>
      </c>
      <c r="AK22" t="str">
        <f t="shared" si="36"/>
        <v>PLC_InterlockOK</v>
      </c>
      <c r="AL22" t="str">
        <f t="shared" si="37"/>
        <v>PLC_InterlockOK</v>
      </c>
      <c r="AM22" t="b">
        <f t="shared" si="38"/>
        <v>0</v>
      </c>
      <c r="AN22" t="b">
        <f t="shared" si="0"/>
        <v>0</v>
      </c>
      <c r="AO22" t="b">
        <f t="shared" si="1"/>
        <v>0</v>
      </c>
      <c r="AP22" t="b">
        <f t="shared" si="2"/>
        <v>0</v>
      </c>
      <c r="AQ22" t="str">
        <f t="shared" si="3"/>
        <v/>
      </c>
      <c r="AR22" t="str">
        <f>IF($AM22,VLOOKUP(B22,DataTypeMappings!$A$2:$B$18,2,"FALSE"),"")</f>
        <v/>
      </c>
      <c r="AS22" t="str">
        <f t="shared" si="4"/>
        <v/>
      </c>
      <c r="AT22" t="str">
        <f t="shared" si="5"/>
        <v/>
      </c>
      <c r="AU22" t="str">
        <f t="shared" si="39"/>
        <v/>
      </c>
      <c r="AV22" t="str">
        <f t="shared" si="40"/>
        <v/>
      </c>
      <c r="AW22" t="str">
        <f t="shared" si="41"/>
        <v/>
      </c>
      <c r="AX22" t="str">
        <f t="shared" si="42"/>
        <v/>
      </c>
      <c r="AY22" t="str">
        <f t="shared" si="43"/>
        <v/>
      </c>
      <c r="AZ22" t="str">
        <f t="shared" si="44"/>
        <v/>
      </c>
      <c r="BA22" t="str">
        <f t="shared" si="6"/>
        <v/>
      </c>
      <c r="BJ22" t="str">
        <f t="shared" si="7"/>
        <v/>
      </c>
      <c r="BK22" t="str">
        <f t="shared" si="8"/>
        <v/>
      </c>
      <c r="BL22" t="str">
        <f t="shared" si="9"/>
        <v/>
      </c>
      <c r="BM22" t="str">
        <f t="shared" si="10"/>
        <v/>
      </c>
      <c r="BN22" t="str">
        <f t="shared" si="11"/>
        <v/>
      </c>
      <c r="BO22" t="str">
        <f t="shared" si="12"/>
        <v/>
      </c>
      <c r="BP22" t="str">
        <f t="shared" si="45"/>
        <v/>
      </c>
      <c r="BQ22" t="str">
        <f t="shared" si="46"/>
        <v/>
      </c>
      <c r="BU22" t="str">
        <f t="shared" si="47"/>
        <v/>
      </c>
      <c r="BV22" t="str">
        <f t="shared" si="13"/>
        <v/>
      </c>
      <c r="BW22" t="str">
        <f t="shared" si="14"/>
        <v/>
      </c>
      <c r="BX22" t="str">
        <f t="shared" si="15"/>
        <v/>
      </c>
      <c r="BY22" t="str">
        <f t="shared" si="16"/>
        <v/>
      </c>
      <c r="BZ22" t="str">
        <f t="shared" si="17"/>
        <v/>
      </c>
      <c r="CA22" t="str">
        <f t="shared" si="48"/>
        <v/>
      </c>
      <c r="CB22" t="str">
        <f t="shared" si="18"/>
        <v/>
      </c>
      <c r="CC22" t="str">
        <f t="shared" si="19"/>
        <v/>
      </c>
      <c r="CD22" t="str">
        <f t="shared" si="20"/>
        <v/>
      </c>
      <c r="CE22" t="str">
        <f t="shared" si="21"/>
        <v/>
      </c>
      <c r="CH22" t="str">
        <f t="shared" si="22"/>
        <v/>
      </c>
      <c r="CP22" t="str">
        <f t="shared" si="23"/>
        <v/>
      </c>
      <c r="CV22" t="str">
        <f t="shared" si="24"/>
        <v/>
      </c>
      <c r="CW22" t="str">
        <f t="shared" si="25"/>
        <v/>
      </c>
      <c r="CY22" t="str">
        <f t="shared" si="26"/>
        <v/>
      </c>
      <c r="CZ22" t="str">
        <f t="shared" si="27"/>
        <v/>
      </c>
      <c r="DB22" t="str">
        <f t="shared" si="49"/>
        <v/>
      </c>
      <c r="DE22" t="str">
        <f t="shared" si="50"/>
        <v/>
      </c>
      <c r="DF22" t="str">
        <f t="shared" si="51"/>
        <v/>
      </c>
      <c r="DG22" t="str">
        <f t="shared" si="28"/>
        <v/>
      </c>
      <c r="DH22" t="str">
        <f t="shared" si="29"/>
        <v/>
      </c>
      <c r="DI22" t="str">
        <f t="shared" si="30"/>
        <v/>
      </c>
      <c r="DJ22" t="str">
        <f t="shared" si="31"/>
        <v/>
      </c>
      <c r="DK22" t="str">
        <f t="shared" si="32"/>
        <v/>
      </c>
      <c r="DL22" t="str">
        <f t="shared" si="52"/>
        <v/>
      </c>
      <c r="DT22" t="str">
        <f t="shared" si="53"/>
        <v/>
      </c>
      <c r="DU22" t="str">
        <f t="shared" si="33"/>
        <v/>
      </c>
      <c r="DZ22" t="str">
        <f t="shared" si="34"/>
        <v/>
      </c>
      <c r="EA22" t="str">
        <f t="shared" si="35"/>
        <v/>
      </c>
      <c r="EC22" t="str">
        <f t="shared" si="54"/>
        <v/>
      </c>
      <c r="ED22" t="str">
        <f t="shared" si="55"/>
        <v/>
      </c>
    </row>
    <row r="23" spans="1:134" x14ac:dyDescent="0.3">
      <c r="A23" t="s">
        <v>358</v>
      </c>
      <c r="B23" t="s">
        <v>79</v>
      </c>
      <c r="C23" t="s">
        <v>818</v>
      </c>
      <c r="K23" t="s">
        <v>818</v>
      </c>
      <c r="T23">
        <v>1</v>
      </c>
      <c r="AK23" t="str">
        <f t="shared" si="36"/>
        <v>PLC_TripOK</v>
      </c>
      <c r="AL23" t="str">
        <f t="shared" si="37"/>
        <v>PLC_TripOK</v>
      </c>
      <c r="AM23" t="b">
        <f t="shared" si="38"/>
        <v>1</v>
      </c>
      <c r="AN23" t="b">
        <f t="shared" si="0"/>
        <v>0</v>
      </c>
      <c r="AO23" t="b">
        <f t="shared" si="1"/>
        <v>1</v>
      </c>
      <c r="AP23" t="b">
        <f t="shared" si="2"/>
        <v>0</v>
      </c>
      <c r="AQ23" t="str">
        <f t="shared" si="3"/>
        <v>[TagPrefixFull]PLC_TripOK</v>
      </c>
      <c r="AR23" t="str">
        <f>IF($AM23,VLOOKUP(B23,DataTypeMappings!$A$2:$B$18,2,"FALSE"),"")</f>
        <v>DIGITAL</v>
      </c>
      <c r="AS23" t="str">
        <f t="shared" si="4"/>
        <v>[PLC]</v>
      </c>
      <c r="AT23" t="str">
        <f t="shared" si="5"/>
        <v>[AddrPrefixFull]PLC_TripOK</v>
      </c>
      <c r="AU23" t="str">
        <f t="shared" si="39"/>
        <v/>
      </c>
      <c r="AV23" t="str">
        <f t="shared" si="40"/>
        <v/>
      </c>
      <c r="AW23" t="str">
        <f t="shared" si="41"/>
        <v/>
      </c>
      <c r="AX23" t="str">
        <f t="shared" si="42"/>
        <v/>
      </c>
      <c r="AY23" t="str">
        <f t="shared" si="43"/>
        <v/>
      </c>
      <c r="AZ23" t="str">
        <f t="shared" si="44"/>
        <v/>
      </c>
      <c r="BA23" t="str">
        <f t="shared" si="6"/>
        <v>[Desc] - PLC Supply Trip Healthy</v>
      </c>
      <c r="BJ23" t="str">
        <f t="shared" si="7"/>
        <v>[Cluster]</v>
      </c>
      <c r="BK23" t="str">
        <f t="shared" si="8"/>
        <v>[Equip]</v>
      </c>
      <c r="BL23" t="str">
        <f t="shared" si="9"/>
        <v/>
      </c>
      <c r="BM23" t="str">
        <f t="shared" si="10"/>
        <v>[Historian]</v>
      </c>
      <c r="BN23" t="str">
        <f t="shared" si="11"/>
        <v>[DigAlmName]</v>
      </c>
      <c r="BO23" t="str">
        <f t="shared" si="12"/>
        <v>[Desc]</v>
      </c>
      <c r="BP23" t="str">
        <f t="shared" si="45"/>
        <v/>
      </c>
      <c r="BQ23">
        <f t="shared" si="46"/>
        <v>1</v>
      </c>
      <c r="BU23" t="str">
        <f t="shared" si="47"/>
        <v/>
      </c>
      <c r="BV23" t="str">
        <f t="shared" si="13"/>
        <v/>
      </c>
      <c r="BW23" t="str">
        <f t="shared" si="14"/>
        <v/>
      </c>
      <c r="BX23" t="str">
        <f t="shared" si="15"/>
        <v/>
      </c>
      <c r="BY23" t="str">
        <f t="shared" si="16"/>
        <v/>
      </c>
      <c r="BZ23" t="str">
        <f t="shared" si="17"/>
        <v/>
      </c>
      <c r="CA23" t="str">
        <f t="shared" si="48"/>
        <v/>
      </c>
      <c r="CB23" t="str">
        <f t="shared" si="18"/>
        <v/>
      </c>
      <c r="CC23" t="str">
        <f t="shared" si="19"/>
        <v/>
      </c>
      <c r="CD23" t="str">
        <f t="shared" si="20"/>
        <v/>
      </c>
      <c r="CE23" t="str">
        <f t="shared" si="21"/>
        <v/>
      </c>
      <c r="CH23" t="str">
        <f t="shared" si="22"/>
        <v/>
      </c>
      <c r="CP23" t="str">
        <f t="shared" si="23"/>
        <v/>
      </c>
      <c r="CV23" t="str">
        <f t="shared" si="24"/>
        <v/>
      </c>
      <c r="CW23" t="str">
        <f t="shared" si="25"/>
        <v/>
      </c>
      <c r="CY23" t="str">
        <f t="shared" si="26"/>
        <v>[TagPrefixFull]PLC_TripOK</v>
      </c>
      <c r="CZ23" t="str">
        <f t="shared" si="27"/>
        <v>[TagPrefixFull]PLC_TripOK</v>
      </c>
      <c r="DB23">
        <f t="shared" si="49"/>
        <v>1</v>
      </c>
      <c r="DE23" t="str">
        <f t="shared" si="50"/>
        <v/>
      </c>
      <c r="DF23" t="str">
        <f t="shared" si="51"/>
        <v/>
      </c>
      <c r="DG23" t="str">
        <f t="shared" si="28"/>
        <v>[TrendPrefixOverride][TagPrefixFull]PLC_TripOK\[TagPrefixFull]PLC_TripOK</v>
      </c>
      <c r="DH23" t="str">
        <f t="shared" si="29"/>
        <v>25</v>
      </c>
      <c r="DI23" t="str">
        <f t="shared" si="30"/>
        <v>00:00:00</v>
      </c>
      <c r="DJ23" t="str">
        <f t="shared" si="31"/>
        <v>Saturday</v>
      </c>
      <c r="DK23" t="str">
        <f t="shared" si="32"/>
        <v>[DigAlmName] - [Desc] - PLC Supply Trip Healthy</v>
      </c>
      <c r="DL23" t="str">
        <f t="shared" si="52"/>
        <v>TRN_PERIODIC</v>
      </c>
      <c r="DT23" t="str">
        <f t="shared" si="53"/>
        <v>Scaled (2-byte samples)</v>
      </c>
      <c r="DU23" t="str">
        <f t="shared" si="33"/>
        <v>[Cluster]</v>
      </c>
      <c r="DZ23" t="str">
        <f t="shared" si="34"/>
        <v>[Equip]</v>
      </c>
      <c r="EA23" t="e">
        <f t="shared" si="35"/>
        <v>#VALUE!</v>
      </c>
      <c r="EC23" t="str">
        <f t="shared" si="54"/>
        <v/>
      </c>
      <c r="ED23" t="str">
        <f t="shared" si="55"/>
        <v/>
      </c>
    </row>
    <row r="24" spans="1:134" x14ac:dyDescent="0.3">
      <c r="A24" t="s">
        <v>816</v>
      </c>
      <c r="B24" t="s">
        <v>79</v>
      </c>
      <c r="C24" t="s">
        <v>819</v>
      </c>
      <c r="K24" t="s">
        <v>819</v>
      </c>
      <c r="T24">
        <v>1</v>
      </c>
      <c r="AF24" t="b">
        <v>1</v>
      </c>
      <c r="AK24" t="str">
        <f t="shared" si="36"/>
        <v>PLC_WarnOK</v>
      </c>
      <c r="AL24" t="str">
        <f t="shared" si="37"/>
        <v>PLC_WarnOK</v>
      </c>
      <c r="AM24" t="b">
        <f t="shared" si="38"/>
        <v>0</v>
      </c>
      <c r="AN24" t="b">
        <f t="shared" si="0"/>
        <v>0</v>
      </c>
      <c r="AO24" t="b">
        <f t="shared" si="1"/>
        <v>0</v>
      </c>
      <c r="AP24" t="b">
        <f t="shared" si="2"/>
        <v>0</v>
      </c>
      <c r="AQ24" t="str">
        <f t="shared" si="3"/>
        <v/>
      </c>
      <c r="AR24" t="str">
        <f>IF($AM24,VLOOKUP(B24,DataTypeMappings!$A$2:$B$18,2,"FALSE"),"")</f>
        <v/>
      </c>
      <c r="AS24" t="str">
        <f t="shared" si="4"/>
        <v/>
      </c>
      <c r="AT24" t="str">
        <f t="shared" si="5"/>
        <v/>
      </c>
      <c r="AU24" t="str">
        <f t="shared" si="39"/>
        <v/>
      </c>
      <c r="AV24" t="str">
        <f t="shared" si="40"/>
        <v/>
      </c>
      <c r="AW24" t="str">
        <f t="shared" si="41"/>
        <v/>
      </c>
      <c r="AX24" t="str">
        <f t="shared" si="42"/>
        <v/>
      </c>
      <c r="AY24" t="str">
        <f t="shared" si="43"/>
        <v/>
      </c>
      <c r="AZ24" t="str">
        <f t="shared" si="44"/>
        <v/>
      </c>
      <c r="BA24" t="str">
        <f t="shared" si="6"/>
        <v/>
      </c>
      <c r="BJ24" t="str">
        <f t="shared" si="7"/>
        <v/>
      </c>
      <c r="BK24" t="str">
        <f t="shared" si="8"/>
        <v/>
      </c>
      <c r="BL24" t="str">
        <f t="shared" si="9"/>
        <v/>
      </c>
      <c r="BM24" t="str">
        <f t="shared" si="10"/>
        <v/>
      </c>
      <c r="BN24" t="str">
        <f t="shared" si="11"/>
        <v/>
      </c>
      <c r="BO24" t="str">
        <f t="shared" si="12"/>
        <v/>
      </c>
      <c r="BP24" t="str">
        <f t="shared" si="45"/>
        <v/>
      </c>
      <c r="BQ24" t="str">
        <f t="shared" si="46"/>
        <v/>
      </c>
      <c r="BU24" t="str">
        <f t="shared" si="47"/>
        <v/>
      </c>
      <c r="BV24" t="str">
        <f t="shared" si="13"/>
        <v/>
      </c>
      <c r="BW24" t="str">
        <f t="shared" si="14"/>
        <v/>
      </c>
      <c r="BX24" t="str">
        <f t="shared" si="15"/>
        <v/>
      </c>
      <c r="BY24" t="str">
        <f t="shared" si="16"/>
        <v/>
      </c>
      <c r="BZ24" t="str">
        <f t="shared" si="17"/>
        <v/>
      </c>
      <c r="CA24" t="str">
        <f t="shared" si="48"/>
        <v/>
      </c>
      <c r="CB24" t="str">
        <f t="shared" si="18"/>
        <v/>
      </c>
      <c r="CC24" t="str">
        <f t="shared" si="19"/>
        <v/>
      </c>
      <c r="CD24" t="str">
        <f t="shared" si="20"/>
        <v/>
      </c>
      <c r="CE24" t="str">
        <f t="shared" si="21"/>
        <v/>
      </c>
      <c r="CH24" t="str">
        <f t="shared" si="22"/>
        <v/>
      </c>
      <c r="CP24" t="str">
        <f t="shared" si="23"/>
        <v/>
      </c>
      <c r="CV24" t="str">
        <f t="shared" si="24"/>
        <v/>
      </c>
      <c r="CW24" t="str">
        <f t="shared" si="25"/>
        <v/>
      </c>
      <c r="CY24" t="str">
        <f t="shared" si="26"/>
        <v/>
      </c>
      <c r="CZ24" t="str">
        <f t="shared" si="27"/>
        <v/>
      </c>
      <c r="DB24" t="str">
        <f t="shared" si="49"/>
        <v/>
      </c>
      <c r="DE24" t="str">
        <f t="shared" si="50"/>
        <v/>
      </c>
      <c r="DF24" t="str">
        <f t="shared" si="51"/>
        <v/>
      </c>
      <c r="DG24" t="str">
        <f t="shared" si="28"/>
        <v/>
      </c>
      <c r="DH24" t="str">
        <f t="shared" si="29"/>
        <v/>
      </c>
      <c r="DI24" t="str">
        <f t="shared" si="30"/>
        <v/>
      </c>
      <c r="DJ24" t="str">
        <f t="shared" si="31"/>
        <v/>
      </c>
      <c r="DK24" t="str">
        <f t="shared" si="32"/>
        <v/>
      </c>
      <c r="DL24" t="str">
        <f t="shared" si="52"/>
        <v/>
      </c>
      <c r="DT24" t="str">
        <f t="shared" si="53"/>
        <v/>
      </c>
      <c r="DU24" t="str">
        <f t="shared" si="33"/>
        <v/>
      </c>
      <c r="DZ24" t="str">
        <f t="shared" si="34"/>
        <v/>
      </c>
      <c r="EA24" t="str">
        <f t="shared" si="35"/>
        <v/>
      </c>
      <c r="EC24" t="str">
        <f t="shared" si="54"/>
        <v/>
      </c>
      <c r="ED24" t="str">
        <f t="shared" si="55"/>
        <v/>
      </c>
    </row>
    <row r="25" spans="1:134" x14ac:dyDescent="0.3">
      <c r="A25" t="s">
        <v>724</v>
      </c>
      <c r="B25" t="s">
        <v>79</v>
      </c>
      <c r="C25" t="s">
        <v>726</v>
      </c>
      <c r="K25" t="s">
        <v>726</v>
      </c>
      <c r="U25" t="s">
        <v>307</v>
      </c>
      <c r="AK25" t="str">
        <f t="shared" si="36"/>
        <v>Transformer_LTDoorLimits_SR_t</v>
      </c>
      <c r="AL25" t="str">
        <f t="shared" si="37"/>
        <v>Transformer_LTDoorLimits_SR_t</v>
      </c>
      <c r="AM25" t="b">
        <f t="shared" si="38"/>
        <v>1</v>
      </c>
      <c r="AN25" t="b">
        <f t="shared" si="0"/>
        <v>1</v>
      </c>
      <c r="AO25" t="b">
        <f t="shared" si="1"/>
        <v>0</v>
      </c>
      <c r="AP25" t="b">
        <f t="shared" si="2"/>
        <v>0</v>
      </c>
      <c r="AQ25" t="str">
        <f t="shared" si="3"/>
        <v>[TagPrefixFull]Transformer_LTDoorLimits_SR_t</v>
      </c>
      <c r="AR25" t="str">
        <f>IF($AM25,VLOOKUP(B25,DataTypeMappings!$A$2:$B$18,2,"FALSE"),"")</f>
        <v>DIGITAL</v>
      </c>
      <c r="AS25" t="str">
        <f t="shared" si="4"/>
        <v>[PLC]</v>
      </c>
      <c r="AT25" t="str">
        <f t="shared" si="5"/>
        <v>[AddrPrefixFull]Transformer_LTDoorLimits_SR_t</v>
      </c>
      <c r="AU25" t="str">
        <f t="shared" si="39"/>
        <v/>
      </c>
      <c r="AV25" t="str">
        <f t="shared" si="40"/>
        <v/>
      </c>
      <c r="AW25" t="str">
        <f t="shared" si="41"/>
        <v/>
      </c>
      <c r="AX25" t="str">
        <f t="shared" si="42"/>
        <v/>
      </c>
      <c r="AY25" t="str">
        <f t="shared" si="43"/>
        <v/>
      </c>
      <c r="AZ25" t="str">
        <f t="shared" si="44"/>
        <v/>
      </c>
      <c r="BA25" t="str">
        <f t="shared" si="6"/>
        <v>[Desc] - Transformer LT Door Limits Safety Relay Trip</v>
      </c>
      <c r="BJ25" t="str">
        <f t="shared" si="7"/>
        <v>[Cluster]</v>
      </c>
      <c r="BK25" t="str">
        <f t="shared" si="8"/>
        <v>[Equip]</v>
      </c>
      <c r="BL25" t="str">
        <f t="shared" si="9"/>
        <v/>
      </c>
      <c r="BM25" t="str">
        <f t="shared" si="10"/>
        <v>[Historian]</v>
      </c>
      <c r="BN25" t="str">
        <f t="shared" si="11"/>
        <v>[DigAlmName]</v>
      </c>
      <c r="BO25" t="str">
        <f t="shared" si="12"/>
        <v>[Desc]</v>
      </c>
      <c r="BP25" t="str">
        <f t="shared" si="45"/>
        <v>Alm_Trip</v>
      </c>
      <c r="BQ25" t="str">
        <f t="shared" si="46"/>
        <v/>
      </c>
      <c r="BU25" t="str">
        <f t="shared" si="47"/>
        <v/>
      </c>
      <c r="BV25" t="str">
        <f t="shared" si="13"/>
        <v>[TagPrefixFull]Transformer_LTDoorLimits_SR_t</v>
      </c>
      <c r="BW25" t="str">
        <f t="shared" si="14"/>
        <v>[TagPrefixFull]Transformer_LTDoorLimits_SR_t</v>
      </c>
      <c r="BX25" t="str">
        <f t="shared" si="15"/>
        <v>[Desc] - Transformer LT Door Limits Safety Relay Trip</v>
      </c>
      <c r="BY25" t="str">
        <f t="shared" si="16"/>
        <v>[TagPrefixFull]Transformer_LTDoorLimits_SR_t</v>
      </c>
      <c r="BZ25" t="str">
        <f t="shared" si="17"/>
        <v>[VariableB]</v>
      </c>
      <c r="CA25" t="str">
        <f t="shared" si="48"/>
        <v>Alm_Trip</v>
      </c>
      <c r="CB25" t="str">
        <f t="shared" si="18"/>
        <v>[Help]</v>
      </c>
      <c r="CC25" t="str">
        <f t="shared" si="19"/>
        <v>Priv_Alarm</v>
      </c>
      <c r="CD25" t="str">
        <f t="shared" si="20"/>
        <v>[Area]</v>
      </c>
      <c r="CE25" t="str">
        <f t="shared" si="21"/>
        <v>[Desc] - Transformer LT Door Limits Safety Relay Trip</v>
      </c>
      <c r="CH25" t="str">
        <f t="shared" si="22"/>
        <v>[DigAlmName]</v>
      </c>
      <c r="CP25" t="str">
        <f t="shared" si="23"/>
        <v>[Cluster]</v>
      </c>
      <c r="CV25" t="str">
        <f t="shared" si="24"/>
        <v>[Equip]</v>
      </c>
      <c r="CW25" t="e">
        <f t="shared" si="25"/>
        <v>#VALUE!</v>
      </c>
      <c r="CY25" t="str">
        <f t="shared" si="26"/>
        <v/>
      </c>
      <c r="CZ25" t="str">
        <f t="shared" si="27"/>
        <v/>
      </c>
      <c r="DB25" t="str">
        <f t="shared" si="49"/>
        <v/>
      </c>
      <c r="DE25" t="str">
        <f t="shared" si="50"/>
        <v/>
      </c>
      <c r="DF25" t="str">
        <f t="shared" si="51"/>
        <v/>
      </c>
      <c r="DG25" t="str">
        <f t="shared" si="28"/>
        <v/>
      </c>
      <c r="DH25" t="str">
        <f t="shared" si="29"/>
        <v/>
      </c>
      <c r="DI25" t="str">
        <f t="shared" si="30"/>
        <v/>
      </c>
      <c r="DJ25" t="str">
        <f t="shared" si="31"/>
        <v/>
      </c>
      <c r="DK25" t="str">
        <f t="shared" si="32"/>
        <v/>
      </c>
      <c r="DL25" t="str">
        <f t="shared" si="52"/>
        <v/>
      </c>
      <c r="DT25" t="str">
        <f t="shared" si="53"/>
        <v/>
      </c>
      <c r="DU25" t="str">
        <f t="shared" si="33"/>
        <v/>
      </c>
      <c r="DZ25" t="str">
        <f t="shared" si="34"/>
        <v/>
      </c>
      <c r="EA25" t="str">
        <f t="shared" si="35"/>
        <v/>
      </c>
      <c r="EC25" t="str">
        <f t="shared" si="54"/>
        <v/>
      </c>
      <c r="ED25" t="str">
        <f t="shared" si="55"/>
        <v/>
      </c>
    </row>
  </sheetData>
  <autoFilter ref="A4:ED5" xr:uid="{A8081164-2D9D-4DA1-9E28-82179C0C281C}"/>
  <mergeCells count="10">
    <mergeCell ref="AQ3:BU3"/>
    <mergeCell ref="BV3:CX3"/>
    <mergeCell ref="CY3:ED3"/>
    <mergeCell ref="EE3:FJ3"/>
    <mergeCell ref="D2:H2"/>
    <mergeCell ref="AG2:AH2"/>
    <mergeCell ref="D3:J3"/>
    <mergeCell ref="K3:AJ3"/>
    <mergeCell ref="AK3:AL3"/>
    <mergeCell ref="AM3:AP3"/>
  </mergeCells>
  <printOptions gridLines="1"/>
  <pageMargins left="0" right="0" top="0" bottom="0" header="0" footer="0"/>
  <pageSetup paperSize="8" scale="25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3770753" r:id="rId4" name="Config_Vis">
          <controlPr defaultSize="0" autoLine="0" autoPict="0" r:id="rId5">
            <anchor moveWithCells="1">
              <from>
                <xdr:col>2</xdr:col>
                <xdr:colOff>601980</xdr:colOff>
                <xdr:row>0</xdr:row>
                <xdr:rowOff>68580</xdr:rowOff>
              </from>
              <to>
                <xdr:col>2</xdr:col>
                <xdr:colOff>1097280</xdr:colOff>
                <xdr:row>0</xdr:row>
                <xdr:rowOff>312420</xdr:rowOff>
              </to>
            </anchor>
          </controlPr>
        </control>
      </mc:Choice>
      <mc:Fallback>
        <control shapeId="13770753" r:id="rId4" name="Config_Vis"/>
      </mc:Fallback>
    </mc:AlternateContent>
    <mc:AlternateContent xmlns:mc="http://schemas.openxmlformats.org/markup-compatibility/2006">
      <mc:Choice Requires="x14">
        <control shapeId="13770754" r:id="rId6" name="Variable_Vis">
          <controlPr defaultSize="0" autoLine="0" autoPict="0" r:id="rId7">
            <anchor moveWithCells="1">
              <from>
                <xdr:col>2</xdr:col>
                <xdr:colOff>1150620</xdr:colOff>
                <xdr:row>0</xdr:row>
                <xdr:rowOff>60960</xdr:rowOff>
              </from>
              <to>
                <xdr:col>2</xdr:col>
                <xdr:colOff>1508760</xdr:colOff>
                <xdr:row>0</xdr:row>
                <xdr:rowOff>304800</xdr:rowOff>
              </to>
            </anchor>
          </controlPr>
        </control>
      </mc:Choice>
      <mc:Fallback>
        <control shapeId="13770754" r:id="rId6" name="Variable_Vis"/>
      </mc:Fallback>
    </mc:AlternateContent>
    <mc:AlternateContent xmlns:mc="http://schemas.openxmlformats.org/markup-compatibility/2006">
      <mc:Choice Requires="x14">
        <control shapeId="13770755" r:id="rId8" name="Digalm_Vis">
          <controlPr defaultSize="0" autoLine="0" autoPict="0" r:id="rId9">
            <anchor moveWithCells="1">
              <from>
                <xdr:col>2</xdr:col>
                <xdr:colOff>1562100</xdr:colOff>
                <xdr:row>0</xdr:row>
                <xdr:rowOff>60960</xdr:rowOff>
              </from>
              <to>
                <xdr:col>2</xdr:col>
                <xdr:colOff>2087880</xdr:colOff>
                <xdr:row>0</xdr:row>
                <xdr:rowOff>304800</xdr:rowOff>
              </to>
            </anchor>
          </controlPr>
        </control>
      </mc:Choice>
      <mc:Fallback>
        <control shapeId="13770755" r:id="rId8" name="Digalm_Vis"/>
      </mc:Fallback>
    </mc:AlternateContent>
    <mc:AlternateContent xmlns:mc="http://schemas.openxmlformats.org/markup-compatibility/2006">
      <mc:Choice Requires="x14">
        <control shapeId="13770756" r:id="rId10" name="Trend_Vis">
          <controlPr defaultSize="0" autoLine="0" autoPict="0" r:id="rId11">
            <anchor moveWithCells="1">
              <from>
                <xdr:col>2</xdr:col>
                <xdr:colOff>2156460</xdr:colOff>
                <xdr:row>0</xdr:row>
                <xdr:rowOff>60960</xdr:rowOff>
              </from>
              <to>
                <xdr:col>2</xdr:col>
                <xdr:colOff>2628900</xdr:colOff>
                <xdr:row>0</xdr:row>
                <xdr:rowOff>304800</xdr:rowOff>
              </to>
            </anchor>
          </controlPr>
        </control>
      </mc:Choice>
      <mc:Fallback>
        <control shapeId="13770756" r:id="rId10" name="Trend_Vis"/>
      </mc:Fallback>
    </mc:AlternateContent>
    <mc:AlternateContent xmlns:mc="http://schemas.openxmlformats.org/markup-compatibility/2006">
      <mc:Choice Requires="x14">
        <control shapeId="13770757" r:id="rId12" name="Import_Vis">
          <controlPr defaultSize="0" autoLine="0" autoPict="0" r:id="rId13">
            <anchor moveWithCells="1">
              <from>
                <xdr:col>2</xdr:col>
                <xdr:colOff>30480</xdr:colOff>
                <xdr:row>0</xdr:row>
                <xdr:rowOff>68580</xdr:rowOff>
              </from>
              <to>
                <xdr:col>2</xdr:col>
                <xdr:colOff>533400</xdr:colOff>
                <xdr:row>0</xdr:row>
                <xdr:rowOff>312420</xdr:rowOff>
              </to>
            </anchor>
          </controlPr>
        </control>
      </mc:Choice>
      <mc:Fallback>
        <control shapeId="13770757" r:id="rId12" name="Import_Vis"/>
      </mc:Fallback>
    </mc:AlternateContent>
    <mc:AlternateContent xmlns:mc="http://schemas.openxmlformats.org/markup-compatibility/2006">
      <mc:Choice Requires="x14">
        <control shapeId="13770760" r:id="rId14" name="PV_Vis">
          <controlPr defaultSize="0" autoLine="0" autoPict="0" r:id="rId15">
            <anchor moveWithCells="1">
              <from>
                <xdr:col>2</xdr:col>
                <xdr:colOff>2697480</xdr:colOff>
                <xdr:row>0</xdr:row>
                <xdr:rowOff>60960</xdr:rowOff>
              </from>
              <to>
                <xdr:col>2</xdr:col>
                <xdr:colOff>3048000</xdr:colOff>
                <xdr:row>0</xdr:row>
                <xdr:rowOff>304800</xdr:rowOff>
              </to>
            </anchor>
          </controlPr>
        </control>
      </mc:Choice>
      <mc:Fallback>
        <control shapeId="13770760" r:id="rId14" name="PV_Vis"/>
      </mc:Fallback>
    </mc:AlternateContent>
    <mc:AlternateContent xmlns:mc="http://schemas.openxmlformats.org/markup-compatibility/2006">
      <mc:Choice Requires="x14">
        <control shapeId="13770758" r:id="rId16" name="Button 6">
          <controlPr defaultSize="0" print="0" autoFill="0" autoPict="0" macro="[0]!Apply_Top_Row" altText="Apply top row">
            <anchor moveWithCells="1" sizeWithCells="1">
              <from>
                <xdr:col>2</xdr:col>
                <xdr:colOff>274320</xdr:colOff>
                <xdr:row>1</xdr:row>
                <xdr:rowOff>60960</xdr:rowOff>
              </from>
              <to>
                <xdr:col>2</xdr:col>
                <xdr:colOff>1508760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70759" r:id="rId17" name="Button 7">
          <controlPr defaultSize="0" print="0" autoFill="0" autoPict="0" macro="[0]!Update_Template">
            <anchor moveWithCells="1" sizeWithCells="1">
              <from>
                <xdr:col>2</xdr:col>
                <xdr:colOff>1783080</xdr:colOff>
                <xdr:row>1</xdr:row>
                <xdr:rowOff>60960</xdr:rowOff>
              </from>
              <to>
                <xdr:col>2</xdr:col>
                <xdr:colOff>3108960</xdr:colOff>
                <xdr:row>1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70761" r:id="rId18" name="Button 9">
          <controlPr defaultSize="0" print="0" autoFill="0" autoPict="0" macro="[0]!Import_UDT">
            <anchor moveWithCells="1" sizeWithCells="1">
              <from>
                <xdr:col>3</xdr:col>
                <xdr:colOff>83820</xdr:colOff>
                <xdr:row>1</xdr:row>
                <xdr:rowOff>60960</xdr:rowOff>
              </from>
              <to>
                <xdr:col>4</xdr:col>
                <xdr:colOff>350520</xdr:colOff>
                <xdr:row>1</xdr:row>
                <xdr:rowOff>502920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70762" r:id="rId19" name="Button 10">
          <controlPr defaultSize="0" print="0" autoFill="0" autoPict="0" macro="[0]!Export_UDT">
            <anchor moveWithCells="1" sizeWithCells="1">
              <from>
                <xdr:col>4</xdr:col>
                <xdr:colOff>403860</xdr:colOff>
                <xdr:row>1</xdr:row>
                <xdr:rowOff>68580</xdr:rowOff>
              </from>
              <to>
                <xdr:col>6</xdr:col>
                <xdr:colOff>259080</xdr:colOff>
                <xdr:row>1</xdr:row>
                <xdr:rowOff>518160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70763" r:id="rId20" name="Button 11">
          <controlPr defaultSize="0" print="0" autoFill="0" autoPict="0" macro="[0]!FindInFile">
            <anchor moveWithCells="1" sizeWithCells="1">
              <from>
                <xdr:col>22</xdr:col>
                <xdr:colOff>190500</xdr:colOff>
                <xdr:row>1</xdr:row>
                <xdr:rowOff>190500</xdr:rowOff>
              </from>
              <to>
                <xdr:col>23</xdr:col>
                <xdr:colOff>487680</xdr:colOff>
                <xdr:row>1</xdr:row>
                <xdr:rowOff>373380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8616F-0CE1-4F3B-820F-DF9440A58CC0}">
  <sheetPr codeName="Template_UDT24">
    <tabColor indexed="42"/>
    <pageSetUpPr fitToPage="1"/>
  </sheetPr>
  <dimension ref="A1:FJ1663"/>
  <sheetViews>
    <sheetView zoomScale="85" zoomScaleNormal="85" workbookViewId="0">
      <pane ySplit="4" topLeftCell="A76" activePane="bottomLeft" state="frozen"/>
      <selection activeCell="C13" sqref="C13"/>
      <selection pane="bottomLeft" activeCell="C13" sqref="C13"/>
    </sheetView>
  </sheetViews>
  <sheetFormatPr defaultRowHeight="14.4" x14ac:dyDescent="0.3"/>
  <cols>
    <col min="1" max="1" width="30.33203125" customWidth="1"/>
    <col min="2" max="2" width="15.5546875" customWidth="1"/>
    <col min="3" max="3" width="53.109375" customWidth="1"/>
    <col min="4" max="4" width="13.44140625" hidden="1" customWidth="1"/>
    <col min="5" max="5" width="10" hidden="1" customWidth="1"/>
    <col min="6" max="6" width="8.88671875" hidden="1" customWidth="1"/>
    <col min="7" max="7" width="42.109375" hidden="1" customWidth="1"/>
    <col min="8" max="8" width="15" hidden="1" customWidth="1"/>
    <col min="9" max="10" width="1.6640625" hidden="1" customWidth="1"/>
    <col min="11" max="11" width="37.33203125" customWidth="1"/>
    <col min="12" max="12" width="8" customWidth="1"/>
    <col min="13" max="13" width="7.109375" customWidth="1"/>
    <col min="14" max="14" width="7.6640625" customWidth="1"/>
    <col min="15" max="15" width="6.5546875" customWidth="1"/>
    <col min="16" max="16" width="7.33203125" customWidth="1"/>
    <col min="17" max="17" width="7.44140625" customWidth="1"/>
    <col min="18" max="18" width="8.33203125" customWidth="1"/>
    <col min="19" max="19" width="8.44140625" customWidth="1"/>
    <col min="20" max="20" width="13" customWidth="1"/>
    <col min="21" max="21" width="10" customWidth="1"/>
    <col min="22" max="22" width="11.5546875" customWidth="1"/>
    <col min="23" max="23" width="9.6640625" customWidth="1"/>
    <col min="24" max="36" width="9" customWidth="1"/>
    <col min="37" max="38" width="16" customWidth="1"/>
    <col min="39" max="42" width="8.6640625" customWidth="1"/>
    <col min="43" max="43" width="22.88671875" hidden="1" customWidth="1"/>
    <col min="44" max="44" width="9.109375" hidden="1" customWidth="1"/>
    <col min="45" max="45" width="12.88671875" hidden="1" customWidth="1"/>
    <col min="46" max="46" width="36.88671875" hidden="1" customWidth="1"/>
    <col min="47" max="47" width="12.109375" hidden="1" customWidth="1"/>
    <col min="48" max="48" width="11.44140625" hidden="1" customWidth="1"/>
    <col min="49" max="49" width="11.6640625" hidden="1" customWidth="1"/>
    <col min="50" max="50" width="11" hidden="1" customWidth="1"/>
    <col min="51" max="51" width="12" hidden="1" customWidth="1"/>
    <col min="52" max="52" width="10" hidden="1" customWidth="1"/>
    <col min="53" max="53" width="29.33203125" hidden="1" customWidth="1"/>
    <col min="54" max="54" width="11.109375" hidden="1" customWidth="1"/>
    <col min="55" max="55" width="8.109375" hidden="1" customWidth="1"/>
    <col min="56" max="56" width="4.5546875" hidden="1" customWidth="1"/>
    <col min="57" max="57" width="5.88671875" hidden="1" customWidth="1"/>
    <col min="58" max="58" width="6.33203125" hidden="1" customWidth="1"/>
    <col min="59" max="59" width="12.5546875" hidden="1" customWidth="1"/>
    <col min="60" max="60" width="9.6640625" hidden="1" customWidth="1"/>
    <col min="61" max="61" width="13.5546875" hidden="1" customWidth="1"/>
    <col min="62" max="62" width="10.109375" hidden="1" customWidth="1"/>
    <col min="63" max="63" width="7.109375" hidden="1" customWidth="1"/>
    <col min="64" max="64" width="8.88671875" hidden="1" customWidth="1"/>
    <col min="65" max="65" width="11.6640625" hidden="1" customWidth="1"/>
    <col min="66" max="66" width="15.44140625" hidden="1" customWidth="1"/>
    <col min="67" max="67" width="10.6640625" hidden="1" customWidth="1"/>
    <col min="68" max="68" width="14.33203125" hidden="1" customWidth="1"/>
    <col min="69" max="73" width="10.6640625" hidden="1" customWidth="1"/>
    <col min="74" max="74" width="18.5546875" hidden="1" customWidth="1"/>
    <col min="75" max="75" width="20.44140625" hidden="1" customWidth="1"/>
    <col min="76" max="76" width="38.5546875" hidden="1" customWidth="1"/>
    <col min="77" max="77" width="18.5546875" hidden="1" customWidth="1"/>
    <col min="78" max="78" width="18.6640625" hidden="1" customWidth="1"/>
    <col min="79" max="79" width="12.109375" hidden="1" customWidth="1"/>
    <col min="80" max="80" width="21.6640625" hidden="1" customWidth="1"/>
    <col min="81" max="81" width="5.88671875" hidden="1" customWidth="1"/>
    <col min="82" max="82" width="6.88671875" hidden="1" customWidth="1"/>
    <col min="83" max="83" width="28.5546875" hidden="1" customWidth="1"/>
    <col min="84" max="84" width="11.6640625" hidden="1" customWidth="1"/>
    <col min="85" max="85" width="7.6640625" hidden="1" customWidth="1"/>
    <col min="86" max="86" width="10.33203125" hidden="1" customWidth="1"/>
    <col min="87" max="93" width="10.6640625" hidden="1" customWidth="1"/>
    <col min="94" max="94" width="10.109375" hidden="1" customWidth="1"/>
    <col min="95" max="95" width="13.5546875" hidden="1" customWidth="1"/>
    <col min="96" max="96" width="8.88671875" hidden="1" customWidth="1"/>
    <col min="97" max="97" width="13.109375" hidden="1" customWidth="1"/>
    <col min="98" max="98" width="11.109375" hidden="1" customWidth="1"/>
    <col min="99" max="99" width="8.109375" hidden="1" customWidth="1"/>
    <col min="100" max="100" width="7.109375" hidden="1" customWidth="1"/>
    <col min="101" max="101" width="6" hidden="1" customWidth="1"/>
    <col min="102" max="102" width="11.6640625" hidden="1" customWidth="1"/>
    <col min="103" max="104" width="18.5546875" customWidth="1"/>
    <col min="105" max="105" width="6.6640625" customWidth="1"/>
    <col min="106" max="106" width="13.5546875" customWidth="1"/>
    <col min="107" max="107" width="6.6640625" customWidth="1"/>
    <col min="108" max="108" width="6.88671875" customWidth="1"/>
    <col min="109" max="109" width="12" customWidth="1"/>
    <col min="110" max="110" width="10" customWidth="1"/>
    <col min="111" max="111" width="15.44140625" customWidth="1"/>
    <col min="112" max="112" width="6.6640625" customWidth="1"/>
    <col min="113" max="113" width="10" customWidth="1"/>
    <col min="114" max="114" width="8.88671875" customWidth="1"/>
    <col min="115" max="115" width="28.5546875" customWidth="1"/>
    <col min="116" max="116" width="16.33203125" customWidth="1"/>
    <col min="117" max="117" width="10.5546875" customWidth="1"/>
    <col min="118" max="119" width="6.6640625" customWidth="1"/>
    <col min="120" max="120" width="13.5546875" customWidth="1"/>
    <col min="121" max="121" width="14.5546875" customWidth="1"/>
    <col min="122" max="122" width="8.33203125" customWidth="1"/>
    <col min="123" max="123" width="12.88671875" customWidth="1"/>
    <col min="124" max="124" width="31" customWidth="1"/>
    <col min="125" max="125" width="10.109375" customWidth="1"/>
    <col min="126" max="126" width="13.5546875" customWidth="1"/>
    <col min="127" max="127" width="11.109375" customWidth="1"/>
    <col min="128" max="128" width="8.109375" customWidth="1"/>
    <col min="129" max="129" width="12.5546875" customWidth="1"/>
    <col min="130" max="130" width="7.109375" customWidth="1"/>
    <col min="131" max="131" width="6.6640625" customWidth="1"/>
    <col min="132" max="133" width="11.6640625" customWidth="1"/>
    <col min="134" max="134" width="11" customWidth="1"/>
    <col min="135" max="135" width="10.6640625" hidden="1" customWidth="1"/>
    <col min="136" max="136" width="37.5546875" hidden="1" customWidth="1"/>
    <col min="137" max="137" width="20.44140625" hidden="1" customWidth="1"/>
    <col min="138" max="141" width="5.6640625" hidden="1" customWidth="1"/>
    <col min="142" max="156" width="10.6640625" hidden="1" customWidth="1"/>
    <col min="157" max="157" width="38.6640625" hidden="1" customWidth="1"/>
    <col min="158" max="163" width="10.6640625" hidden="1" customWidth="1"/>
    <col min="164" max="165" width="100.6640625" hidden="1" customWidth="1"/>
    <col min="166" max="166" width="11.5546875" hidden="1" customWidth="1"/>
  </cols>
  <sheetData>
    <row r="1" spans="1:166" ht="32.25" customHeight="1" x14ac:dyDescent="0.3"/>
    <row r="2" spans="1:166" ht="48" customHeight="1" thickBot="1" x14ac:dyDescent="0.35">
      <c r="C2" s="20"/>
      <c r="D2" s="121" t="s">
        <v>292</v>
      </c>
      <c r="E2" s="121"/>
      <c r="F2" s="121"/>
      <c r="G2" s="121"/>
      <c r="H2" s="121"/>
      <c r="M2" s="60"/>
      <c r="N2" s="60"/>
      <c r="O2" s="60"/>
      <c r="P2" s="60"/>
      <c r="Q2" s="60"/>
      <c r="R2" s="60"/>
      <c r="S2" s="60"/>
      <c r="T2" s="60" t="s">
        <v>275</v>
      </c>
      <c r="U2" s="60" t="s">
        <v>274</v>
      </c>
      <c r="V2" s="60"/>
      <c r="W2" s="60"/>
      <c r="X2" s="60"/>
      <c r="Y2" s="60" t="s">
        <v>272</v>
      </c>
      <c r="Z2" s="71"/>
      <c r="AA2" s="71"/>
      <c r="AB2" s="60" t="s">
        <v>269</v>
      </c>
      <c r="AC2" s="60" t="s">
        <v>276</v>
      </c>
      <c r="AD2" s="60" t="s">
        <v>289</v>
      </c>
      <c r="AE2" s="60" t="s">
        <v>281</v>
      </c>
      <c r="AF2" s="60" t="s">
        <v>277</v>
      </c>
      <c r="AG2" s="128" t="s">
        <v>278</v>
      </c>
      <c r="AH2" s="128"/>
      <c r="AI2" s="60"/>
      <c r="AJ2" s="60"/>
      <c r="FH2" s="20" t="s">
        <v>264</v>
      </c>
      <c r="FI2" s="20" t="s">
        <v>290</v>
      </c>
    </row>
    <row r="3" spans="1:166" ht="15" thickBot="1" x14ac:dyDescent="0.35">
      <c r="D3" s="125" t="s">
        <v>72</v>
      </c>
      <c r="E3" s="126"/>
      <c r="F3" s="126"/>
      <c r="G3" s="126"/>
      <c r="H3" s="126"/>
      <c r="I3" s="126"/>
      <c r="J3" s="127"/>
      <c r="K3" s="122" t="s">
        <v>83</v>
      </c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2" t="s">
        <v>284</v>
      </c>
      <c r="AL3" s="124"/>
      <c r="AM3" s="122" t="s">
        <v>303</v>
      </c>
      <c r="AN3" s="123"/>
      <c r="AO3" s="123"/>
      <c r="AP3" s="124"/>
      <c r="AQ3" s="125" t="s">
        <v>91</v>
      </c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7"/>
      <c r="BV3" s="125" t="s">
        <v>89</v>
      </c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  <c r="CT3" s="126"/>
      <c r="CU3" s="126"/>
      <c r="CV3" s="126"/>
      <c r="CW3" s="126"/>
      <c r="CX3" s="127"/>
      <c r="CY3" s="125" t="s">
        <v>90</v>
      </c>
      <c r="CZ3" s="126"/>
      <c r="DA3" s="126"/>
      <c r="DB3" s="126"/>
      <c r="DC3" s="126"/>
      <c r="DD3" s="126"/>
      <c r="DE3" s="126"/>
      <c r="DF3" s="126"/>
      <c r="DG3" s="126"/>
      <c r="DH3" s="126"/>
      <c r="DI3" s="126"/>
      <c r="DJ3" s="126"/>
      <c r="DK3" s="126"/>
      <c r="DL3" s="126"/>
      <c r="DM3" s="126"/>
      <c r="DN3" s="126"/>
      <c r="DO3" s="126"/>
      <c r="DP3" s="126"/>
      <c r="DQ3" s="126"/>
      <c r="DR3" s="126"/>
      <c r="DS3" s="126"/>
      <c r="DT3" s="126"/>
      <c r="DU3" s="126"/>
      <c r="DV3" s="126"/>
      <c r="DW3" s="126"/>
      <c r="DX3" s="126"/>
      <c r="DY3" s="126"/>
      <c r="DZ3" s="126"/>
      <c r="EA3" s="126"/>
      <c r="EB3" s="126"/>
      <c r="EC3" s="126"/>
      <c r="ED3" s="127"/>
      <c r="EE3" s="122" t="s">
        <v>189</v>
      </c>
      <c r="EF3" s="123"/>
      <c r="EG3" s="123"/>
      <c r="EH3" s="123"/>
      <c r="EI3" s="123"/>
      <c r="EJ3" s="123"/>
      <c r="EK3" s="123"/>
      <c r="EL3" s="123"/>
      <c r="EM3" s="123"/>
      <c r="EN3" s="123"/>
      <c r="EO3" s="123"/>
      <c r="EP3" s="123"/>
      <c r="EQ3" s="123"/>
      <c r="ER3" s="123"/>
      <c r="ES3" s="123"/>
      <c r="ET3" s="123"/>
      <c r="EU3" s="123"/>
      <c r="EV3" s="123"/>
      <c r="EW3" s="123"/>
      <c r="EX3" s="123"/>
      <c r="EY3" s="123"/>
      <c r="EZ3" s="123"/>
      <c r="FA3" s="123"/>
      <c r="FB3" s="123"/>
      <c r="FC3" s="123"/>
      <c r="FD3" s="123"/>
      <c r="FE3" s="123"/>
      <c r="FF3" s="123"/>
      <c r="FG3" s="123"/>
      <c r="FH3" s="123"/>
      <c r="FI3" s="123"/>
      <c r="FJ3" s="124"/>
    </row>
    <row r="4" spans="1:166" s="32" customFormat="1" ht="44.25" customHeight="1" thickBot="1" x14ac:dyDescent="0.35">
      <c r="A4" s="21" t="s">
        <v>187</v>
      </c>
      <c r="B4" s="22" t="s">
        <v>76</v>
      </c>
      <c r="C4" s="23" t="s">
        <v>154</v>
      </c>
      <c r="D4" s="24" t="s">
        <v>86</v>
      </c>
      <c r="E4" s="18" t="s">
        <v>76</v>
      </c>
      <c r="F4" s="18" t="s">
        <v>87</v>
      </c>
      <c r="G4" s="18" t="s">
        <v>73</v>
      </c>
      <c r="H4" s="18" t="s">
        <v>88</v>
      </c>
      <c r="I4" s="25"/>
      <c r="J4" s="26"/>
      <c r="K4" s="21" t="s">
        <v>155</v>
      </c>
      <c r="L4" s="18" t="s">
        <v>327</v>
      </c>
      <c r="M4" s="18" t="s">
        <v>328</v>
      </c>
      <c r="N4" s="18" t="s">
        <v>329</v>
      </c>
      <c r="O4" s="18" t="s">
        <v>330</v>
      </c>
      <c r="P4" s="49" t="s">
        <v>331</v>
      </c>
      <c r="Q4" s="49" t="s">
        <v>332</v>
      </c>
      <c r="R4" s="18" t="s">
        <v>78</v>
      </c>
      <c r="S4" s="18" t="s">
        <v>81</v>
      </c>
      <c r="T4" s="18" t="s">
        <v>157</v>
      </c>
      <c r="U4" s="18" t="s">
        <v>77</v>
      </c>
      <c r="V4" s="27" t="s">
        <v>160</v>
      </c>
      <c r="W4" s="27" t="s">
        <v>161</v>
      </c>
      <c r="X4" s="27" t="s">
        <v>162</v>
      </c>
      <c r="Y4" s="28" t="s">
        <v>163</v>
      </c>
      <c r="Z4" s="70" t="s">
        <v>295</v>
      </c>
      <c r="AA4" s="70" t="s">
        <v>296</v>
      </c>
      <c r="AB4" s="49" t="s">
        <v>174</v>
      </c>
      <c r="AC4" s="49" t="s">
        <v>268</v>
      </c>
      <c r="AD4" s="49" t="s">
        <v>288</v>
      </c>
      <c r="AE4" s="49" t="s">
        <v>267</v>
      </c>
      <c r="AF4" s="49" t="s">
        <v>273</v>
      </c>
      <c r="AG4" s="67" t="s">
        <v>280</v>
      </c>
      <c r="AH4" s="67" t="s">
        <v>279</v>
      </c>
      <c r="AI4" s="67" t="s">
        <v>337</v>
      </c>
      <c r="AJ4" s="28" t="s">
        <v>339</v>
      </c>
      <c r="AK4" s="61" t="s">
        <v>282</v>
      </c>
      <c r="AL4" s="61" t="s">
        <v>283</v>
      </c>
      <c r="AM4" s="69" t="s">
        <v>299</v>
      </c>
      <c r="AN4" s="69" t="s">
        <v>301</v>
      </c>
      <c r="AO4" s="69" t="s">
        <v>300</v>
      </c>
      <c r="AP4" s="69" t="s">
        <v>302</v>
      </c>
      <c r="AQ4" s="30" t="s">
        <v>0</v>
      </c>
      <c r="AR4" s="31" t="s">
        <v>1</v>
      </c>
      <c r="AS4" s="31" t="s">
        <v>2</v>
      </c>
      <c r="AT4" s="31" t="s">
        <v>3</v>
      </c>
      <c r="AU4" s="31" t="s">
        <v>4</v>
      </c>
      <c r="AV4" s="31" t="s">
        <v>5</v>
      </c>
      <c r="AW4" s="31" t="s">
        <v>6</v>
      </c>
      <c r="AX4" s="31" t="s">
        <v>7</v>
      </c>
      <c r="AY4" s="31" t="s">
        <v>8</v>
      </c>
      <c r="AZ4" s="31" t="s">
        <v>9</v>
      </c>
      <c r="BA4" s="31" t="s">
        <v>10</v>
      </c>
      <c r="BB4" s="31" t="s">
        <v>11</v>
      </c>
      <c r="BC4" s="31" t="s">
        <v>12</v>
      </c>
      <c r="BD4" s="31" t="s">
        <v>13</v>
      </c>
      <c r="BE4" s="31" t="s">
        <v>14</v>
      </c>
      <c r="BF4" s="31" t="s">
        <v>15</v>
      </c>
      <c r="BG4" s="31" t="s">
        <v>16</v>
      </c>
      <c r="BH4" s="31" t="s">
        <v>17</v>
      </c>
      <c r="BI4" s="31" t="s">
        <v>18</v>
      </c>
      <c r="BJ4" s="31" t="s">
        <v>19</v>
      </c>
      <c r="BK4" s="31" t="s">
        <v>20</v>
      </c>
      <c r="BL4" s="31" t="s">
        <v>21</v>
      </c>
      <c r="BM4" s="31" t="s">
        <v>22</v>
      </c>
      <c r="BN4" s="31" t="s">
        <v>23</v>
      </c>
      <c r="BO4" s="31" t="s">
        <v>24</v>
      </c>
      <c r="BP4" s="31" t="s">
        <v>25</v>
      </c>
      <c r="BQ4" s="31" t="s">
        <v>26</v>
      </c>
      <c r="BR4" s="31" t="s">
        <v>27</v>
      </c>
      <c r="BS4" s="31" t="s">
        <v>28</v>
      </c>
      <c r="BT4" s="31" t="s">
        <v>29</v>
      </c>
      <c r="BU4" s="29" t="s">
        <v>30</v>
      </c>
      <c r="BV4" s="30" t="s">
        <v>31</v>
      </c>
      <c r="BW4" s="31" t="s">
        <v>0</v>
      </c>
      <c r="BX4" s="31" t="s">
        <v>32</v>
      </c>
      <c r="BY4" s="31" t="s">
        <v>33</v>
      </c>
      <c r="BZ4" s="31" t="s">
        <v>34</v>
      </c>
      <c r="CA4" s="31" t="s">
        <v>35</v>
      </c>
      <c r="CB4" s="31" t="s">
        <v>36</v>
      </c>
      <c r="CC4" s="31" t="s">
        <v>37</v>
      </c>
      <c r="CD4" s="31" t="s">
        <v>38</v>
      </c>
      <c r="CE4" s="31" t="s">
        <v>10</v>
      </c>
      <c r="CF4" s="31" t="s">
        <v>39</v>
      </c>
      <c r="CG4" s="31" t="s">
        <v>40</v>
      </c>
      <c r="CH4" s="31" t="s">
        <v>23</v>
      </c>
      <c r="CI4" s="31" t="s">
        <v>24</v>
      </c>
      <c r="CJ4" s="31" t="s">
        <v>25</v>
      </c>
      <c r="CK4" s="31" t="s">
        <v>26</v>
      </c>
      <c r="CL4" s="31" t="s">
        <v>27</v>
      </c>
      <c r="CM4" s="31" t="s">
        <v>28</v>
      </c>
      <c r="CN4" s="31" t="s">
        <v>29</v>
      </c>
      <c r="CO4" s="31" t="s">
        <v>30</v>
      </c>
      <c r="CP4" s="31" t="s">
        <v>19</v>
      </c>
      <c r="CQ4" s="31" t="s">
        <v>18</v>
      </c>
      <c r="CR4" s="31" t="s">
        <v>41</v>
      </c>
      <c r="CS4" s="31" t="s">
        <v>42</v>
      </c>
      <c r="CT4" s="31" t="s">
        <v>11</v>
      </c>
      <c r="CU4" s="31" t="s">
        <v>12</v>
      </c>
      <c r="CV4" s="31" t="s">
        <v>20</v>
      </c>
      <c r="CW4" s="31" t="s">
        <v>21</v>
      </c>
      <c r="CX4" s="29" t="s">
        <v>22</v>
      </c>
      <c r="CY4" s="30" t="s">
        <v>0</v>
      </c>
      <c r="CZ4" s="31" t="s">
        <v>43</v>
      </c>
      <c r="DA4" s="31"/>
      <c r="DB4" s="31" t="s">
        <v>45</v>
      </c>
      <c r="DC4" s="31" t="s">
        <v>37</v>
      </c>
      <c r="DD4" s="31" t="s">
        <v>38</v>
      </c>
      <c r="DE4" s="31" t="s">
        <v>8</v>
      </c>
      <c r="DF4" s="31" t="s">
        <v>9</v>
      </c>
      <c r="DG4" s="31" t="s">
        <v>46</v>
      </c>
      <c r="DH4" s="31" t="s">
        <v>47</v>
      </c>
      <c r="DI4" s="31" t="s">
        <v>48</v>
      </c>
      <c r="DJ4" s="31" t="s">
        <v>49</v>
      </c>
      <c r="DK4" s="31" t="s">
        <v>10</v>
      </c>
      <c r="DL4" s="31" t="s">
        <v>1</v>
      </c>
      <c r="DM4" s="31" t="s">
        <v>50</v>
      </c>
      <c r="DN4" s="31" t="s">
        <v>51</v>
      </c>
      <c r="DO4" s="31" t="s">
        <v>52</v>
      </c>
      <c r="DP4" s="31" t="s">
        <v>53</v>
      </c>
      <c r="DQ4" s="31" t="s">
        <v>54</v>
      </c>
      <c r="DR4" s="31" t="s">
        <v>55</v>
      </c>
      <c r="DS4" s="31" t="s">
        <v>56</v>
      </c>
      <c r="DT4" s="31" t="s">
        <v>57</v>
      </c>
      <c r="DU4" s="31" t="s">
        <v>19</v>
      </c>
      <c r="DV4" s="31" t="s">
        <v>18</v>
      </c>
      <c r="DW4" s="31" t="s">
        <v>11</v>
      </c>
      <c r="DX4" s="31" t="s">
        <v>12</v>
      </c>
      <c r="DY4" s="31" t="s">
        <v>16</v>
      </c>
      <c r="DZ4" s="31" t="s">
        <v>20</v>
      </c>
      <c r="EA4" s="31" t="s">
        <v>21</v>
      </c>
      <c r="EB4" s="31" t="s">
        <v>22</v>
      </c>
      <c r="EC4" s="31" t="s">
        <v>6</v>
      </c>
      <c r="ED4" s="29" t="s">
        <v>7</v>
      </c>
      <c r="EE4" s="30" t="s">
        <v>191</v>
      </c>
      <c r="EF4" s="31" t="s">
        <v>198</v>
      </c>
      <c r="EG4" s="31" t="s">
        <v>199</v>
      </c>
      <c r="EH4" s="31" t="s">
        <v>194</v>
      </c>
      <c r="EI4" s="31" t="s">
        <v>195</v>
      </c>
      <c r="EJ4" s="31" t="s">
        <v>196</v>
      </c>
      <c r="EK4" s="31" t="s">
        <v>190</v>
      </c>
      <c r="EL4" s="31" t="s">
        <v>197</v>
      </c>
      <c r="EM4" s="31" t="s">
        <v>200</v>
      </c>
      <c r="EN4" s="31" t="s">
        <v>201</v>
      </c>
      <c r="EO4" s="31" t="s">
        <v>202</v>
      </c>
      <c r="EP4" s="31" t="s">
        <v>203</v>
      </c>
      <c r="EQ4" s="31" t="s">
        <v>204</v>
      </c>
      <c r="ER4" s="31" t="s">
        <v>205</v>
      </c>
      <c r="ES4" s="31" t="s">
        <v>206</v>
      </c>
      <c r="ET4" s="31" t="s">
        <v>78</v>
      </c>
      <c r="EU4" s="31" t="s">
        <v>207</v>
      </c>
      <c r="EV4" s="31" t="s">
        <v>208</v>
      </c>
      <c r="EW4" s="31" t="s">
        <v>209</v>
      </c>
      <c r="EX4" s="31" t="s">
        <v>210</v>
      </c>
      <c r="EY4" s="31" t="s">
        <v>211</v>
      </c>
      <c r="EZ4" s="31" t="s">
        <v>212</v>
      </c>
      <c r="FA4" s="31" t="s">
        <v>213</v>
      </c>
      <c r="FB4" s="31" t="s">
        <v>214</v>
      </c>
      <c r="FC4" s="31" t="s">
        <v>215</v>
      </c>
      <c r="FD4" s="31" t="s">
        <v>216</v>
      </c>
      <c r="FE4" s="31" t="s">
        <v>217</v>
      </c>
      <c r="FF4" s="31" t="s">
        <v>218</v>
      </c>
      <c r="FG4" s="61" t="s">
        <v>192</v>
      </c>
      <c r="FH4" s="30" t="s">
        <v>262</v>
      </c>
      <c r="FI4" s="29" t="s">
        <v>263</v>
      </c>
      <c r="FJ4" s="63" t="s">
        <v>251</v>
      </c>
    </row>
    <row r="5" spans="1:166" x14ac:dyDescent="0.3">
      <c r="A5" s="53" t="s">
        <v>579</v>
      </c>
      <c r="B5" s="54" t="s">
        <v>79</v>
      </c>
      <c r="C5" s="54" t="s">
        <v>360</v>
      </c>
      <c r="D5" s="53"/>
      <c r="E5" s="54"/>
      <c r="F5" s="54"/>
      <c r="G5" s="54"/>
      <c r="H5" s="54" t="s">
        <v>422</v>
      </c>
      <c r="I5" s="54"/>
      <c r="J5" s="55"/>
      <c r="K5" s="56" t="s">
        <v>360</v>
      </c>
      <c r="W5" s="32"/>
      <c r="Y5" t="s">
        <v>886</v>
      </c>
      <c r="AF5" t="s">
        <v>718</v>
      </c>
      <c r="AK5" s="35" t="str">
        <f>IF(V5="",A5,V5)&amp;IF(W5&lt;&gt;"","{"&amp;W5&amp;"}","")&amp;IF(X5&lt;&gt;"","/"&amp;X5,"")</f>
        <v>240V_NER_ISO_CLSD_I</v>
      </c>
      <c r="AL5" s="35" t="str">
        <f>IF(V5="",A5,V5)&amp;IF(W5&lt;&gt;"","["&amp;W5&amp;"]","")&amp;IF(X5&lt;&gt;"","/"&amp;X5,"")</f>
        <v>240V_NER_ISO_CLSD_I</v>
      </c>
      <c r="AM5" s="35" t="b">
        <f>$AF5&lt;&gt;TRUE</f>
        <v>1</v>
      </c>
      <c r="AN5" s="35" t="b">
        <f t="shared" ref="AN5:AN68" si="0">AND($U5&lt;&gt;"",$AF5&lt;&gt;TRUE, DL_DisableAlarms&lt;&gt;TRUE)</f>
        <v>0</v>
      </c>
      <c r="AO5" s="35" t="b">
        <f t="shared" ref="AO5:AO68" si="1">AND($T5&lt;&gt;"",$AF5&lt;&gt;TRUE,DL_DisableTrends&lt;&gt;TRUE)</f>
        <v>0</v>
      </c>
      <c r="AP5" s="35" t="b">
        <f t="shared" ref="AP5:AP68" si="2">AND(DL_PVEnable=TRUE,$AC5&lt;&gt;"IGNORE",$AF5&lt;&gt;TRUE)</f>
        <v>0</v>
      </c>
      <c r="AQ5" s="34" t="str">
        <f t="shared" ref="AQ5:AQ68" si="3">IF($AM5,DL_TagPrefixFull&amp;A5,"")</f>
        <v>[TagPrefixFull]240V_NER_ISO_CLSD_I</v>
      </c>
      <c r="AR5" s="35" t="str">
        <f>IF($AM5,VLOOKUP(B5,DataTypeMappings!$A$2:$B$18,2,"FALSE"),"")</f>
        <v>DIGITAL</v>
      </c>
      <c r="AS5" s="35" t="str">
        <f t="shared" ref="AS5:AS68" si="4">IF($AM5,IF(AG5&lt;&gt;"",AG5,DL_PLC),"")</f>
        <v>[PLC]</v>
      </c>
      <c r="AT5" s="35" t="str">
        <f t="shared" ref="AT5:AT68" si="5">IF($AM5,IF($Y5="",DL_AddrPrefixFull&amp;AK5,Y5),"")</f>
        <v>LW_SS01_240V_NER_ISO_CLSD_I</v>
      </c>
      <c r="AU5" s="35" t="str">
        <f>IF($AM5,TRIM(L5),"")</f>
        <v/>
      </c>
      <c r="AV5" s="35" t="str">
        <f>IF($AM5,TRIM(M5),"")</f>
        <v/>
      </c>
      <c r="AW5" s="35" t="str">
        <f>IF($AM5,TRIM(N5),"")</f>
        <v/>
      </c>
      <c r="AX5" s="35" t="str">
        <f>IF($AM5,TRIM(O5),"")</f>
        <v/>
      </c>
      <c r="AY5" s="35" t="str">
        <f>IF($AM5,TRIM(R5),"")</f>
        <v/>
      </c>
      <c r="AZ5" s="35" t="str">
        <f>IF($AM5,TRIM(S5),"")</f>
        <v/>
      </c>
      <c r="BA5" s="35" t="str">
        <f t="shared" ref="BA5:BA68" si="6">IF($AM5,IF(DL_Desc &lt;&gt; "", DL_Desc &amp; Global_Seperator &amp; K5, K5), "")</f>
        <v>[Desc] - 240V NER Isolator Closed</v>
      </c>
      <c r="BB5" s="35"/>
      <c r="BC5" s="35"/>
      <c r="BD5" s="35"/>
      <c r="BE5" s="35"/>
      <c r="BF5" s="35"/>
      <c r="BG5" s="35"/>
      <c r="BH5" s="35"/>
      <c r="BI5" s="35"/>
      <c r="BJ5" s="35" t="str">
        <f t="shared" ref="BJ5:BJ68" si="7">IF($AM5,IF(AH5&lt;&gt;"",AH5,DL_Cluster),"")</f>
        <v>[Cluster]</v>
      </c>
      <c r="BK5" s="35" t="str">
        <f t="shared" ref="BK5:BK68" si="8">IF($AM5,IF(Z5&lt;&gt;"",Z5,DL_Equip),"")</f>
        <v>[Equip]</v>
      </c>
      <c r="BL5" s="35" t="str">
        <f t="shared" ref="BL5:BL68" si="9">IF($AM5,IF(BK5&lt;&gt;"",IF(DL_EnableItem="TRUE",IF(AA5&lt;&gt;"",AA5,A5),""),""),"")</f>
        <v/>
      </c>
      <c r="BM5" s="35" t="str">
        <f t="shared" ref="BM5:BM68" si="10">IF($AM5,TRIM(DL_Historian), "")</f>
        <v>[Historian]</v>
      </c>
      <c r="BN5" s="35" t="str">
        <f t="shared" ref="BN5:BN68" si="11">IF($AM5,TRIM(DL_DigAlmName), "")</f>
        <v>[DigAlmName]</v>
      </c>
      <c r="BO5" s="35" t="str">
        <f t="shared" ref="BO5:BO68" si="12">IF($AM5,TRIM(DL_Desc), "")</f>
        <v>[Desc]</v>
      </c>
      <c r="BP5" s="35" t="str">
        <f>IF($AN5,U5,"")</f>
        <v/>
      </c>
      <c r="BQ5" s="35" t="str">
        <f>IF($AO5,T5,"")</f>
        <v/>
      </c>
      <c r="BR5" s="35"/>
      <c r="BS5" s="35"/>
      <c r="BT5" s="35"/>
      <c r="BU5" s="83" t="str">
        <f>IF($AM5,TRIM(AJ5), "")</f>
        <v/>
      </c>
      <c r="BV5" s="34" t="str">
        <f t="shared" ref="BV5:BV68" si="13">IF($AN5,DL_TagPrefixFull&amp;A5,"")</f>
        <v/>
      </c>
      <c r="BW5" s="35" t="str">
        <f t="shared" ref="BW5:BW68" si="14">IF($AN5,DL_TagPrefixFull&amp;A5,"")</f>
        <v/>
      </c>
      <c r="BX5" s="35" t="str">
        <f t="shared" ref="BX5:BX68" si="15">IF($AN5,IF(AI5&lt;&gt;"",AI5,IF(DL_Desc &lt;&gt; "", DL_Desc &amp; Global_Seperator &amp; K5, K5)),"")</f>
        <v/>
      </c>
      <c r="BY5" s="35" t="str">
        <f t="shared" ref="BY5:BY68" si="16">IF($AN5,DL_TagPrefixFull&amp;A5,"")</f>
        <v/>
      </c>
      <c r="BZ5" s="35" t="str">
        <f t="shared" ref="BZ5:BZ68" si="17">IF($AN5,IF(DL_VariableB&lt;&gt;"",DL_VariableB,""),"")</f>
        <v/>
      </c>
      <c r="CA5" s="35" t="str">
        <f>IF($AN5,U5,"")</f>
        <v/>
      </c>
      <c r="CB5" s="35" t="str">
        <f t="shared" ref="CB5:CB68" si="18">IF($AN5,IF(AB5&lt;&gt;"",AB5,DL_Help),"")</f>
        <v/>
      </c>
      <c r="CC5" s="35" t="str">
        <f t="shared" ref="CC5:CC68" si="19">IF($AN5,Global_Alarm_Priv,"")</f>
        <v/>
      </c>
      <c r="CD5" s="35" t="str">
        <f t="shared" ref="CD5:CD68" si="20">IF($AN5,TRIM(DL_Area),"")</f>
        <v/>
      </c>
      <c r="CE5" s="35" t="str">
        <f t="shared" ref="CE5:CE68" si="21">IF($AN5,IF(DL_Desc&lt;&gt;"",DL_Desc &amp; Global_Seperator &amp; K5, K5),"")</f>
        <v/>
      </c>
      <c r="CF5" s="35"/>
      <c r="CG5" s="35"/>
      <c r="CH5" s="35" t="str">
        <f t="shared" ref="CH5:CH68" si="22">IF($AN5,DL_DigAlmName,"")</f>
        <v/>
      </c>
      <c r="CI5" s="35"/>
      <c r="CJ5" s="35"/>
      <c r="CK5" s="35"/>
      <c r="CL5" s="35"/>
      <c r="CM5" s="35"/>
      <c r="CN5" s="35"/>
      <c r="CO5" s="35"/>
      <c r="CP5" s="35" t="str">
        <f t="shared" ref="CP5:CP68" si="23">IF($AN5,IF(AH5&lt;&gt;"",AH5,DL_Cluster),"")</f>
        <v/>
      </c>
      <c r="CQ5" s="35"/>
      <c r="CR5" s="35"/>
      <c r="CS5" s="35"/>
      <c r="CT5" s="35"/>
      <c r="CU5" s="35"/>
      <c r="CV5" s="35" t="str">
        <f t="shared" ref="CV5:CV68" si="24">IF($AN5,IF(Z5&lt;&gt;"",Z5,DL_Equip),"")</f>
        <v/>
      </c>
      <c r="CW5" s="35" t="str">
        <f t="shared" ref="CW5:CW68" si="25">IF($AN5,IF(CV5&lt;&gt;"",IF(DL_EnableItem,IF(AA5&lt;&gt;"",AA5,A5),""),""),"")</f>
        <v/>
      </c>
      <c r="CX5" s="35"/>
      <c r="CY5" s="34" t="str">
        <f t="shared" ref="CY5:CY68" si="26">IF($AO5,DL_TagPrefixFull&amp;A5,"")</f>
        <v/>
      </c>
      <c r="CZ5" s="35" t="str">
        <f t="shared" ref="CZ5:CZ68" si="27">IF($AO5,DL_TagPrefixFull&amp;A5,"")</f>
        <v/>
      </c>
      <c r="DA5" s="35"/>
      <c r="DB5" s="35" t="str">
        <f>IF($AO5,T5,"")</f>
        <v/>
      </c>
      <c r="DC5" s="35"/>
      <c r="DD5" s="35"/>
      <c r="DE5" s="35" t="str">
        <f>IF($AO5,TRIM(R5),"")</f>
        <v/>
      </c>
      <c r="DF5" s="35" t="str">
        <f>IF($AO5,TRIM(S5),"")</f>
        <v/>
      </c>
      <c r="DG5" s="35" t="str">
        <f t="shared" ref="DG5:DG68" si="28">IF($AO5,IF(DL_TrendPrefixOverride&lt;&gt;"",DL_TrendPrefixOverride&amp;AQ5&amp;"\"&amp;AQ5,Global_Trend_Prefix&amp;AQ5&amp;"\"&amp;AQ5),"")</f>
        <v/>
      </c>
      <c r="DH5" s="35" t="str">
        <f t="shared" ref="DH5:DH68" si="29">IF($AO5,TRIM(Global_Trend_NumFiles),"")</f>
        <v/>
      </c>
      <c r="DI5" s="35" t="str">
        <f t="shared" ref="DI5:DI68" si="30">IF($AO5,TRIM(Global_Trend_Time),"")</f>
        <v/>
      </c>
      <c r="DJ5" s="35" t="str">
        <f t="shared" ref="DJ5:DJ68" si="31">IF($AO5,TRIM(Global_Trend_Period),"")</f>
        <v/>
      </c>
      <c r="DK5" s="35" t="str">
        <f t="shared" ref="DK5:DK68" si="32">IF($AO5, DL_DigAlmName &amp; Global_Seperator &amp; IF(DL_Desc&lt;&gt;"",DL_Desc &amp; Global_Seperator &amp; K5, K5),"")</f>
        <v/>
      </c>
      <c r="DL5" s="35" t="str">
        <f>IF($AO5,"TRN_PERIODIC","")</f>
        <v/>
      </c>
      <c r="DM5" s="35"/>
      <c r="DN5" s="35"/>
      <c r="DO5" s="35"/>
      <c r="DP5" s="35"/>
      <c r="DQ5" s="35"/>
      <c r="DR5" s="35"/>
      <c r="DS5" s="35"/>
      <c r="DT5" s="35" t="str">
        <f>IF($AO5,IF(AR5="DIGITAL","Scaled (2-byte samples)","Floating Point (8-byte samples)"),"")</f>
        <v/>
      </c>
      <c r="DU5" s="35" t="str">
        <f t="shared" ref="DU5:DU68" si="33">IF($AO5,IF(AH5&lt;&gt;"",AH5,DL_Cluster),"")</f>
        <v/>
      </c>
      <c r="DV5" s="35"/>
      <c r="DW5" s="35"/>
      <c r="DX5" s="35"/>
      <c r="DY5" s="35"/>
      <c r="DZ5" s="35" t="str">
        <f t="shared" ref="DZ5:DZ68" si="34">IF($AO5,IF(Z5&lt;&gt;"",Z5,DL_Equip),"")</f>
        <v/>
      </c>
      <c r="EA5" s="35" t="str">
        <f t="shared" ref="EA5:EA68" si="35">IF($AO5,IF(DZ5&lt;&gt;"",IF(DL_EnableItem,IF(AA5&lt;&gt;"",AA5,A5),""),""),"")</f>
        <v/>
      </c>
      <c r="EB5" s="35"/>
      <c r="EC5" s="35" t="str">
        <f>IF($AO5,TRIM(P5),"")</f>
        <v/>
      </c>
      <c r="ED5" s="33" t="str">
        <f>IF($AO5,TRIM(Q5),"")</f>
        <v/>
      </c>
      <c r="EE5" s="57" t="str">
        <f>IF($AP5 = FALSE,"",VLOOKUP(B5,DataTypeMappings!$A$2:$C$18,3,FALSE))</f>
        <v/>
      </c>
      <c r="EF5" s="58" t="str">
        <f>IF($AP5 = FALSE,"",IF(AC5&lt;&gt;"",AC5,DL_PVFolder)&amp;"\"&amp;IF(AD5="",DL_PVPrefixFull&amp;A5,DL_PVPrefixFull&amp;AD5))</f>
        <v/>
      </c>
      <c r="EG5" s="58" t="str">
        <f>IF($AP5 = FALSE,"",DL_Desc&amp;" "&amp;K5)</f>
        <v/>
      </c>
      <c r="EH5" s="58" t="str">
        <f>IF($AP5 = FALSE,"","F")</f>
        <v/>
      </c>
      <c r="EI5" s="58" t="str">
        <f>IF($AP5 = FALSE,"","D")</f>
        <v/>
      </c>
      <c r="EJ5" s="58" t="str">
        <f>IF($AP5 = FALSE,"","*")</f>
        <v/>
      </c>
      <c r="EK5" s="58" t="str">
        <f>IF($AP5 = FALSE,"","F")</f>
        <v/>
      </c>
      <c r="EL5" s="58" t="str">
        <f>IF($AP5 = FALSE,"",VLOOKUP(B5,DataTypeMappings!$A$2:$D$18,4,FALSE()))</f>
        <v/>
      </c>
      <c r="EM5" s="58" t="str">
        <f>IF($AP5 = FALSE,"",IF(EE5="A","L",""))</f>
        <v/>
      </c>
      <c r="EN5" s="58" t="str">
        <f>IF($AP5 = FALSE,"",IF(EE5="A",N5,""))</f>
        <v/>
      </c>
      <c r="EO5" s="58" t="str">
        <f>IF($AP5 = FALSE,"",IF(EE5="A",O5,""))</f>
        <v/>
      </c>
      <c r="EP5" s="58" t="str">
        <f>IF($AP5 = FALSE,"",IF(EE5="A","0",""))</f>
        <v/>
      </c>
      <c r="EQ5" s="58" t="str">
        <f>IF($AP5 = FALSE,"",IF(EE5="A",IF(M5&lt;&gt;O5,O5/M5,1),""))</f>
        <v/>
      </c>
      <c r="ER5" s="58" t="str">
        <f>IF($AP5 = FALSE,"",IF(EE5="A","0",""))</f>
        <v/>
      </c>
      <c r="ES5" s="58" t="str">
        <f>IF($AP5 = FALSE,"",IF(EE5="A","0",""))</f>
        <v/>
      </c>
      <c r="ET5" s="58" t="str">
        <f>IF($AP5 = FALSE,"",TRIM(R5))</f>
        <v/>
      </c>
      <c r="EU5" s="58" t="str">
        <f>IF($AP5 = FALSE,"",IF(EE5="D","0",""))</f>
        <v/>
      </c>
      <c r="EV5" s="58" t="str">
        <f>IF($AP5 = FALSE,"",IF(EE5="D","1",""))</f>
        <v/>
      </c>
      <c r="EW5" s="58" t="str">
        <f>IF($AP5 = FALSE,"",IF(EE5="D","0",""))</f>
        <v/>
      </c>
      <c r="EX5" s="58" t="str">
        <f>IF($AP5 = FALSE,"",IF(EE5="S","82",""))</f>
        <v/>
      </c>
      <c r="EY5" s="58"/>
      <c r="EZ5" s="58"/>
      <c r="FA5" s="58" t="str">
        <f>IF($AP5 = FALSE,"","["&amp;DL_PVPLC&amp;"]"&amp;IF($Y5="",DL_AddrPrefixFull&amp;AL5,Y5))</f>
        <v/>
      </c>
      <c r="FB5" s="58"/>
      <c r="FC5" s="58"/>
      <c r="FD5" s="58"/>
      <c r="FE5" s="58"/>
      <c r="FF5" s="35"/>
      <c r="FG5" s="35"/>
      <c r="FH5" s="35" t="str">
        <f>IF(OR($A5="",DL_PVEnable=FALSE(),AC5="IGNORE",$AF5=TRUE,$AE5="",$AE5=FALSE),"",SUBSTITUTE($FH$2,"~Tag~",EF5))</f>
        <v/>
      </c>
      <c r="FI5" s="33" t="str">
        <f>IF(OR($A5="",DL_PVEnable=FALSE(),AC5="IGNORE",$AF5=TRUE,$AE5="",$AE5=FALSE),"",SUBSTITUTE($FI$2,"~Tag~",EG5))</f>
        <v/>
      </c>
      <c r="FJ5" s="62" t="str">
        <f>IF($AP5 = FALSE,"",IF(AC5&lt;&gt;"",AC5,DL_PVFolder))</f>
        <v/>
      </c>
    </row>
    <row r="6" spans="1:166" x14ac:dyDescent="0.3">
      <c r="A6" t="s">
        <v>580</v>
      </c>
      <c r="B6" t="s">
        <v>79</v>
      </c>
      <c r="C6" t="s">
        <v>361</v>
      </c>
      <c r="H6" t="s">
        <v>422</v>
      </c>
      <c r="K6" t="s">
        <v>423</v>
      </c>
      <c r="U6" t="s">
        <v>307</v>
      </c>
      <c r="W6" s="32"/>
      <c r="Y6" t="s">
        <v>887</v>
      </c>
      <c r="AF6" t="s">
        <v>718</v>
      </c>
      <c r="AK6" t="str">
        <f t="shared" ref="AK6:AK69" si="36">IF(V6="",A6,V6)&amp;IF(W6&lt;&gt;"","{"&amp;W6&amp;"}","")&amp;IF(X6&lt;&gt;"","/"&amp;X6,"")</f>
        <v>240V_NER_ISO_OPN_T</v>
      </c>
      <c r="AL6" t="str">
        <f t="shared" ref="AL6:AL69" si="37">IF(V6="",A6,V6)&amp;IF(W6&lt;&gt;"","["&amp;W6&amp;"]","")&amp;IF(X6&lt;&gt;"","/"&amp;X6,"")</f>
        <v>240V_NER_ISO_OPN_T</v>
      </c>
      <c r="AM6" t="b">
        <f t="shared" ref="AM6:AM69" si="38">$AF6&lt;&gt;TRUE</f>
        <v>1</v>
      </c>
      <c r="AN6" t="b">
        <f t="shared" si="0"/>
        <v>1</v>
      </c>
      <c r="AO6" t="b">
        <f t="shared" si="1"/>
        <v>0</v>
      </c>
      <c r="AP6" t="b">
        <f t="shared" si="2"/>
        <v>0</v>
      </c>
      <c r="AQ6" t="str">
        <f t="shared" si="3"/>
        <v>[TagPrefixFull]240V_NER_ISO_OPN_T</v>
      </c>
      <c r="AR6" t="str">
        <f>IF($AM6,VLOOKUP(B6,DataTypeMappings!$A$2:$B$18,2,"FALSE"),"")</f>
        <v>DIGITAL</v>
      </c>
      <c r="AS6" t="str">
        <f t="shared" si="4"/>
        <v>[PLC]</v>
      </c>
      <c r="AT6" t="str">
        <f t="shared" si="5"/>
        <v>LW_SS01_240V_NER_ISO_OPN_T</v>
      </c>
      <c r="AU6" t="str">
        <f t="shared" ref="AU6:AU69" si="39">IF($AM6,TRIM(L6),"")</f>
        <v/>
      </c>
      <c r="AV6" t="str">
        <f t="shared" ref="AV6:AV69" si="40">IF($AM6,TRIM(M6),"")</f>
        <v/>
      </c>
      <c r="AW6" t="str">
        <f t="shared" ref="AW6:AW69" si="41">IF($AM6,TRIM(N6),"")</f>
        <v/>
      </c>
      <c r="AX6" t="str">
        <f t="shared" ref="AX6:AX69" si="42">IF($AM6,TRIM(O6),"")</f>
        <v/>
      </c>
      <c r="AY6" t="str">
        <f t="shared" ref="AY6:AY69" si="43">IF($AM6,TRIM(R6),"")</f>
        <v/>
      </c>
      <c r="AZ6" t="str">
        <f t="shared" ref="AZ6:AZ69" si="44">IF($AM6,TRIM(S6),"")</f>
        <v/>
      </c>
      <c r="BA6" t="str">
        <f t="shared" si="6"/>
        <v xml:space="preserve">[Desc] - 240V NER Switch Open </v>
      </c>
      <c r="BJ6" t="str">
        <f t="shared" si="7"/>
        <v>[Cluster]</v>
      </c>
      <c r="BK6" t="str">
        <f t="shared" si="8"/>
        <v>[Equip]</v>
      </c>
      <c r="BL6" t="str">
        <f t="shared" si="9"/>
        <v/>
      </c>
      <c r="BM6" t="str">
        <f t="shared" si="10"/>
        <v>[Historian]</v>
      </c>
      <c r="BN6" t="str">
        <f t="shared" si="11"/>
        <v>[DigAlmName]</v>
      </c>
      <c r="BO6" t="str">
        <f t="shared" si="12"/>
        <v>[Desc]</v>
      </c>
      <c r="BP6" t="str">
        <f t="shared" ref="BP6:BP69" si="45">IF($AN6,U6,"")</f>
        <v>Alm_Trip</v>
      </c>
      <c r="BQ6" t="str">
        <f t="shared" ref="BQ6:BQ69" si="46">IF($AO6,T6,"")</f>
        <v/>
      </c>
      <c r="BU6" t="str">
        <f t="shared" ref="BU6:BU69" si="47">IF($AM6,TRIM(AJ6), "")</f>
        <v/>
      </c>
      <c r="BV6" t="str">
        <f t="shared" si="13"/>
        <v>[TagPrefixFull]240V_NER_ISO_OPN_T</v>
      </c>
      <c r="BW6" t="str">
        <f t="shared" si="14"/>
        <v>[TagPrefixFull]240V_NER_ISO_OPN_T</v>
      </c>
      <c r="BX6" t="str">
        <f t="shared" si="15"/>
        <v xml:space="preserve">[Desc] - 240V NER Switch Open </v>
      </c>
      <c r="BY6" t="str">
        <f t="shared" si="16"/>
        <v>[TagPrefixFull]240V_NER_ISO_OPN_T</v>
      </c>
      <c r="BZ6" t="str">
        <f t="shared" si="17"/>
        <v>[VariableB]</v>
      </c>
      <c r="CA6" t="str">
        <f t="shared" ref="CA6:CA69" si="48">IF($AN6,U6,"")</f>
        <v>Alm_Trip</v>
      </c>
      <c r="CB6" t="str">
        <f t="shared" si="18"/>
        <v>[Help]</v>
      </c>
      <c r="CC6" t="str">
        <f t="shared" si="19"/>
        <v>Priv_Alarm</v>
      </c>
      <c r="CD6" t="str">
        <f t="shared" si="20"/>
        <v>[Area]</v>
      </c>
      <c r="CE6" t="str">
        <f t="shared" si="21"/>
        <v xml:space="preserve">[Desc] - 240V NER Switch Open </v>
      </c>
      <c r="CH6" t="str">
        <f t="shared" si="22"/>
        <v>[DigAlmName]</v>
      </c>
      <c r="CP6" t="str">
        <f t="shared" si="23"/>
        <v>[Cluster]</v>
      </c>
      <c r="CV6" t="str">
        <f t="shared" si="24"/>
        <v>[Equip]</v>
      </c>
      <c r="CW6" t="e">
        <f t="shared" si="25"/>
        <v>#VALUE!</v>
      </c>
      <c r="CY6" t="str">
        <f t="shared" si="26"/>
        <v/>
      </c>
      <c r="CZ6" t="str">
        <f t="shared" si="27"/>
        <v/>
      </c>
      <c r="DB6" t="str">
        <f t="shared" ref="DB6:DB69" si="49">IF($AO6,T6,"")</f>
        <v/>
      </c>
      <c r="DE6" t="str">
        <f t="shared" ref="DE6:DE69" si="50">IF($AO6,TRIM(R6),"")</f>
        <v/>
      </c>
      <c r="DF6" t="str">
        <f t="shared" ref="DF6:DF69" si="51">IF($AO6,TRIM(S6),"")</f>
        <v/>
      </c>
      <c r="DG6" t="str">
        <f t="shared" si="28"/>
        <v/>
      </c>
      <c r="DH6" t="str">
        <f t="shared" si="29"/>
        <v/>
      </c>
      <c r="DI6" t="str">
        <f t="shared" si="30"/>
        <v/>
      </c>
      <c r="DJ6" t="str">
        <f t="shared" si="31"/>
        <v/>
      </c>
      <c r="DK6" t="str">
        <f t="shared" si="32"/>
        <v/>
      </c>
      <c r="DL6" t="str">
        <f t="shared" ref="DL6:DL69" si="52">IF($AO6,"TRN_PERIODIC","")</f>
        <v/>
      </c>
      <c r="DT6" t="str">
        <f t="shared" ref="DT6:DT69" si="53">IF($AO6,IF(AR6="DIGITAL","Scaled (2-byte samples)","Floating Point (8-byte samples)"),"")</f>
        <v/>
      </c>
      <c r="DU6" t="str">
        <f t="shared" si="33"/>
        <v/>
      </c>
      <c r="DZ6" t="str">
        <f t="shared" si="34"/>
        <v/>
      </c>
      <c r="EA6" t="str">
        <f t="shared" si="35"/>
        <v/>
      </c>
      <c r="EC6" t="str">
        <f t="shared" ref="EC6:EC69" si="54">IF($AO6,TRIM(P6),"")</f>
        <v/>
      </c>
      <c r="ED6" t="str">
        <f t="shared" ref="ED6:ED69" si="55">IF($AO6,TRIM(Q6),"")</f>
        <v/>
      </c>
    </row>
    <row r="7" spans="1:166" x14ac:dyDescent="0.3">
      <c r="A7" t="s">
        <v>581</v>
      </c>
      <c r="B7" t="s">
        <v>79</v>
      </c>
      <c r="C7" t="s">
        <v>362</v>
      </c>
      <c r="H7" t="s">
        <v>422</v>
      </c>
      <c r="K7" t="s">
        <v>362</v>
      </c>
      <c r="W7" s="44"/>
      <c r="Y7" t="s">
        <v>888</v>
      </c>
      <c r="AF7" t="s">
        <v>718</v>
      </c>
      <c r="AK7" t="str">
        <f t="shared" si="36"/>
        <v>BUEL_110V_HTY_I</v>
      </c>
      <c r="AL7" t="str">
        <f t="shared" si="37"/>
        <v>BUEL_110V_HTY_I</v>
      </c>
      <c r="AM7" t="b">
        <f t="shared" si="38"/>
        <v>1</v>
      </c>
      <c r="AN7" t="b">
        <f t="shared" si="0"/>
        <v>0</v>
      </c>
      <c r="AO7" t="b">
        <f t="shared" si="1"/>
        <v>0</v>
      </c>
      <c r="AP7" t="b">
        <f t="shared" si="2"/>
        <v>0</v>
      </c>
      <c r="AQ7" t="str">
        <f t="shared" si="3"/>
        <v>[TagPrefixFull]BUEL_110V_HTY_I</v>
      </c>
      <c r="AR7" t="str">
        <f>IF($AM7,VLOOKUP(B7,DataTypeMappings!$A$2:$B$18,2,"FALSE"),"")</f>
        <v>DIGITAL</v>
      </c>
      <c r="AS7" t="str">
        <f t="shared" si="4"/>
        <v>[PLC]</v>
      </c>
      <c r="AT7" t="str">
        <f t="shared" si="5"/>
        <v>LW_SS01_BUEL_110V_HTY_I</v>
      </c>
      <c r="AU7" t="str">
        <f t="shared" si="39"/>
        <v/>
      </c>
      <c r="AV7" t="str">
        <f t="shared" si="40"/>
        <v/>
      </c>
      <c r="AW7" t="str">
        <f t="shared" si="41"/>
        <v/>
      </c>
      <c r="AX7" t="str">
        <f t="shared" si="42"/>
        <v/>
      </c>
      <c r="AY7" t="str">
        <f t="shared" si="43"/>
        <v/>
      </c>
      <c r="AZ7" t="str">
        <f t="shared" si="44"/>
        <v/>
      </c>
      <c r="BA7" t="str">
        <f t="shared" si="6"/>
        <v>[Desc] - 110V BUEL Healthy</v>
      </c>
      <c r="BJ7" t="str">
        <f t="shared" si="7"/>
        <v>[Cluster]</v>
      </c>
      <c r="BK7" t="str">
        <f t="shared" si="8"/>
        <v>[Equip]</v>
      </c>
      <c r="BL7" t="str">
        <f t="shared" si="9"/>
        <v/>
      </c>
      <c r="BM7" t="str">
        <f t="shared" si="10"/>
        <v>[Historian]</v>
      </c>
      <c r="BN7" t="str">
        <f t="shared" si="11"/>
        <v>[DigAlmName]</v>
      </c>
      <c r="BO7" t="str">
        <f t="shared" si="12"/>
        <v>[Desc]</v>
      </c>
      <c r="BP7" t="str">
        <f t="shared" si="45"/>
        <v/>
      </c>
      <c r="BQ7" t="str">
        <f t="shared" si="46"/>
        <v/>
      </c>
      <c r="BU7" t="str">
        <f t="shared" si="47"/>
        <v/>
      </c>
      <c r="BV7" t="str">
        <f t="shared" si="13"/>
        <v/>
      </c>
      <c r="BW7" t="str">
        <f t="shared" si="14"/>
        <v/>
      </c>
      <c r="BX7" t="str">
        <f t="shared" si="15"/>
        <v/>
      </c>
      <c r="BY7" t="str">
        <f t="shared" si="16"/>
        <v/>
      </c>
      <c r="BZ7" t="str">
        <f t="shared" si="17"/>
        <v/>
      </c>
      <c r="CA7" t="str">
        <f t="shared" si="48"/>
        <v/>
      </c>
      <c r="CB7" t="str">
        <f t="shared" si="18"/>
        <v/>
      </c>
      <c r="CC7" t="str">
        <f t="shared" si="19"/>
        <v/>
      </c>
      <c r="CD7" t="str">
        <f t="shared" si="20"/>
        <v/>
      </c>
      <c r="CE7" t="str">
        <f t="shared" si="21"/>
        <v/>
      </c>
      <c r="CH7" t="str">
        <f t="shared" si="22"/>
        <v/>
      </c>
      <c r="CP7" t="str">
        <f t="shared" si="23"/>
        <v/>
      </c>
      <c r="CV7" t="str">
        <f t="shared" si="24"/>
        <v/>
      </c>
      <c r="CW7" t="str">
        <f t="shared" si="25"/>
        <v/>
      </c>
      <c r="CY7" t="str">
        <f t="shared" si="26"/>
        <v/>
      </c>
      <c r="CZ7" t="str">
        <f t="shared" si="27"/>
        <v/>
      </c>
      <c r="DB7" t="str">
        <f t="shared" si="49"/>
        <v/>
      </c>
      <c r="DE7" t="str">
        <f t="shared" si="50"/>
        <v/>
      </c>
      <c r="DF7" t="str">
        <f t="shared" si="51"/>
        <v/>
      </c>
      <c r="DG7" t="str">
        <f t="shared" si="28"/>
        <v/>
      </c>
      <c r="DH7" t="str">
        <f t="shared" si="29"/>
        <v/>
      </c>
      <c r="DI7" t="str">
        <f t="shared" si="30"/>
        <v/>
      </c>
      <c r="DJ7" t="str">
        <f t="shared" si="31"/>
        <v/>
      </c>
      <c r="DK7" t="str">
        <f t="shared" si="32"/>
        <v/>
      </c>
      <c r="DL7" t="str">
        <f t="shared" si="52"/>
        <v/>
      </c>
      <c r="DT7" t="str">
        <f t="shared" si="53"/>
        <v/>
      </c>
      <c r="DU7" t="str">
        <f t="shared" si="33"/>
        <v/>
      </c>
      <c r="DZ7" t="str">
        <f t="shared" si="34"/>
        <v/>
      </c>
      <c r="EA7" t="str">
        <f t="shared" si="35"/>
        <v/>
      </c>
      <c r="EC7" t="str">
        <f t="shared" si="54"/>
        <v/>
      </c>
      <c r="ED7" t="str">
        <f t="shared" si="55"/>
        <v/>
      </c>
    </row>
    <row r="8" spans="1:166" x14ac:dyDescent="0.3">
      <c r="A8" t="s">
        <v>582</v>
      </c>
      <c r="B8" t="s">
        <v>79</v>
      </c>
      <c r="C8" t="s">
        <v>363</v>
      </c>
      <c r="H8" t="s">
        <v>422</v>
      </c>
      <c r="K8" t="s">
        <v>363</v>
      </c>
      <c r="W8" s="44"/>
      <c r="Y8" t="s">
        <v>889</v>
      </c>
      <c r="AF8" t="s">
        <v>718</v>
      </c>
      <c r="AK8" t="str">
        <f t="shared" si="36"/>
        <v>BUEL_240V_HTY_I</v>
      </c>
      <c r="AL8" t="str">
        <f t="shared" si="37"/>
        <v>BUEL_240V_HTY_I</v>
      </c>
      <c r="AM8" t="b">
        <f t="shared" si="38"/>
        <v>1</v>
      </c>
      <c r="AN8" t="b">
        <f t="shared" si="0"/>
        <v>0</v>
      </c>
      <c r="AO8" t="b">
        <f t="shared" si="1"/>
        <v>0</v>
      </c>
      <c r="AP8" t="b">
        <f t="shared" si="2"/>
        <v>0</v>
      </c>
      <c r="AQ8" t="str">
        <f t="shared" si="3"/>
        <v>[TagPrefixFull]BUEL_240V_HTY_I</v>
      </c>
      <c r="AR8" t="str">
        <f>IF($AM8,VLOOKUP(B8,DataTypeMappings!$A$2:$B$18,2,"FALSE"),"")</f>
        <v>DIGITAL</v>
      </c>
      <c r="AS8" t="str">
        <f t="shared" si="4"/>
        <v>[PLC]</v>
      </c>
      <c r="AT8" t="str">
        <f t="shared" si="5"/>
        <v>LW_SS01_BUEL_240V_HTY_I</v>
      </c>
      <c r="AU8" t="str">
        <f t="shared" si="39"/>
        <v/>
      </c>
      <c r="AV8" t="str">
        <f t="shared" si="40"/>
        <v/>
      </c>
      <c r="AW8" t="str">
        <f t="shared" si="41"/>
        <v/>
      </c>
      <c r="AX8" t="str">
        <f t="shared" si="42"/>
        <v/>
      </c>
      <c r="AY8" t="str">
        <f t="shared" si="43"/>
        <v/>
      </c>
      <c r="AZ8" t="str">
        <f t="shared" si="44"/>
        <v/>
      </c>
      <c r="BA8" t="str">
        <f t="shared" si="6"/>
        <v>[Desc] - 240V BUEL Healthy</v>
      </c>
      <c r="BJ8" t="str">
        <f t="shared" si="7"/>
        <v>[Cluster]</v>
      </c>
      <c r="BK8" t="str">
        <f t="shared" si="8"/>
        <v>[Equip]</v>
      </c>
      <c r="BL8" t="str">
        <f t="shared" si="9"/>
        <v/>
      </c>
      <c r="BM8" t="str">
        <f t="shared" si="10"/>
        <v>[Historian]</v>
      </c>
      <c r="BN8" t="str">
        <f t="shared" si="11"/>
        <v>[DigAlmName]</v>
      </c>
      <c r="BO8" t="str">
        <f t="shared" si="12"/>
        <v>[Desc]</v>
      </c>
      <c r="BP8" t="str">
        <f t="shared" si="45"/>
        <v/>
      </c>
      <c r="BQ8" t="str">
        <f t="shared" si="46"/>
        <v/>
      </c>
      <c r="BU8" t="str">
        <f t="shared" si="47"/>
        <v/>
      </c>
      <c r="BV8" t="str">
        <f t="shared" si="13"/>
        <v/>
      </c>
      <c r="BW8" t="str">
        <f t="shared" si="14"/>
        <v/>
      </c>
      <c r="BX8" t="str">
        <f t="shared" si="15"/>
        <v/>
      </c>
      <c r="BY8" t="str">
        <f t="shared" si="16"/>
        <v/>
      </c>
      <c r="BZ8" t="str">
        <f t="shared" si="17"/>
        <v/>
      </c>
      <c r="CA8" t="str">
        <f t="shared" si="48"/>
        <v/>
      </c>
      <c r="CB8" t="str">
        <f t="shared" si="18"/>
        <v/>
      </c>
      <c r="CC8" t="str">
        <f t="shared" si="19"/>
        <v/>
      </c>
      <c r="CD8" t="str">
        <f t="shared" si="20"/>
        <v/>
      </c>
      <c r="CE8" t="str">
        <f t="shared" si="21"/>
        <v/>
      </c>
      <c r="CH8" t="str">
        <f t="shared" si="22"/>
        <v/>
      </c>
      <c r="CP8" t="str">
        <f t="shared" si="23"/>
        <v/>
      </c>
      <c r="CV8" t="str">
        <f t="shared" si="24"/>
        <v/>
      </c>
      <c r="CW8" t="str">
        <f t="shared" si="25"/>
        <v/>
      </c>
      <c r="CY8" t="str">
        <f t="shared" si="26"/>
        <v/>
      </c>
      <c r="CZ8" t="str">
        <f t="shared" si="27"/>
        <v/>
      </c>
      <c r="DB8" t="str">
        <f t="shared" si="49"/>
        <v/>
      </c>
      <c r="DE8" t="str">
        <f t="shared" si="50"/>
        <v/>
      </c>
      <c r="DF8" t="str">
        <f t="shared" si="51"/>
        <v/>
      </c>
      <c r="DG8" t="str">
        <f t="shared" si="28"/>
        <v/>
      </c>
      <c r="DH8" t="str">
        <f t="shared" si="29"/>
        <v/>
      </c>
      <c r="DI8" t="str">
        <f t="shared" si="30"/>
        <v/>
      </c>
      <c r="DJ8" t="str">
        <f t="shared" si="31"/>
        <v/>
      </c>
      <c r="DK8" t="str">
        <f t="shared" si="32"/>
        <v/>
      </c>
      <c r="DL8" t="str">
        <f t="shared" si="52"/>
        <v/>
      </c>
      <c r="DT8" t="str">
        <f t="shared" si="53"/>
        <v/>
      </c>
      <c r="DU8" t="str">
        <f t="shared" si="33"/>
        <v/>
      </c>
      <c r="DZ8" t="str">
        <f t="shared" si="34"/>
        <v/>
      </c>
      <c r="EA8" t="str">
        <f t="shared" si="35"/>
        <v/>
      </c>
      <c r="EC8" t="str">
        <f t="shared" si="54"/>
        <v/>
      </c>
      <c r="ED8" t="str">
        <f t="shared" si="55"/>
        <v/>
      </c>
    </row>
    <row r="9" spans="1:166" x14ac:dyDescent="0.3">
      <c r="A9" t="s">
        <v>583</v>
      </c>
      <c r="B9" t="s">
        <v>79</v>
      </c>
      <c r="C9" t="s">
        <v>364</v>
      </c>
      <c r="H9" t="s">
        <v>422</v>
      </c>
      <c r="K9" t="s">
        <v>364</v>
      </c>
      <c r="U9" t="s">
        <v>307</v>
      </c>
      <c r="W9" s="44"/>
      <c r="Y9" t="s">
        <v>890</v>
      </c>
      <c r="AF9" t="s">
        <v>718</v>
      </c>
      <c r="AK9" t="str">
        <f t="shared" si="36"/>
        <v>BUEL_240V_T</v>
      </c>
      <c r="AL9" t="str">
        <f t="shared" si="37"/>
        <v>BUEL_240V_T</v>
      </c>
      <c r="AM9" t="b">
        <f t="shared" si="38"/>
        <v>1</v>
      </c>
      <c r="AN9" t="b">
        <f t="shared" si="0"/>
        <v>1</v>
      </c>
      <c r="AO9" t="b">
        <f t="shared" si="1"/>
        <v>0</v>
      </c>
      <c r="AP9" t="b">
        <f t="shared" si="2"/>
        <v>0</v>
      </c>
      <c r="AQ9" t="str">
        <f t="shared" si="3"/>
        <v>[TagPrefixFull]BUEL_240V_T</v>
      </c>
      <c r="AR9" t="str">
        <f>IF($AM9,VLOOKUP(B9,DataTypeMappings!$A$2:$B$18,2,"FALSE"),"")</f>
        <v>DIGITAL</v>
      </c>
      <c r="AS9" t="str">
        <f t="shared" si="4"/>
        <v>[PLC]</v>
      </c>
      <c r="AT9" t="str">
        <f t="shared" si="5"/>
        <v>LW_SS01_BUEL_240V_T</v>
      </c>
      <c r="AU9" t="str">
        <f t="shared" si="39"/>
        <v/>
      </c>
      <c r="AV9" t="str">
        <f t="shared" si="40"/>
        <v/>
      </c>
      <c r="AW9" t="str">
        <f t="shared" si="41"/>
        <v/>
      </c>
      <c r="AX9" t="str">
        <f t="shared" si="42"/>
        <v/>
      </c>
      <c r="AY9" t="str">
        <f t="shared" si="43"/>
        <v/>
      </c>
      <c r="AZ9" t="str">
        <f t="shared" si="44"/>
        <v/>
      </c>
      <c r="BA9" t="str">
        <f t="shared" si="6"/>
        <v>[Desc] - 240V BUEL Tripped</v>
      </c>
      <c r="BJ9" t="str">
        <f t="shared" si="7"/>
        <v>[Cluster]</v>
      </c>
      <c r="BK9" t="str">
        <f t="shared" si="8"/>
        <v>[Equip]</v>
      </c>
      <c r="BL9" t="str">
        <f t="shared" si="9"/>
        <v/>
      </c>
      <c r="BM9" t="str">
        <f t="shared" si="10"/>
        <v>[Historian]</v>
      </c>
      <c r="BN9" t="str">
        <f t="shared" si="11"/>
        <v>[DigAlmName]</v>
      </c>
      <c r="BO9" t="str">
        <f t="shared" si="12"/>
        <v>[Desc]</v>
      </c>
      <c r="BP9" t="str">
        <f t="shared" si="45"/>
        <v>Alm_Trip</v>
      </c>
      <c r="BQ9" t="str">
        <f t="shared" si="46"/>
        <v/>
      </c>
      <c r="BU9" t="str">
        <f t="shared" si="47"/>
        <v/>
      </c>
      <c r="BV9" t="str">
        <f t="shared" si="13"/>
        <v>[TagPrefixFull]BUEL_240V_T</v>
      </c>
      <c r="BW9" t="str">
        <f t="shared" si="14"/>
        <v>[TagPrefixFull]BUEL_240V_T</v>
      </c>
      <c r="BX9" t="str">
        <f t="shared" si="15"/>
        <v>[Desc] - 240V BUEL Tripped</v>
      </c>
      <c r="BY9" t="str">
        <f t="shared" si="16"/>
        <v>[TagPrefixFull]BUEL_240V_T</v>
      </c>
      <c r="BZ9" t="str">
        <f t="shared" si="17"/>
        <v>[VariableB]</v>
      </c>
      <c r="CA9" t="str">
        <f t="shared" si="48"/>
        <v>Alm_Trip</v>
      </c>
      <c r="CB9" t="str">
        <f t="shared" si="18"/>
        <v>[Help]</v>
      </c>
      <c r="CC9" t="str">
        <f t="shared" si="19"/>
        <v>Priv_Alarm</v>
      </c>
      <c r="CD9" t="str">
        <f t="shared" si="20"/>
        <v>[Area]</v>
      </c>
      <c r="CE9" t="str">
        <f t="shared" si="21"/>
        <v>[Desc] - 240V BUEL Tripped</v>
      </c>
      <c r="CH9" t="str">
        <f t="shared" si="22"/>
        <v>[DigAlmName]</v>
      </c>
      <c r="CP9" t="str">
        <f t="shared" si="23"/>
        <v>[Cluster]</v>
      </c>
      <c r="CV9" t="str">
        <f t="shared" si="24"/>
        <v>[Equip]</v>
      </c>
      <c r="CW9" t="e">
        <f t="shared" si="25"/>
        <v>#VALUE!</v>
      </c>
      <c r="CY9" t="str">
        <f t="shared" si="26"/>
        <v/>
      </c>
      <c r="CZ9" t="str">
        <f t="shared" si="27"/>
        <v/>
      </c>
      <c r="DB9" t="str">
        <f t="shared" si="49"/>
        <v/>
      </c>
      <c r="DE9" t="str">
        <f t="shared" si="50"/>
        <v/>
      </c>
      <c r="DF9" t="str">
        <f t="shared" si="51"/>
        <v/>
      </c>
      <c r="DG9" t="str">
        <f t="shared" si="28"/>
        <v/>
      </c>
      <c r="DH9" t="str">
        <f t="shared" si="29"/>
        <v/>
      </c>
      <c r="DI9" t="str">
        <f t="shared" si="30"/>
        <v/>
      </c>
      <c r="DJ9" t="str">
        <f t="shared" si="31"/>
        <v/>
      </c>
      <c r="DK9" t="str">
        <f t="shared" si="32"/>
        <v/>
      </c>
      <c r="DL9" t="str">
        <f t="shared" si="52"/>
        <v/>
      </c>
      <c r="DT9" t="str">
        <f t="shared" si="53"/>
        <v/>
      </c>
      <c r="DU9" t="str">
        <f t="shared" si="33"/>
        <v/>
      </c>
      <c r="DZ9" t="str">
        <f t="shared" si="34"/>
        <v/>
      </c>
      <c r="EA9" t="str">
        <f t="shared" si="35"/>
        <v/>
      </c>
      <c r="EC9" t="str">
        <f t="shared" si="54"/>
        <v/>
      </c>
      <c r="ED9" t="str">
        <f t="shared" si="55"/>
        <v/>
      </c>
    </row>
    <row r="10" spans="1:166" x14ac:dyDescent="0.3">
      <c r="A10" t="s">
        <v>584</v>
      </c>
      <c r="B10" t="s">
        <v>79</v>
      </c>
      <c r="C10" t="s">
        <v>365</v>
      </c>
      <c r="H10" t="s">
        <v>422</v>
      </c>
      <c r="K10" t="s">
        <v>365</v>
      </c>
      <c r="W10" s="44"/>
      <c r="Y10" t="s">
        <v>891</v>
      </c>
      <c r="AF10" t="s">
        <v>718</v>
      </c>
      <c r="AK10" t="str">
        <f t="shared" si="36"/>
        <v>CB_240V_CLSD_I</v>
      </c>
      <c r="AL10" t="str">
        <f t="shared" si="37"/>
        <v>CB_240V_CLSD_I</v>
      </c>
      <c r="AM10" t="b">
        <f t="shared" si="38"/>
        <v>1</v>
      </c>
      <c r="AN10" t="b">
        <f t="shared" si="0"/>
        <v>0</v>
      </c>
      <c r="AO10" t="b">
        <f t="shared" si="1"/>
        <v>0</v>
      </c>
      <c r="AP10" t="b">
        <f t="shared" si="2"/>
        <v>0</v>
      </c>
      <c r="AQ10" t="str">
        <f t="shared" si="3"/>
        <v>[TagPrefixFull]CB_240V_CLSD_I</v>
      </c>
      <c r="AR10" t="str">
        <f>IF($AM10,VLOOKUP(B10,DataTypeMappings!$A$2:$B$18,2,"FALSE"),"")</f>
        <v>DIGITAL</v>
      </c>
      <c r="AS10" t="str">
        <f t="shared" si="4"/>
        <v>[PLC]</v>
      </c>
      <c r="AT10" t="str">
        <f t="shared" si="5"/>
        <v>LW_SS01_CB_240V_CLSD_I</v>
      </c>
      <c r="AU10" t="str">
        <f t="shared" si="39"/>
        <v/>
      </c>
      <c r="AV10" t="str">
        <f t="shared" si="40"/>
        <v/>
      </c>
      <c r="AW10" t="str">
        <f t="shared" si="41"/>
        <v/>
      </c>
      <c r="AX10" t="str">
        <f t="shared" si="42"/>
        <v/>
      </c>
      <c r="AY10" t="str">
        <f t="shared" si="43"/>
        <v/>
      </c>
      <c r="AZ10" t="str">
        <f t="shared" si="44"/>
        <v/>
      </c>
      <c r="BA10" t="str">
        <f t="shared" si="6"/>
        <v>[Desc] - 240V CB Closed</v>
      </c>
      <c r="BJ10" t="str">
        <f t="shared" si="7"/>
        <v>[Cluster]</v>
      </c>
      <c r="BK10" t="str">
        <f t="shared" si="8"/>
        <v>[Equip]</v>
      </c>
      <c r="BL10" t="str">
        <f t="shared" si="9"/>
        <v/>
      </c>
      <c r="BM10" t="str">
        <f t="shared" si="10"/>
        <v>[Historian]</v>
      </c>
      <c r="BN10" t="str">
        <f t="shared" si="11"/>
        <v>[DigAlmName]</v>
      </c>
      <c r="BO10" t="str">
        <f t="shared" si="12"/>
        <v>[Desc]</v>
      </c>
      <c r="BP10" t="str">
        <f t="shared" si="45"/>
        <v/>
      </c>
      <c r="BQ10" t="str">
        <f t="shared" si="46"/>
        <v/>
      </c>
      <c r="BU10" t="str">
        <f t="shared" si="47"/>
        <v/>
      </c>
      <c r="BV10" t="str">
        <f t="shared" si="13"/>
        <v/>
      </c>
      <c r="BW10" t="str">
        <f t="shared" si="14"/>
        <v/>
      </c>
      <c r="BX10" t="str">
        <f t="shared" si="15"/>
        <v/>
      </c>
      <c r="BY10" t="str">
        <f t="shared" si="16"/>
        <v/>
      </c>
      <c r="BZ10" t="str">
        <f t="shared" si="17"/>
        <v/>
      </c>
      <c r="CA10" t="str">
        <f t="shared" si="48"/>
        <v/>
      </c>
      <c r="CB10" t="str">
        <f t="shared" si="18"/>
        <v/>
      </c>
      <c r="CC10" t="str">
        <f t="shared" si="19"/>
        <v/>
      </c>
      <c r="CD10" t="str">
        <f t="shared" si="20"/>
        <v/>
      </c>
      <c r="CE10" t="str">
        <f t="shared" si="21"/>
        <v/>
      </c>
      <c r="CH10" t="str">
        <f t="shared" si="22"/>
        <v/>
      </c>
      <c r="CP10" t="str">
        <f t="shared" si="23"/>
        <v/>
      </c>
      <c r="CV10" t="str">
        <f t="shared" si="24"/>
        <v/>
      </c>
      <c r="CW10" t="str">
        <f t="shared" si="25"/>
        <v/>
      </c>
      <c r="CY10" t="str">
        <f t="shared" si="26"/>
        <v/>
      </c>
      <c r="CZ10" t="str">
        <f t="shared" si="27"/>
        <v/>
      </c>
      <c r="DB10" t="str">
        <f t="shared" si="49"/>
        <v/>
      </c>
      <c r="DE10" t="str">
        <f t="shared" si="50"/>
        <v/>
      </c>
      <c r="DF10" t="str">
        <f t="shared" si="51"/>
        <v/>
      </c>
      <c r="DG10" t="str">
        <f t="shared" si="28"/>
        <v/>
      </c>
      <c r="DH10" t="str">
        <f t="shared" si="29"/>
        <v/>
      </c>
      <c r="DI10" t="str">
        <f t="shared" si="30"/>
        <v/>
      </c>
      <c r="DJ10" t="str">
        <f t="shared" si="31"/>
        <v/>
      </c>
      <c r="DK10" t="str">
        <f t="shared" si="32"/>
        <v/>
      </c>
      <c r="DL10" t="str">
        <f t="shared" si="52"/>
        <v/>
      </c>
      <c r="DT10" t="str">
        <f t="shared" si="53"/>
        <v/>
      </c>
      <c r="DU10" t="str">
        <f t="shared" si="33"/>
        <v/>
      </c>
      <c r="DZ10" t="str">
        <f t="shared" si="34"/>
        <v/>
      </c>
      <c r="EA10" t="str">
        <f t="shared" si="35"/>
        <v/>
      </c>
      <c r="EC10" t="str">
        <f t="shared" si="54"/>
        <v/>
      </c>
      <c r="ED10" t="str">
        <f t="shared" si="55"/>
        <v/>
      </c>
    </row>
    <row r="11" spans="1:166" x14ac:dyDescent="0.3">
      <c r="A11" t="s">
        <v>585</v>
      </c>
      <c r="B11" t="s">
        <v>79</v>
      </c>
      <c r="C11" t="s">
        <v>366</v>
      </c>
      <c r="H11" t="s">
        <v>422</v>
      </c>
      <c r="K11" t="s">
        <v>424</v>
      </c>
      <c r="U11" t="s">
        <v>307</v>
      </c>
      <c r="W11" s="44"/>
      <c r="Y11" t="s">
        <v>892</v>
      </c>
      <c r="AF11" t="s">
        <v>718</v>
      </c>
      <c r="AK11" t="str">
        <f t="shared" si="36"/>
        <v>CB_240V_OPN_W</v>
      </c>
      <c r="AL11" t="str">
        <f t="shared" si="37"/>
        <v>CB_240V_OPN_W</v>
      </c>
      <c r="AM11" t="b">
        <f t="shared" si="38"/>
        <v>1</v>
      </c>
      <c r="AN11" t="b">
        <f t="shared" si="0"/>
        <v>1</v>
      </c>
      <c r="AO11" t="b">
        <f t="shared" si="1"/>
        <v>0</v>
      </c>
      <c r="AP11" t="b">
        <f t="shared" si="2"/>
        <v>0</v>
      </c>
      <c r="AQ11" t="str">
        <f t="shared" si="3"/>
        <v>[TagPrefixFull]CB_240V_OPN_W</v>
      </c>
      <c r="AR11" t="str">
        <f>IF($AM11,VLOOKUP(B11,DataTypeMappings!$A$2:$B$18,2,"FALSE"),"")</f>
        <v>DIGITAL</v>
      </c>
      <c r="AS11" t="str">
        <f t="shared" si="4"/>
        <v>[PLC]</v>
      </c>
      <c r="AT11" t="str">
        <f t="shared" si="5"/>
        <v>LW_SS01_CB_240V_OPN_W</v>
      </c>
      <c r="AU11" t="str">
        <f t="shared" si="39"/>
        <v/>
      </c>
      <c r="AV11" t="str">
        <f t="shared" si="40"/>
        <v/>
      </c>
      <c r="AW11" t="str">
        <f t="shared" si="41"/>
        <v/>
      </c>
      <c r="AX11" t="str">
        <f t="shared" si="42"/>
        <v/>
      </c>
      <c r="AY11" t="str">
        <f t="shared" si="43"/>
        <v/>
      </c>
      <c r="AZ11" t="str">
        <f t="shared" si="44"/>
        <v/>
      </c>
      <c r="BA11" t="str">
        <f t="shared" si="6"/>
        <v xml:space="preserve">[Desc] - 240V CB Open </v>
      </c>
      <c r="BJ11" t="str">
        <f t="shared" si="7"/>
        <v>[Cluster]</v>
      </c>
      <c r="BK11" t="str">
        <f t="shared" si="8"/>
        <v>[Equip]</v>
      </c>
      <c r="BL11" t="str">
        <f t="shared" si="9"/>
        <v/>
      </c>
      <c r="BM11" t="str">
        <f t="shared" si="10"/>
        <v>[Historian]</v>
      </c>
      <c r="BN11" t="str">
        <f t="shared" si="11"/>
        <v>[DigAlmName]</v>
      </c>
      <c r="BO11" t="str">
        <f t="shared" si="12"/>
        <v>[Desc]</v>
      </c>
      <c r="BP11" t="str">
        <f t="shared" si="45"/>
        <v>Alm_Trip</v>
      </c>
      <c r="BQ11" t="str">
        <f t="shared" si="46"/>
        <v/>
      </c>
      <c r="BU11" t="str">
        <f t="shared" si="47"/>
        <v/>
      </c>
      <c r="BV11" t="str">
        <f t="shared" si="13"/>
        <v>[TagPrefixFull]CB_240V_OPN_W</v>
      </c>
      <c r="BW11" t="str">
        <f t="shared" si="14"/>
        <v>[TagPrefixFull]CB_240V_OPN_W</v>
      </c>
      <c r="BX11" t="str">
        <f t="shared" si="15"/>
        <v xml:space="preserve">[Desc] - 240V CB Open </v>
      </c>
      <c r="BY11" t="str">
        <f t="shared" si="16"/>
        <v>[TagPrefixFull]CB_240V_OPN_W</v>
      </c>
      <c r="BZ11" t="str">
        <f t="shared" si="17"/>
        <v>[VariableB]</v>
      </c>
      <c r="CA11" t="str">
        <f t="shared" si="48"/>
        <v>Alm_Trip</v>
      </c>
      <c r="CB11" t="str">
        <f t="shared" si="18"/>
        <v>[Help]</v>
      </c>
      <c r="CC11" t="str">
        <f t="shared" si="19"/>
        <v>Priv_Alarm</v>
      </c>
      <c r="CD11" t="str">
        <f t="shared" si="20"/>
        <v>[Area]</v>
      </c>
      <c r="CE11" t="str">
        <f t="shared" si="21"/>
        <v xml:space="preserve">[Desc] - 240V CB Open </v>
      </c>
      <c r="CH11" t="str">
        <f t="shared" si="22"/>
        <v>[DigAlmName]</v>
      </c>
      <c r="CP11" t="str">
        <f t="shared" si="23"/>
        <v>[Cluster]</v>
      </c>
      <c r="CV11" t="str">
        <f t="shared" si="24"/>
        <v>[Equip]</v>
      </c>
      <c r="CW11" t="e">
        <f t="shared" si="25"/>
        <v>#VALUE!</v>
      </c>
      <c r="CY11" t="str">
        <f t="shared" si="26"/>
        <v/>
      </c>
      <c r="CZ11" t="str">
        <f t="shared" si="27"/>
        <v/>
      </c>
      <c r="DB11" t="str">
        <f t="shared" si="49"/>
        <v/>
      </c>
      <c r="DE11" t="str">
        <f t="shared" si="50"/>
        <v/>
      </c>
      <c r="DF11" t="str">
        <f t="shared" si="51"/>
        <v/>
      </c>
      <c r="DG11" t="str">
        <f t="shared" si="28"/>
        <v/>
      </c>
      <c r="DH11" t="str">
        <f t="shared" si="29"/>
        <v/>
      </c>
      <c r="DI11" t="str">
        <f t="shared" si="30"/>
        <v/>
      </c>
      <c r="DJ11" t="str">
        <f t="shared" si="31"/>
        <v/>
      </c>
      <c r="DK11" t="str">
        <f t="shared" si="32"/>
        <v/>
      </c>
      <c r="DL11" t="str">
        <f t="shared" si="52"/>
        <v/>
      </c>
      <c r="DT11" t="str">
        <f t="shared" si="53"/>
        <v/>
      </c>
      <c r="DU11" t="str">
        <f t="shared" si="33"/>
        <v/>
      </c>
      <c r="DZ11" t="str">
        <f t="shared" si="34"/>
        <v/>
      </c>
      <c r="EA11" t="str">
        <f t="shared" si="35"/>
        <v/>
      </c>
      <c r="EC11" t="str">
        <f t="shared" si="54"/>
        <v/>
      </c>
      <c r="ED11" t="str">
        <f t="shared" si="55"/>
        <v/>
      </c>
    </row>
    <row r="12" spans="1:166" x14ac:dyDescent="0.3">
      <c r="A12" t="s">
        <v>586</v>
      </c>
      <c r="B12" t="s">
        <v>79</v>
      </c>
      <c r="C12" t="s">
        <v>367</v>
      </c>
      <c r="H12" t="s">
        <v>422</v>
      </c>
      <c r="K12" t="s">
        <v>425</v>
      </c>
      <c r="U12" t="s">
        <v>307</v>
      </c>
      <c r="W12" s="44"/>
      <c r="Y12" t="s">
        <v>893</v>
      </c>
      <c r="AF12" t="s">
        <v>718</v>
      </c>
      <c r="AK12" t="str">
        <f t="shared" si="36"/>
        <v>Face_CB_ESW_CLSD_W</v>
      </c>
      <c r="AL12" t="str">
        <f t="shared" si="37"/>
        <v>Face_CB_ESW_CLSD_W</v>
      </c>
      <c r="AM12" t="b">
        <f t="shared" si="38"/>
        <v>1</v>
      </c>
      <c r="AN12" t="b">
        <f t="shared" si="0"/>
        <v>1</v>
      </c>
      <c r="AO12" t="b">
        <f t="shared" si="1"/>
        <v>0</v>
      </c>
      <c r="AP12" t="b">
        <f t="shared" si="2"/>
        <v>0</v>
      </c>
      <c r="AQ12" t="str">
        <f t="shared" si="3"/>
        <v>[TagPrefixFull]Face_CB_ESW_CLSD_W</v>
      </c>
      <c r="AR12" t="str">
        <f>IF($AM12,VLOOKUP(B12,DataTypeMappings!$A$2:$B$18,2,"FALSE"),"")</f>
        <v>DIGITAL</v>
      </c>
      <c r="AS12" t="str">
        <f t="shared" si="4"/>
        <v>[PLC]</v>
      </c>
      <c r="AT12" t="str">
        <f t="shared" si="5"/>
        <v>LW_SS01_Face_CB_ESW_CLSD_W</v>
      </c>
      <c r="AU12" t="str">
        <f t="shared" si="39"/>
        <v/>
      </c>
      <c r="AV12" t="str">
        <f t="shared" si="40"/>
        <v/>
      </c>
      <c r="AW12" t="str">
        <f t="shared" si="41"/>
        <v/>
      </c>
      <c r="AX12" t="str">
        <f t="shared" si="42"/>
        <v/>
      </c>
      <c r="AY12" t="str">
        <f t="shared" si="43"/>
        <v/>
      </c>
      <c r="AZ12" t="str">
        <f t="shared" si="44"/>
        <v/>
      </c>
      <c r="BA12" t="str">
        <f t="shared" si="6"/>
        <v xml:space="preserve">[Desc] - Face CB Earth Switch Closed </v>
      </c>
      <c r="BJ12" t="str">
        <f t="shared" si="7"/>
        <v>[Cluster]</v>
      </c>
      <c r="BK12" t="str">
        <f t="shared" si="8"/>
        <v>[Equip]</v>
      </c>
      <c r="BL12" t="str">
        <f t="shared" si="9"/>
        <v/>
      </c>
      <c r="BM12" t="str">
        <f t="shared" si="10"/>
        <v>[Historian]</v>
      </c>
      <c r="BN12" t="str">
        <f t="shared" si="11"/>
        <v>[DigAlmName]</v>
      </c>
      <c r="BO12" t="str">
        <f t="shared" si="12"/>
        <v>[Desc]</v>
      </c>
      <c r="BP12" t="str">
        <f t="shared" si="45"/>
        <v>Alm_Trip</v>
      </c>
      <c r="BQ12" t="str">
        <f t="shared" si="46"/>
        <v/>
      </c>
      <c r="BU12" t="str">
        <f t="shared" si="47"/>
        <v/>
      </c>
      <c r="BV12" t="str">
        <f t="shared" si="13"/>
        <v>[TagPrefixFull]Face_CB_ESW_CLSD_W</v>
      </c>
      <c r="BW12" t="str">
        <f t="shared" si="14"/>
        <v>[TagPrefixFull]Face_CB_ESW_CLSD_W</v>
      </c>
      <c r="BX12" t="str">
        <f t="shared" si="15"/>
        <v xml:space="preserve">[Desc] - Face CB Earth Switch Closed </v>
      </c>
      <c r="BY12" t="str">
        <f t="shared" si="16"/>
        <v>[TagPrefixFull]Face_CB_ESW_CLSD_W</v>
      </c>
      <c r="BZ12" t="str">
        <f t="shared" si="17"/>
        <v>[VariableB]</v>
      </c>
      <c r="CA12" t="str">
        <f t="shared" si="48"/>
        <v>Alm_Trip</v>
      </c>
      <c r="CB12" t="str">
        <f t="shared" si="18"/>
        <v>[Help]</v>
      </c>
      <c r="CC12" t="str">
        <f t="shared" si="19"/>
        <v>Priv_Alarm</v>
      </c>
      <c r="CD12" t="str">
        <f t="shared" si="20"/>
        <v>[Area]</v>
      </c>
      <c r="CE12" t="str">
        <f t="shared" si="21"/>
        <v xml:space="preserve">[Desc] - Face CB Earth Switch Closed </v>
      </c>
      <c r="CH12" t="str">
        <f t="shared" si="22"/>
        <v>[DigAlmName]</v>
      </c>
      <c r="CP12" t="str">
        <f t="shared" si="23"/>
        <v>[Cluster]</v>
      </c>
      <c r="CV12" t="str">
        <f t="shared" si="24"/>
        <v>[Equip]</v>
      </c>
      <c r="CW12" t="e">
        <f t="shared" si="25"/>
        <v>#VALUE!</v>
      </c>
      <c r="CY12" t="str">
        <f t="shared" si="26"/>
        <v/>
      </c>
      <c r="CZ12" t="str">
        <f t="shared" si="27"/>
        <v/>
      </c>
      <c r="DB12" t="str">
        <f t="shared" si="49"/>
        <v/>
      </c>
      <c r="DE12" t="str">
        <f t="shared" si="50"/>
        <v/>
      </c>
      <c r="DF12" t="str">
        <f t="shared" si="51"/>
        <v/>
      </c>
      <c r="DG12" t="str">
        <f t="shared" si="28"/>
        <v/>
      </c>
      <c r="DH12" t="str">
        <f t="shared" si="29"/>
        <v/>
      </c>
      <c r="DI12" t="str">
        <f t="shared" si="30"/>
        <v/>
      </c>
      <c r="DJ12" t="str">
        <f t="shared" si="31"/>
        <v/>
      </c>
      <c r="DK12" t="str">
        <f t="shared" si="32"/>
        <v/>
      </c>
      <c r="DL12" t="str">
        <f t="shared" si="52"/>
        <v/>
      </c>
      <c r="DT12" t="str">
        <f t="shared" si="53"/>
        <v/>
      </c>
      <c r="DU12" t="str">
        <f t="shared" si="33"/>
        <v/>
      </c>
      <c r="DZ12" t="str">
        <f t="shared" si="34"/>
        <v/>
      </c>
      <c r="EA12" t="str">
        <f t="shared" si="35"/>
        <v/>
      </c>
      <c r="EC12" t="str">
        <f t="shared" si="54"/>
        <v/>
      </c>
      <c r="ED12" t="str">
        <f t="shared" si="55"/>
        <v/>
      </c>
    </row>
    <row r="13" spans="1:166" x14ac:dyDescent="0.3">
      <c r="A13" t="s">
        <v>587</v>
      </c>
      <c r="B13" t="s">
        <v>79</v>
      </c>
      <c r="C13" t="s">
        <v>368</v>
      </c>
      <c r="H13" t="s">
        <v>422</v>
      </c>
      <c r="K13" t="s">
        <v>368</v>
      </c>
      <c r="W13" s="44"/>
      <c r="Y13" t="s">
        <v>894</v>
      </c>
      <c r="AF13" t="s">
        <v>718</v>
      </c>
      <c r="AK13" t="str">
        <f t="shared" si="36"/>
        <v>MC_240V_HTY_I</v>
      </c>
      <c r="AL13" t="str">
        <f t="shared" si="37"/>
        <v>MC_240V_HTY_I</v>
      </c>
      <c r="AM13" t="b">
        <f t="shared" si="38"/>
        <v>1</v>
      </c>
      <c r="AN13" t="b">
        <f t="shared" si="0"/>
        <v>0</v>
      </c>
      <c r="AO13" t="b">
        <f t="shared" si="1"/>
        <v>0</v>
      </c>
      <c r="AP13" t="b">
        <f t="shared" si="2"/>
        <v>0</v>
      </c>
      <c r="AQ13" t="str">
        <f t="shared" si="3"/>
        <v>[TagPrefixFull]MC_240V_HTY_I</v>
      </c>
      <c r="AR13" t="str">
        <f>IF($AM13,VLOOKUP(B13,DataTypeMappings!$A$2:$B$18,2,"FALSE"),"")</f>
        <v>DIGITAL</v>
      </c>
      <c r="AS13" t="str">
        <f t="shared" si="4"/>
        <v>[PLC]</v>
      </c>
      <c r="AT13" t="str">
        <f t="shared" si="5"/>
        <v>LW_SS01_MC_240V_HTY_I</v>
      </c>
      <c r="AU13" t="str">
        <f t="shared" si="39"/>
        <v/>
      </c>
      <c r="AV13" t="str">
        <f t="shared" si="40"/>
        <v/>
      </c>
      <c r="AW13" t="str">
        <f t="shared" si="41"/>
        <v/>
      </c>
      <c r="AX13" t="str">
        <f t="shared" si="42"/>
        <v/>
      </c>
      <c r="AY13" t="str">
        <f t="shared" si="43"/>
        <v/>
      </c>
      <c r="AZ13" t="str">
        <f t="shared" si="44"/>
        <v/>
      </c>
      <c r="BA13" t="str">
        <f t="shared" si="6"/>
        <v>[Desc] - 240V MC Healthy</v>
      </c>
      <c r="BJ13" t="str">
        <f t="shared" si="7"/>
        <v>[Cluster]</v>
      </c>
      <c r="BK13" t="str">
        <f t="shared" si="8"/>
        <v>[Equip]</v>
      </c>
      <c r="BL13" t="str">
        <f t="shared" si="9"/>
        <v/>
      </c>
      <c r="BM13" t="str">
        <f t="shared" si="10"/>
        <v>[Historian]</v>
      </c>
      <c r="BN13" t="str">
        <f t="shared" si="11"/>
        <v>[DigAlmName]</v>
      </c>
      <c r="BO13" t="str">
        <f t="shared" si="12"/>
        <v>[Desc]</v>
      </c>
      <c r="BP13" t="str">
        <f t="shared" si="45"/>
        <v/>
      </c>
      <c r="BQ13" t="str">
        <f t="shared" si="46"/>
        <v/>
      </c>
      <c r="BU13" t="str">
        <f t="shared" si="47"/>
        <v/>
      </c>
      <c r="BV13" t="str">
        <f t="shared" si="13"/>
        <v/>
      </c>
      <c r="BW13" t="str">
        <f t="shared" si="14"/>
        <v/>
      </c>
      <c r="BX13" t="str">
        <f t="shared" si="15"/>
        <v/>
      </c>
      <c r="BY13" t="str">
        <f t="shared" si="16"/>
        <v/>
      </c>
      <c r="BZ13" t="str">
        <f t="shared" si="17"/>
        <v/>
      </c>
      <c r="CA13" t="str">
        <f t="shared" si="48"/>
        <v/>
      </c>
      <c r="CB13" t="str">
        <f t="shared" si="18"/>
        <v/>
      </c>
      <c r="CC13" t="str">
        <f t="shared" si="19"/>
        <v/>
      </c>
      <c r="CD13" t="str">
        <f t="shared" si="20"/>
        <v/>
      </c>
      <c r="CE13" t="str">
        <f t="shared" si="21"/>
        <v/>
      </c>
      <c r="CH13" t="str">
        <f t="shared" si="22"/>
        <v/>
      </c>
      <c r="CP13" t="str">
        <f t="shared" si="23"/>
        <v/>
      </c>
      <c r="CV13" t="str">
        <f t="shared" si="24"/>
        <v/>
      </c>
      <c r="CW13" t="str">
        <f t="shared" si="25"/>
        <v/>
      </c>
      <c r="CY13" t="str">
        <f t="shared" si="26"/>
        <v/>
      </c>
      <c r="CZ13" t="str">
        <f t="shared" si="27"/>
        <v/>
      </c>
      <c r="DB13" t="str">
        <f t="shared" si="49"/>
        <v/>
      </c>
      <c r="DE13" t="str">
        <f t="shared" si="50"/>
        <v/>
      </c>
      <c r="DF13" t="str">
        <f t="shared" si="51"/>
        <v/>
      </c>
      <c r="DG13" t="str">
        <f t="shared" si="28"/>
        <v/>
      </c>
      <c r="DH13" t="str">
        <f t="shared" si="29"/>
        <v/>
      </c>
      <c r="DI13" t="str">
        <f t="shared" si="30"/>
        <v/>
      </c>
      <c r="DJ13" t="str">
        <f t="shared" si="31"/>
        <v/>
      </c>
      <c r="DK13" t="str">
        <f t="shared" si="32"/>
        <v/>
      </c>
      <c r="DL13" t="str">
        <f t="shared" si="52"/>
        <v/>
      </c>
      <c r="DT13" t="str">
        <f t="shared" si="53"/>
        <v/>
      </c>
      <c r="DU13" t="str">
        <f t="shared" si="33"/>
        <v/>
      </c>
      <c r="DZ13" t="str">
        <f t="shared" si="34"/>
        <v/>
      </c>
      <c r="EA13" t="str">
        <f t="shared" si="35"/>
        <v/>
      </c>
      <c r="EC13" t="str">
        <f t="shared" si="54"/>
        <v/>
      </c>
      <c r="ED13" t="str">
        <f t="shared" si="55"/>
        <v/>
      </c>
    </row>
    <row r="14" spans="1:166" x14ac:dyDescent="0.3">
      <c r="A14" t="s">
        <v>588</v>
      </c>
      <c r="B14" t="s">
        <v>79</v>
      </c>
      <c r="C14" t="s">
        <v>369</v>
      </c>
      <c r="H14" t="s">
        <v>422</v>
      </c>
      <c r="K14" t="s">
        <v>426</v>
      </c>
      <c r="U14" t="s">
        <v>307</v>
      </c>
      <c r="W14" s="44"/>
      <c r="Y14" t="s">
        <v>895</v>
      </c>
      <c r="AF14" t="s">
        <v>718</v>
      </c>
      <c r="AK14" t="str">
        <f t="shared" si="36"/>
        <v>MC_240V_OPN_W</v>
      </c>
      <c r="AL14" t="str">
        <f t="shared" si="37"/>
        <v>MC_240V_OPN_W</v>
      </c>
      <c r="AM14" t="b">
        <f t="shared" si="38"/>
        <v>1</v>
      </c>
      <c r="AN14" t="b">
        <f t="shared" si="0"/>
        <v>1</v>
      </c>
      <c r="AO14" t="b">
        <f t="shared" si="1"/>
        <v>0</v>
      </c>
      <c r="AP14" t="b">
        <f t="shared" si="2"/>
        <v>0</v>
      </c>
      <c r="AQ14" t="str">
        <f t="shared" si="3"/>
        <v>[TagPrefixFull]MC_240V_OPN_W</v>
      </c>
      <c r="AR14" t="str">
        <f>IF($AM14,VLOOKUP(B14,DataTypeMappings!$A$2:$B$18,2,"FALSE"),"")</f>
        <v>DIGITAL</v>
      </c>
      <c r="AS14" t="str">
        <f t="shared" si="4"/>
        <v>[PLC]</v>
      </c>
      <c r="AT14" t="str">
        <f t="shared" si="5"/>
        <v>LW_SS01_MC_240V_OPN_W</v>
      </c>
      <c r="AU14" t="str">
        <f t="shared" si="39"/>
        <v/>
      </c>
      <c r="AV14" t="str">
        <f t="shared" si="40"/>
        <v/>
      </c>
      <c r="AW14" t="str">
        <f t="shared" si="41"/>
        <v/>
      </c>
      <c r="AX14" t="str">
        <f t="shared" si="42"/>
        <v/>
      </c>
      <c r="AY14" t="str">
        <f t="shared" si="43"/>
        <v/>
      </c>
      <c r="AZ14" t="str">
        <f t="shared" si="44"/>
        <v/>
      </c>
      <c r="BA14" t="str">
        <f t="shared" si="6"/>
        <v xml:space="preserve">[Desc] - 240V MC Open </v>
      </c>
      <c r="BJ14" t="str">
        <f t="shared" si="7"/>
        <v>[Cluster]</v>
      </c>
      <c r="BK14" t="str">
        <f t="shared" si="8"/>
        <v>[Equip]</v>
      </c>
      <c r="BL14" t="str">
        <f t="shared" si="9"/>
        <v/>
      </c>
      <c r="BM14" t="str">
        <f t="shared" si="10"/>
        <v>[Historian]</v>
      </c>
      <c r="BN14" t="str">
        <f t="shared" si="11"/>
        <v>[DigAlmName]</v>
      </c>
      <c r="BO14" t="str">
        <f t="shared" si="12"/>
        <v>[Desc]</v>
      </c>
      <c r="BP14" t="str">
        <f t="shared" si="45"/>
        <v>Alm_Trip</v>
      </c>
      <c r="BQ14" t="str">
        <f t="shared" si="46"/>
        <v/>
      </c>
      <c r="BU14" t="str">
        <f t="shared" si="47"/>
        <v/>
      </c>
      <c r="BV14" t="str">
        <f t="shared" si="13"/>
        <v>[TagPrefixFull]MC_240V_OPN_W</v>
      </c>
      <c r="BW14" t="str">
        <f t="shared" si="14"/>
        <v>[TagPrefixFull]MC_240V_OPN_W</v>
      </c>
      <c r="BX14" t="str">
        <f t="shared" si="15"/>
        <v xml:space="preserve">[Desc] - 240V MC Open </v>
      </c>
      <c r="BY14" t="str">
        <f t="shared" si="16"/>
        <v>[TagPrefixFull]MC_240V_OPN_W</v>
      </c>
      <c r="BZ14" t="str">
        <f t="shared" si="17"/>
        <v>[VariableB]</v>
      </c>
      <c r="CA14" t="str">
        <f t="shared" si="48"/>
        <v>Alm_Trip</v>
      </c>
      <c r="CB14" t="str">
        <f t="shared" si="18"/>
        <v>[Help]</v>
      </c>
      <c r="CC14" t="str">
        <f t="shared" si="19"/>
        <v>Priv_Alarm</v>
      </c>
      <c r="CD14" t="str">
        <f t="shared" si="20"/>
        <v>[Area]</v>
      </c>
      <c r="CE14" t="str">
        <f t="shared" si="21"/>
        <v xml:space="preserve">[Desc] - 240V MC Open </v>
      </c>
      <c r="CH14" t="str">
        <f t="shared" si="22"/>
        <v>[DigAlmName]</v>
      </c>
      <c r="CP14" t="str">
        <f t="shared" si="23"/>
        <v>[Cluster]</v>
      </c>
      <c r="CV14" t="str">
        <f t="shared" si="24"/>
        <v>[Equip]</v>
      </c>
      <c r="CW14" t="e">
        <f t="shared" si="25"/>
        <v>#VALUE!</v>
      </c>
      <c r="CY14" t="str">
        <f t="shared" si="26"/>
        <v/>
      </c>
      <c r="CZ14" t="str">
        <f t="shared" si="27"/>
        <v/>
      </c>
      <c r="DB14" t="str">
        <f t="shared" si="49"/>
        <v/>
      </c>
      <c r="DE14" t="str">
        <f t="shared" si="50"/>
        <v/>
      </c>
      <c r="DF14" t="str">
        <f t="shared" si="51"/>
        <v/>
      </c>
      <c r="DG14" t="str">
        <f t="shared" si="28"/>
        <v/>
      </c>
      <c r="DH14" t="str">
        <f t="shared" si="29"/>
        <v/>
      </c>
      <c r="DI14" t="str">
        <f t="shared" si="30"/>
        <v/>
      </c>
      <c r="DJ14" t="str">
        <f t="shared" si="31"/>
        <v/>
      </c>
      <c r="DK14" t="str">
        <f t="shared" si="32"/>
        <v/>
      </c>
      <c r="DL14" t="str">
        <f t="shared" si="52"/>
        <v/>
      </c>
      <c r="DT14" t="str">
        <f t="shared" si="53"/>
        <v/>
      </c>
      <c r="DU14" t="str">
        <f t="shared" si="33"/>
        <v/>
      </c>
      <c r="DZ14" t="str">
        <f t="shared" si="34"/>
        <v/>
      </c>
      <c r="EA14" t="str">
        <f t="shared" si="35"/>
        <v/>
      </c>
      <c r="EC14" t="str">
        <f t="shared" si="54"/>
        <v/>
      </c>
      <c r="ED14" t="str">
        <f t="shared" si="55"/>
        <v/>
      </c>
    </row>
    <row r="15" spans="1:166" x14ac:dyDescent="0.3">
      <c r="A15" t="s">
        <v>589</v>
      </c>
      <c r="B15" t="s">
        <v>79</v>
      </c>
      <c r="C15" t="s">
        <v>370</v>
      </c>
      <c r="H15" t="s">
        <v>422</v>
      </c>
      <c r="K15" t="s">
        <v>370</v>
      </c>
      <c r="W15" s="44"/>
      <c r="Y15" t="s">
        <v>896</v>
      </c>
      <c r="AF15" t="s">
        <v>718</v>
      </c>
      <c r="AK15" t="str">
        <f t="shared" si="36"/>
        <v>MC_240V_TRP_O</v>
      </c>
      <c r="AL15" t="str">
        <f t="shared" si="37"/>
        <v>MC_240V_TRP_O</v>
      </c>
      <c r="AM15" t="b">
        <f t="shared" si="38"/>
        <v>1</v>
      </c>
      <c r="AN15" t="b">
        <f t="shared" si="0"/>
        <v>0</v>
      </c>
      <c r="AO15" t="b">
        <f t="shared" si="1"/>
        <v>0</v>
      </c>
      <c r="AP15" t="b">
        <f t="shared" si="2"/>
        <v>0</v>
      </c>
      <c r="AQ15" t="str">
        <f t="shared" si="3"/>
        <v>[TagPrefixFull]MC_240V_TRP_O</v>
      </c>
      <c r="AR15" t="str">
        <f>IF($AM15,VLOOKUP(B15,DataTypeMappings!$A$2:$B$18,2,"FALSE"),"")</f>
        <v>DIGITAL</v>
      </c>
      <c r="AS15" t="str">
        <f t="shared" si="4"/>
        <v>[PLC]</v>
      </c>
      <c r="AT15" t="str">
        <f t="shared" si="5"/>
        <v>LW_SS01_MC_240V_TRP_O</v>
      </c>
      <c r="AU15" t="str">
        <f t="shared" si="39"/>
        <v/>
      </c>
      <c r="AV15" t="str">
        <f t="shared" si="40"/>
        <v/>
      </c>
      <c r="AW15" t="str">
        <f t="shared" si="41"/>
        <v/>
      </c>
      <c r="AX15" t="str">
        <f t="shared" si="42"/>
        <v/>
      </c>
      <c r="AY15" t="str">
        <f t="shared" si="43"/>
        <v/>
      </c>
      <c r="AZ15" t="str">
        <f t="shared" si="44"/>
        <v/>
      </c>
      <c r="BA15" t="str">
        <f t="shared" si="6"/>
        <v>[Desc] - 240V MC trip Output</v>
      </c>
      <c r="BJ15" t="str">
        <f t="shared" si="7"/>
        <v>[Cluster]</v>
      </c>
      <c r="BK15" t="str">
        <f t="shared" si="8"/>
        <v>[Equip]</v>
      </c>
      <c r="BL15" t="str">
        <f t="shared" si="9"/>
        <v/>
      </c>
      <c r="BM15" t="str">
        <f t="shared" si="10"/>
        <v>[Historian]</v>
      </c>
      <c r="BN15" t="str">
        <f t="shared" si="11"/>
        <v>[DigAlmName]</v>
      </c>
      <c r="BO15" t="str">
        <f t="shared" si="12"/>
        <v>[Desc]</v>
      </c>
      <c r="BP15" t="str">
        <f t="shared" si="45"/>
        <v/>
      </c>
      <c r="BQ15" t="str">
        <f t="shared" si="46"/>
        <v/>
      </c>
      <c r="BU15" t="str">
        <f t="shared" si="47"/>
        <v/>
      </c>
      <c r="BV15" t="str">
        <f t="shared" si="13"/>
        <v/>
      </c>
      <c r="BW15" t="str">
        <f t="shared" si="14"/>
        <v/>
      </c>
      <c r="BX15" t="str">
        <f t="shared" si="15"/>
        <v/>
      </c>
      <c r="BY15" t="str">
        <f t="shared" si="16"/>
        <v/>
      </c>
      <c r="BZ15" t="str">
        <f t="shared" si="17"/>
        <v/>
      </c>
      <c r="CA15" t="str">
        <f t="shared" si="48"/>
        <v/>
      </c>
      <c r="CB15" t="str">
        <f t="shared" si="18"/>
        <v/>
      </c>
      <c r="CC15" t="str">
        <f t="shared" si="19"/>
        <v/>
      </c>
      <c r="CD15" t="str">
        <f t="shared" si="20"/>
        <v/>
      </c>
      <c r="CE15" t="str">
        <f t="shared" si="21"/>
        <v/>
      </c>
      <c r="CH15" t="str">
        <f t="shared" si="22"/>
        <v/>
      </c>
      <c r="CP15" t="str">
        <f t="shared" si="23"/>
        <v/>
      </c>
      <c r="CV15" t="str">
        <f t="shared" si="24"/>
        <v/>
      </c>
      <c r="CW15" t="str">
        <f t="shared" si="25"/>
        <v/>
      </c>
      <c r="CY15" t="str">
        <f t="shared" si="26"/>
        <v/>
      </c>
      <c r="CZ15" t="str">
        <f t="shared" si="27"/>
        <v/>
      </c>
      <c r="DB15" t="str">
        <f t="shared" si="49"/>
        <v/>
      </c>
      <c r="DE15" t="str">
        <f t="shared" si="50"/>
        <v/>
      </c>
      <c r="DF15" t="str">
        <f t="shared" si="51"/>
        <v/>
      </c>
      <c r="DG15" t="str">
        <f t="shared" si="28"/>
        <v/>
      </c>
      <c r="DH15" t="str">
        <f t="shared" si="29"/>
        <v/>
      </c>
      <c r="DI15" t="str">
        <f t="shared" si="30"/>
        <v/>
      </c>
      <c r="DJ15" t="str">
        <f t="shared" si="31"/>
        <v/>
      </c>
      <c r="DK15" t="str">
        <f t="shared" si="32"/>
        <v/>
      </c>
      <c r="DL15" t="str">
        <f t="shared" si="52"/>
        <v/>
      </c>
      <c r="DT15" t="str">
        <f t="shared" si="53"/>
        <v/>
      </c>
      <c r="DU15" t="str">
        <f t="shared" si="33"/>
        <v/>
      </c>
      <c r="DZ15" t="str">
        <f t="shared" si="34"/>
        <v/>
      </c>
      <c r="EA15" t="str">
        <f t="shared" si="35"/>
        <v/>
      </c>
      <c r="EC15" t="str">
        <f t="shared" si="54"/>
        <v/>
      </c>
      <c r="ED15" t="str">
        <f t="shared" si="55"/>
        <v/>
      </c>
    </row>
    <row r="16" spans="1:166" x14ac:dyDescent="0.3">
      <c r="A16" t="s">
        <v>713</v>
      </c>
      <c r="B16" t="s">
        <v>79</v>
      </c>
      <c r="C16" t="s">
        <v>371</v>
      </c>
      <c r="H16" t="s">
        <v>422</v>
      </c>
      <c r="K16" t="s">
        <v>427</v>
      </c>
      <c r="U16" s="93"/>
      <c r="V16" s="6"/>
      <c r="W16" s="44"/>
      <c r="Y16" t="s">
        <v>897</v>
      </c>
      <c r="AF16" t="s">
        <v>718</v>
      </c>
      <c r="AK16" t="str">
        <f t="shared" si="36"/>
        <v>OTL_6_CB_OPN_W</v>
      </c>
      <c r="AL16" t="str">
        <f t="shared" si="37"/>
        <v>OTL_6_CB_OPN_W</v>
      </c>
      <c r="AM16" t="b">
        <f t="shared" si="38"/>
        <v>1</v>
      </c>
      <c r="AN16" t="b">
        <f t="shared" si="0"/>
        <v>0</v>
      </c>
      <c r="AO16" t="b">
        <f t="shared" si="1"/>
        <v>0</v>
      </c>
      <c r="AP16" t="b">
        <f t="shared" si="2"/>
        <v>0</v>
      </c>
      <c r="AQ16" t="str">
        <f t="shared" si="3"/>
        <v>[TagPrefixFull]OTL_6_CB_OPN_W</v>
      </c>
      <c r="AR16" t="str">
        <f>IF($AM16,VLOOKUP(B16,DataTypeMappings!$A$2:$B$18,2,"FALSE"),"")</f>
        <v>DIGITAL</v>
      </c>
      <c r="AS16" t="str">
        <f t="shared" si="4"/>
        <v>[PLC]</v>
      </c>
      <c r="AT16" t="str">
        <f t="shared" si="5"/>
        <v>LW_SS01_OTL6_CB_OPN_W</v>
      </c>
      <c r="AU16" t="str">
        <f t="shared" si="39"/>
        <v/>
      </c>
      <c r="AV16" t="str">
        <f t="shared" si="40"/>
        <v/>
      </c>
      <c r="AW16" t="str">
        <f t="shared" si="41"/>
        <v/>
      </c>
      <c r="AX16" t="str">
        <f t="shared" si="42"/>
        <v/>
      </c>
      <c r="AY16" t="str">
        <f t="shared" si="43"/>
        <v/>
      </c>
      <c r="AZ16" t="str">
        <f t="shared" si="44"/>
        <v/>
      </c>
      <c r="BA16" t="str">
        <f t="shared" si="6"/>
        <v xml:space="preserve">[Desc] - Outlet 6 CB Open </v>
      </c>
      <c r="BJ16" t="str">
        <f t="shared" si="7"/>
        <v>[Cluster]</v>
      </c>
      <c r="BK16" t="str">
        <f t="shared" si="8"/>
        <v>[Equip]</v>
      </c>
      <c r="BL16" t="str">
        <f t="shared" si="9"/>
        <v/>
      </c>
      <c r="BM16" t="str">
        <f t="shared" si="10"/>
        <v>[Historian]</v>
      </c>
      <c r="BN16" t="str">
        <f t="shared" si="11"/>
        <v>[DigAlmName]</v>
      </c>
      <c r="BO16" t="str">
        <f t="shared" si="12"/>
        <v>[Desc]</v>
      </c>
      <c r="BP16" t="str">
        <f t="shared" si="45"/>
        <v/>
      </c>
      <c r="BQ16" t="str">
        <f t="shared" si="46"/>
        <v/>
      </c>
      <c r="BU16" t="str">
        <f t="shared" si="47"/>
        <v/>
      </c>
      <c r="BV16" t="str">
        <f t="shared" si="13"/>
        <v/>
      </c>
      <c r="BW16" t="str">
        <f t="shared" si="14"/>
        <v/>
      </c>
      <c r="BX16" t="str">
        <f t="shared" si="15"/>
        <v/>
      </c>
      <c r="BY16" t="str">
        <f t="shared" si="16"/>
        <v/>
      </c>
      <c r="BZ16" t="str">
        <f t="shared" si="17"/>
        <v/>
      </c>
      <c r="CA16" t="str">
        <f t="shared" si="48"/>
        <v/>
      </c>
      <c r="CB16" t="str">
        <f t="shared" si="18"/>
        <v/>
      </c>
      <c r="CC16" t="str">
        <f t="shared" si="19"/>
        <v/>
      </c>
      <c r="CD16" t="str">
        <f t="shared" si="20"/>
        <v/>
      </c>
      <c r="CE16" t="str">
        <f t="shared" si="21"/>
        <v/>
      </c>
      <c r="CH16" t="str">
        <f t="shared" si="22"/>
        <v/>
      </c>
      <c r="CP16" t="str">
        <f t="shared" si="23"/>
        <v/>
      </c>
      <c r="CV16" t="str">
        <f t="shared" si="24"/>
        <v/>
      </c>
      <c r="CW16" t="str">
        <f t="shared" si="25"/>
        <v/>
      </c>
      <c r="CY16" t="str">
        <f t="shared" si="26"/>
        <v/>
      </c>
      <c r="CZ16" t="str">
        <f t="shared" si="27"/>
        <v/>
      </c>
      <c r="DB16" t="str">
        <f t="shared" si="49"/>
        <v/>
      </c>
      <c r="DE16" t="str">
        <f t="shared" si="50"/>
        <v/>
      </c>
      <c r="DF16" t="str">
        <f t="shared" si="51"/>
        <v/>
      </c>
      <c r="DG16" t="str">
        <f t="shared" si="28"/>
        <v/>
      </c>
      <c r="DH16" t="str">
        <f t="shared" si="29"/>
        <v/>
      </c>
      <c r="DI16" t="str">
        <f t="shared" si="30"/>
        <v/>
      </c>
      <c r="DJ16" t="str">
        <f t="shared" si="31"/>
        <v/>
      </c>
      <c r="DK16" t="str">
        <f t="shared" si="32"/>
        <v/>
      </c>
      <c r="DL16" t="str">
        <f t="shared" si="52"/>
        <v/>
      </c>
      <c r="DT16" t="str">
        <f t="shared" si="53"/>
        <v/>
      </c>
      <c r="DU16" t="str">
        <f t="shared" si="33"/>
        <v/>
      </c>
      <c r="DZ16" t="str">
        <f t="shared" si="34"/>
        <v/>
      </c>
      <c r="EA16" t="str">
        <f t="shared" si="35"/>
        <v/>
      </c>
      <c r="EC16" t="str">
        <f t="shared" si="54"/>
        <v/>
      </c>
      <c r="ED16" t="str">
        <f t="shared" si="55"/>
        <v/>
      </c>
    </row>
    <row r="17" spans="1:134" x14ac:dyDescent="0.3">
      <c r="A17" t="s">
        <v>714</v>
      </c>
      <c r="B17" t="s">
        <v>79</v>
      </c>
      <c r="C17" t="s">
        <v>372</v>
      </c>
      <c r="H17" t="s">
        <v>422</v>
      </c>
      <c r="K17" t="s">
        <v>428</v>
      </c>
      <c r="U17" s="93"/>
      <c r="V17" s="6"/>
      <c r="W17" s="44"/>
      <c r="Y17" t="s">
        <v>898</v>
      </c>
      <c r="AF17" t="s">
        <v>718</v>
      </c>
      <c r="AK17" t="str">
        <f t="shared" si="36"/>
        <v>OTL_6_MC_OPN_W</v>
      </c>
      <c r="AL17" t="str">
        <f t="shared" si="37"/>
        <v>OTL_6_MC_OPN_W</v>
      </c>
      <c r="AM17" t="b">
        <f t="shared" si="38"/>
        <v>1</v>
      </c>
      <c r="AN17" t="b">
        <f t="shared" si="0"/>
        <v>0</v>
      </c>
      <c r="AO17" t="b">
        <f t="shared" si="1"/>
        <v>0</v>
      </c>
      <c r="AP17" t="b">
        <f t="shared" si="2"/>
        <v>0</v>
      </c>
      <c r="AQ17" t="str">
        <f t="shared" si="3"/>
        <v>[TagPrefixFull]OTL_6_MC_OPN_W</v>
      </c>
      <c r="AR17" t="str">
        <f>IF($AM17,VLOOKUP(B17,DataTypeMappings!$A$2:$B$18,2,"FALSE"),"")</f>
        <v>DIGITAL</v>
      </c>
      <c r="AS17" t="str">
        <f t="shared" si="4"/>
        <v>[PLC]</v>
      </c>
      <c r="AT17" t="str">
        <f t="shared" si="5"/>
        <v>LW_SS01_OTL6_MC_OPN_W</v>
      </c>
      <c r="AU17" t="str">
        <f t="shared" si="39"/>
        <v/>
      </c>
      <c r="AV17" t="str">
        <f t="shared" si="40"/>
        <v/>
      </c>
      <c r="AW17" t="str">
        <f t="shared" si="41"/>
        <v/>
      </c>
      <c r="AX17" t="str">
        <f t="shared" si="42"/>
        <v/>
      </c>
      <c r="AY17" t="str">
        <f t="shared" si="43"/>
        <v/>
      </c>
      <c r="AZ17" t="str">
        <f t="shared" si="44"/>
        <v/>
      </c>
      <c r="BA17" t="str">
        <f t="shared" si="6"/>
        <v xml:space="preserve">[Desc] - Outlet 6 MC Open </v>
      </c>
      <c r="BJ17" t="str">
        <f t="shared" si="7"/>
        <v>[Cluster]</v>
      </c>
      <c r="BK17" t="str">
        <f t="shared" si="8"/>
        <v>[Equip]</v>
      </c>
      <c r="BL17" t="str">
        <f t="shared" si="9"/>
        <v/>
      </c>
      <c r="BM17" t="str">
        <f t="shared" si="10"/>
        <v>[Historian]</v>
      </c>
      <c r="BN17" t="str">
        <f t="shared" si="11"/>
        <v>[DigAlmName]</v>
      </c>
      <c r="BO17" t="str">
        <f t="shared" si="12"/>
        <v>[Desc]</v>
      </c>
      <c r="BP17" t="str">
        <f t="shared" si="45"/>
        <v/>
      </c>
      <c r="BQ17" t="str">
        <f t="shared" si="46"/>
        <v/>
      </c>
      <c r="BU17" t="str">
        <f t="shared" si="47"/>
        <v/>
      </c>
      <c r="BV17" t="str">
        <f t="shared" si="13"/>
        <v/>
      </c>
      <c r="BW17" t="str">
        <f t="shared" si="14"/>
        <v/>
      </c>
      <c r="BX17" t="str">
        <f t="shared" si="15"/>
        <v/>
      </c>
      <c r="BY17" t="str">
        <f t="shared" si="16"/>
        <v/>
      </c>
      <c r="BZ17" t="str">
        <f t="shared" si="17"/>
        <v/>
      </c>
      <c r="CA17" t="str">
        <f t="shared" si="48"/>
        <v/>
      </c>
      <c r="CB17" t="str">
        <f t="shared" si="18"/>
        <v/>
      </c>
      <c r="CC17" t="str">
        <f t="shared" si="19"/>
        <v/>
      </c>
      <c r="CD17" t="str">
        <f t="shared" si="20"/>
        <v/>
      </c>
      <c r="CE17" t="str">
        <f t="shared" si="21"/>
        <v/>
      </c>
      <c r="CH17" t="str">
        <f t="shared" si="22"/>
        <v/>
      </c>
      <c r="CP17" t="str">
        <f t="shared" si="23"/>
        <v/>
      </c>
      <c r="CV17" t="str">
        <f t="shared" si="24"/>
        <v/>
      </c>
      <c r="CW17" t="str">
        <f t="shared" si="25"/>
        <v/>
      </c>
      <c r="CY17" t="str">
        <f t="shared" si="26"/>
        <v/>
      </c>
      <c r="CZ17" t="str">
        <f t="shared" si="27"/>
        <v/>
      </c>
      <c r="DB17" t="str">
        <f t="shared" si="49"/>
        <v/>
      </c>
      <c r="DE17" t="str">
        <f t="shared" si="50"/>
        <v/>
      </c>
      <c r="DF17" t="str">
        <f t="shared" si="51"/>
        <v/>
      </c>
      <c r="DG17" t="str">
        <f t="shared" si="28"/>
        <v/>
      </c>
      <c r="DH17" t="str">
        <f t="shared" si="29"/>
        <v/>
      </c>
      <c r="DI17" t="str">
        <f t="shared" si="30"/>
        <v/>
      </c>
      <c r="DJ17" t="str">
        <f t="shared" si="31"/>
        <v/>
      </c>
      <c r="DK17" t="str">
        <f t="shared" si="32"/>
        <v/>
      </c>
      <c r="DL17" t="str">
        <f t="shared" si="52"/>
        <v/>
      </c>
      <c r="DT17" t="str">
        <f t="shared" si="53"/>
        <v/>
      </c>
      <c r="DU17" t="str">
        <f t="shared" si="33"/>
        <v/>
      </c>
      <c r="DZ17" t="str">
        <f t="shared" si="34"/>
        <v/>
      </c>
      <c r="EA17" t="str">
        <f t="shared" si="35"/>
        <v/>
      </c>
      <c r="EC17" t="str">
        <f t="shared" si="54"/>
        <v/>
      </c>
      <c r="ED17" t="str">
        <f t="shared" si="55"/>
        <v/>
      </c>
    </row>
    <row r="18" spans="1:134" x14ac:dyDescent="0.3">
      <c r="A18" t="s">
        <v>715</v>
      </c>
      <c r="B18" t="s">
        <v>79</v>
      </c>
      <c r="C18" t="s">
        <v>373</v>
      </c>
      <c r="H18" t="s">
        <v>422</v>
      </c>
      <c r="K18" t="s">
        <v>429</v>
      </c>
      <c r="U18" s="93"/>
      <c r="V18" s="6"/>
      <c r="W18" s="44"/>
      <c r="Y18" t="s">
        <v>899</v>
      </c>
      <c r="AF18" t="s">
        <v>718</v>
      </c>
      <c r="AK18" t="str">
        <f t="shared" si="36"/>
        <v>OTL_7_CB_OPN_W</v>
      </c>
      <c r="AL18" t="str">
        <f t="shared" si="37"/>
        <v>OTL_7_CB_OPN_W</v>
      </c>
      <c r="AM18" t="b">
        <f t="shared" si="38"/>
        <v>1</v>
      </c>
      <c r="AN18" t="b">
        <f t="shared" si="0"/>
        <v>0</v>
      </c>
      <c r="AO18" t="b">
        <f t="shared" si="1"/>
        <v>0</v>
      </c>
      <c r="AP18" t="b">
        <f t="shared" si="2"/>
        <v>0</v>
      </c>
      <c r="AQ18" t="str">
        <f t="shared" si="3"/>
        <v>[TagPrefixFull]OTL_7_CB_OPN_W</v>
      </c>
      <c r="AR18" t="str">
        <f>IF($AM18,VLOOKUP(B18,DataTypeMappings!$A$2:$B$18,2,"FALSE"),"")</f>
        <v>DIGITAL</v>
      </c>
      <c r="AS18" t="str">
        <f t="shared" si="4"/>
        <v>[PLC]</v>
      </c>
      <c r="AT18" t="str">
        <f t="shared" si="5"/>
        <v>LW_SS01_OTL7_CB_OPN_W</v>
      </c>
      <c r="AU18" t="str">
        <f t="shared" si="39"/>
        <v/>
      </c>
      <c r="AV18" t="str">
        <f t="shared" si="40"/>
        <v/>
      </c>
      <c r="AW18" t="str">
        <f t="shared" si="41"/>
        <v/>
      </c>
      <c r="AX18" t="str">
        <f t="shared" si="42"/>
        <v/>
      </c>
      <c r="AY18" t="str">
        <f t="shared" si="43"/>
        <v/>
      </c>
      <c r="AZ18" t="str">
        <f t="shared" si="44"/>
        <v/>
      </c>
      <c r="BA18" t="str">
        <f t="shared" si="6"/>
        <v xml:space="preserve">[Desc] - Outlet 7 CB Open </v>
      </c>
      <c r="BJ18" t="str">
        <f t="shared" si="7"/>
        <v>[Cluster]</v>
      </c>
      <c r="BK18" t="str">
        <f t="shared" si="8"/>
        <v>[Equip]</v>
      </c>
      <c r="BL18" t="str">
        <f t="shared" si="9"/>
        <v/>
      </c>
      <c r="BM18" t="str">
        <f t="shared" si="10"/>
        <v>[Historian]</v>
      </c>
      <c r="BN18" t="str">
        <f t="shared" si="11"/>
        <v>[DigAlmName]</v>
      </c>
      <c r="BO18" t="str">
        <f t="shared" si="12"/>
        <v>[Desc]</v>
      </c>
      <c r="BP18" t="str">
        <f t="shared" si="45"/>
        <v/>
      </c>
      <c r="BQ18" t="str">
        <f t="shared" si="46"/>
        <v/>
      </c>
      <c r="BU18" t="str">
        <f t="shared" si="47"/>
        <v/>
      </c>
      <c r="BV18" t="str">
        <f t="shared" si="13"/>
        <v/>
      </c>
      <c r="BW18" t="str">
        <f t="shared" si="14"/>
        <v/>
      </c>
      <c r="BX18" t="str">
        <f t="shared" si="15"/>
        <v/>
      </c>
      <c r="BY18" t="str">
        <f t="shared" si="16"/>
        <v/>
      </c>
      <c r="BZ18" t="str">
        <f t="shared" si="17"/>
        <v/>
      </c>
      <c r="CA18" t="str">
        <f t="shared" si="48"/>
        <v/>
      </c>
      <c r="CB18" t="str">
        <f t="shared" si="18"/>
        <v/>
      </c>
      <c r="CC18" t="str">
        <f t="shared" si="19"/>
        <v/>
      </c>
      <c r="CD18" t="str">
        <f t="shared" si="20"/>
        <v/>
      </c>
      <c r="CE18" t="str">
        <f t="shared" si="21"/>
        <v/>
      </c>
      <c r="CH18" t="str">
        <f t="shared" si="22"/>
        <v/>
      </c>
      <c r="CP18" t="str">
        <f t="shared" si="23"/>
        <v/>
      </c>
      <c r="CV18" t="str">
        <f t="shared" si="24"/>
        <v/>
      </c>
      <c r="CW18" t="str">
        <f t="shared" si="25"/>
        <v/>
      </c>
      <c r="CY18" t="str">
        <f t="shared" si="26"/>
        <v/>
      </c>
      <c r="CZ18" t="str">
        <f t="shared" si="27"/>
        <v/>
      </c>
      <c r="DB18" t="str">
        <f t="shared" si="49"/>
        <v/>
      </c>
      <c r="DE18" t="str">
        <f t="shared" si="50"/>
        <v/>
      </c>
      <c r="DF18" t="str">
        <f t="shared" si="51"/>
        <v/>
      </c>
      <c r="DG18" t="str">
        <f t="shared" si="28"/>
        <v/>
      </c>
      <c r="DH18" t="str">
        <f t="shared" si="29"/>
        <v/>
      </c>
      <c r="DI18" t="str">
        <f t="shared" si="30"/>
        <v/>
      </c>
      <c r="DJ18" t="str">
        <f t="shared" si="31"/>
        <v/>
      </c>
      <c r="DK18" t="str">
        <f t="shared" si="32"/>
        <v/>
      </c>
      <c r="DL18" t="str">
        <f t="shared" si="52"/>
        <v/>
      </c>
      <c r="DT18" t="str">
        <f t="shared" si="53"/>
        <v/>
      </c>
      <c r="DU18" t="str">
        <f t="shared" si="33"/>
        <v/>
      </c>
      <c r="DZ18" t="str">
        <f t="shared" si="34"/>
        <v/>
      </c>
      <c r="EA18" t="str">
        <f t="shared" si="35"/>
        <v/>
      </c>
      <c r="EC18" t="str">
        <f t="shared" si="54"/>
        <v/>
      </c>
      <c r="ED18" t="str">
        <f t="shared" si="55"/>
        <v/>
      </c>
    </row>
    <row r="19" spans="1:134" x14ac:dyDescent="0.3">
      <c r="A19" t="s">
        <v>716</v>
      </c>
      <c r="B19" t="s">
        <v>79</v>
      </c>
      <c r="C19" t="s">
        <v>374</v>
      </c>
      <c r="H19" t="s">
        <v>422</v>
      </c>
      <c r="K19" t="s">
        <v>430</v>
      </c>
      <c r="U19" s="93"/>
      <c r="V19" s="6"/>
      <c r="W19" s="44"/>
      <c r="Y19" t="s">
        <v>900</v>
      </c>
      <c r="AF19" t="s">
        <v>718</v>
      </c>
      <c r="AK19" t="str">
        <f t="shared" si="36"/>
        <v>OTL_7_MC_OPN_W</v>
      </c>
      <c r="AL19" t="str">
        <f t="shared" si="37"/>
        <v>OTL_7_MC_OPN_W</v>
      </c>
      <c r="AM19" t="b">
        <f t="shared" si="38"/>
        <v>1</v>
      </c>
      <c r="AN19" t="b">
        <f t="shared" si="0"/>
        <v>0</v>
      </c>
      <c r="AO19" t="b">
        <f t="shared" si="1"/>
        <v>0</v>
      </c>
      <c r="AP19" t="b">
        <f t="shared" si="2"/>
        <v>0</v>
      </c>
      <c r="AQ19" t="str">
        <f t="shared" si="3"/>
        <v>[TagPrefixFull]OTL_7_MC_OPN_W</v>
      </c>
      <c r="AR19" t="str">
        <f>IF($AM19,VLOOKUP(B19,DataTypeMappings!$A$2:$B$18,2,"FALSE"),"")</f>
        <v>DIGITAL</v>
      </c>
      <c r="AS19" t="str">
        <f t="shared" si="4"/>
        <v>[PLC]</v>
      </c>
      <c r="AT19" t="str">
        <f t="shared" si="5"/>
        <v>LW_SS01_OTL7_MC_OPN_W</v>
      </c>
      <c r="AU19" t="str">
        <f t="shared" si="39"/>
        <v/>
      </c>
      <c r="AV19" t="str">
        <f t="shared" si="40"/>
        <v/>
      </c>
      <c r="AW19" t="str">
        <f t="shared" si="41"/>
        <v/>
      </c>
      <c r="AX19" t="str">
        <f t="shared" si="42"/>
        <v/>
      </c>
      <c r="AY19" t="str">
        <f t="shared" si="43"/>
        <v/>
      </c>
      <c r="AZ19" t="str">
        <f t="shared" si="44"/>
        <v/>
      </c>
      <c r="BA19" t="str">
        <f t="shared" si="6"/>
        <v xml:space="preserve">[Desc] - Outlet 7 MC Open </v>
      </c>
      <c r="BJ19" t="str">
        <f t="shared" si="7"/>
        <v>[Cluster]</v>
      </c>
      <c r="BK19" t="str">
        <f t="shared" si="8"/>
        <v>[Equip]</v>
      </c>
      <c r="BL19" t="str">
        <f t="shared" si="9"/>
        <v/>
      </c>
      <c r="BM19" t="str">
        <f t="shared" si="10"/>
        <v>[Historian]</v>
      </c>
      <c r="BN19" t="str">
        <f t="shared" si="11"/>
        <v>[DigAlmName]</v>
      </c>
      <c r="BO19" t="str">
        <f t="shared" si="12"/>
        <v>[Desc]</v>
      </c>
      <c r="BP19" t="str">
        <f t="shared" si="45"/>
        <v/>
      </c>
      <c r="BQ19" t="str">
        <f t="shared" si="46"/>
        <v/>
      </c>
      <c r="BU19" t="str">
        <f t="shared" si="47"/>
        <v/>
      </c>
      <c r="BV19" t="str">
        <f t="shared" si="13"/>
        <v/>
      </c>
      <c r="BW19" t="str">
        <f t="shared" si="14"/>
        <v/>
      </c>
      <c r="BX19" t="str">
        <f t="shared" si="15"/>
        <v/>
      </c>
      <c r="BY19" t="str">
        <f t="shared" si="16"/>
        <v/>
      </c>
      <c r="BZ19" t="str">
        <f t="shared" si="17"/>
        <v/>
      </c>
      <c r="CA19" t="str">
        <f t="shared" si="48"/>
        <v/>
      </c>
      <c r="CB19" t="str">
        <f t="shared" si="18"/>
        <v/>
      </c>
      <c r="CC19" t="str">
        <f t="shared" si="19"/>
        <v/>
      </c>
      <c r="CD19" t="str">
        <f t="shared" si="20"/>
        <v/>
      </c>
      <c r="CE19" t="str">
        <f t="shared" si="21"/>
        <v/>
      </c>
      <c r="CH19" t="str">
        <f t="shared" si="22"/>
        <v/>
      </c>
      <c r="CP19" t="str">
        <f t="shared" si="23"/>
        <v/>
      </c>
      <c r="CV19" t="str">
        <f t="shared" si="24"/>
        <v/>
      </c>
      <c r="CW19" t="str">
        <f t="shared" si="25"/>
        <v/>
      </c>
      <c r="CY19" t="str">
        <f t="shared" si="26"/>
        <v/>
      </c>
      <c r="CZ19" t="str">
        <f t="shared" si="27"/>
        <v/>
      </c>
      <c r="DB19" t="str">
        <f t="shared" si="49"/>
        <v/>
      </c>
      <c r="DE19" t="str">
        <f t="shared" si="50"/>
        <v/>
      </c>
      <c r="DF19" t="str">
        <f t="shared" si="51"/>
        <v/>
      </c>
      <c r="DG19" t="str">
        <f t="shared" si="28"/>
        <v/>
      </c>
      <c r="DH19" t="str">
        <f t="shared" si="29"/>
        <v/>
      </c>
      <c r="DI19" t="str">
        <f t="shared" si="30"/>
        <v/>
      </c>
      <c r="DJ19" t="str">
        <f t="shared" si="31"/>
        <v/>
      </c>
      <c r="DK19" t="str">
        <f t="shared" si="32"/>
        <v/>
      </c>
      <c r="DL19" t="str">
        <f t="shared" si="52"/>
        <v/>
      </c>
      <c r="DT19" t="str">
        <f t="shared" si="53"/>
        <v/>
      </c>
      <c r="DU19" t="str">
        <f t="shared" si="33"/>
        <v/>
      </c>
      <c r="DZ19" t="str">
        <f t="shared" si="34"/>
        <v/>
      </c>
      <c r="EA19" t="str">
        <f t="shared" si="35"/>
        <v/>
      </c>
      <c r="EC19" t="str">
        <f t="shared" si="54"/>
        <v/>
      </c>
      <c r="ED19" t="str">
        <f t="shared" si="55"/>
        <v/>
      </c>
    </row>
    <row r="20" spans="1:134" x14ac:dyDescent="0.3">
      <c r="A20" t="s">
        <v>590</v>
      </c>
      <c r="B20" t="s">
        <v>79</v>
      </c>
      <c r="C20" t="s">
        <v>375</v>
      </c>
      <c r="H20" t="s">
        <v>422</v>
      </c>
      <c r="K20" t="s">
        <v>431</v>
      </c>
      <c r="U20" s="93"/>
      <c r="W20" s="44"/>
      <c r="Y20" t="s">
        <v>901</v>
      </c>
      <c r="AF20" t="s">
        <v>718</v>
      </c>
      <c r="AK20" t="str">
        <f t="shared" si="36"/>
        <v>OTL_6_ISOL_OPN_W</v>
      </c>
      <c r="AL20" t="str">
        <f t="shared" si="37"/>
        <v>OTL_6_ISOL_OPN_W</v>
      </c>
      <c r="AM20" t="b">
        <f t="shared" si="38"/>
        <v>1</v>
      </c>
      <c r="AN20" t="b">
        <f t="shared" si="0"/>
        <v>0</v>
      </c>
      <c r="AO20" t="b">
        <f t="shared" si="1"/>
        <v>0</v>
      </c>
      <c r="AP20" t="b">
        <f t="shared" si="2"/>
        <v>0</v>
      </c>
      <c r="AQ20" t="str">
        <f t="shared" si="3"/>
        <v>[TagPrefixFull]OTL_6_ISOL_OPN_W</v>
      </c>
      <c r="AR20" t="str">
        <f>IF($AM20,VLOOKUP(B20,DataTypeMappings!$A$2:$B$18,2,"FALSE"),"")</f>
        <v>DIGITAL</v>
      </c>
      <c r="AS20" t="str">
        <f t="shared" si="4"/>
        <v>[PLC]</v>
      </c>
      <c r="AT20" t="str">
        <f t="shared" si="5"/>
        <v>LW_SS01_OTL_6_ISOL_OPN_W</v>
      </c>
      <c r="AU20" t="str">
        <f t="shared" si="39"/>
        <v/>
      </c>
      <c r="AV20" t="str">
        <f t="shared" si="40"/>
        <v/>
      </c>
      <c r="AW20" t="str">
        <f t="shared" si="41"/>
        <v/>
      </c>
      <c r="AX20" t="str">
        <f t="shared" si="42"/>
        <v/>
      </c>
      <c r="AY20" t="str">
        <f t="shared" si="43"/>
        <v/>
      </c>
      <c r="AZ20" t="str">
        <f t="shared" si="44"/>
        <v/>
      </c>
      <c r="BA20" t="str">
        <f t="shared" si="6"/>
        <v xml:space="preserve">[Desc] - Outlet 6 Isolator Open </v>
      </c>
      <c r="BJ20" t="str">
        <f t="shared" si="7"/>
        <v>[Cluster]</v>
      </c>
      <c r="BK20" t="str">
        <f t="shared" si="8"/>
        <v>[Equip]</v>
      </c>
      <c r="BL20" t="str">
        <f t="shared" si="9"/>
        <v/>
      </c>
      <c r="BM20" t="str">
        <f t="shared" si="10"/>
        <v>[Historian]</v>
      </c>
      <c r="BN20" t="str">
        <f t="shared" si="11"/>
        <v>[DigAlmName]</v>
      </c>
      <c r="BO20" t="str">
        <f t="shared" si="12"/>
        <v>[Desc]</v>
      </c>
      <c r="BP20" t="str">
        <f t="shared" si="45"/>
        <v/>
      </c>
      <c r="BQ20" t="str">
        <f t="shared" si="46"/>
        <v/>
      </c>
      <c r="BU20" t="str">
        <f t="shared" si="47"/>
        <v/>
      </c>
      <c r="BV20" t="str">
        <f t="shared" si="13"/>
        <v/>
      </c>
      <c r="BW20" t="str">
        <f t="shared" si="14"/>
        <v/>
      </c>
      <c r="BX20" t="str">
        <f t="shared" si="15"/>
        <v/>
      </c>
      <c r="BY20" t="str">
        <f t="shared" si="16"/>
        <v/>
      </c>
      <c r="BZ20" t="str">
        <f t="shared" si="17"/>
        <v/>
      </c>
      <c r="CA20" t="str">
        <f t="shared" si="48"/>
        <v/>
      </c>
      <c r="CB20" t="str">
        <f t="shared" si="18"/>
        <v/>
      </c>
      <c r="CC20" t="str">
        <f t="shared" si="19"/>
        <v/>
      </c>
      <c r="CD20" t="str">
        <f t="shared" si="20"/>
        <v/>
      </c>
      <c r="CE20" t="str">
        <f t="shared" si="21"/>
        <v/>
      </c>
      <c r="CH20" t="str">
        <f t="shared" si="22"/>
        <v/>
      </c>
      <c r="CP20" t="str">
        <f t="shared" si="23"/>
        <v/>
      </c>
      <c r="CV20" t="str">
        <f t="shared" si="24"/>
        <v/>
      </c>
      <c r="CW20" t="str">
        <f t="shared" si="25"/>
        <v/>
      </c>
      <c r="CY20" t="str">
        <f t="shared" si="26"/>
        <v/>
      </c>
      <c r="CZ20" t="str">
        <f t="shared" si="27"/>
        <v/>
      </c>
      <c r="DB20" t="str">
        <f t="shared" si="49"/>
        <v/>
      </c>
      <c r="DE20" t="str">
        <f t="shared" si="50"/>
        <v/>
      </c>
      <c r="DF20" t="str">
        <f t="shared" si="51"/>
        <v/>
      </c>
      <c r="DG20" t="str">
        <f t="shared" si="28"/>
        <v/>
      </c>
      <c r="DH20" t="str">
        <f t="shared" si="29"/>
        <v/>
      </c>
      <c r="DI20" t="str">
        <f t="shared" si="30"/>
        <v/>
      </c>
      <c r="DJ20" t="str">
        <f t="shared" si="31"/>
        <v/>
      </c>
      <c r="DK20" t="str">
        <f t="shared" si="32"/>
        <v/>
      </c>
      <c r="DL20" t="str">
        <f t="shared" si="52"/>
        <v/>
      </c>
      <c r="DT20" t="str">
        <f t="shared" si="53"/>
        <v/>
      </c>
      <c r="DU20" t="str">
        <f t="shared" si="33"/>
        <v/>
      </c>
      <c r="DZ20" t="str">
        <f t="shared" si="34"/>
        <v/>
      </c>
      <c r="EA20" t="str">
        <f t="shared" si="35"/>
        <v/>
      </c>
      <c r="EC20" t="str">
        <f t="shared" si="54"/>
        <v/>
      </c>
      <c r="ED20" t="str">
        <f t="shared" si="55"/>
        <v/>
      </c>
    </row>
    <row r="21" spans="1:134" x14ac:dyDescent="0.3">
      <c r="A21" t="s">
        <v>591</v>
      </c>
      <c r="B21" t="s">
        <v>79</v>
      </c>
      <c r="C21" t="s">
        <v>376</v>
      </c>
      <c r="H21" t="s">
        <v>422</v>
      </c>
      <c r="K21" t="s">
        <v>432</v>
      </c>
      <c r="U21" s="93"/>
      <c r="W21" s="44"/>
      <c r="Y21" t="s">
        <v>902</v>
      </c>
      <c r="AF21" t="s">
        <v>718</v>
      </c>
      <c r="AK21" t="str">
        <f t="shared" si="36"/>
        <v>OTL_7_ISOL_OPN_W</v>
      </c>
      <c r="AL21" t="str">
        <f t="shared" si="37"/>
        <v>OTL_7_ISOL_OPN_W</v>
      </c>
      <c r="AM21" t="b">
        <f t="shared" si="38"/>
        <v>1</v>
      </c>
      <c r="AN21" t="b">
        <f t="shared" si="0"/>
        <v>0</v>
      </c>
      <c r="AO21" t="b">
        <f t="shared" si="1"/>
        <v>0</v>
      </c>
      <c r="AP21" t="b">
        <f t="shared" si="2"/>
        <v>0</v>
      </c>
      <c r="AQ21" t="str">
        <f t="shared" si="3"/>
        <v>[TagPrefixFull]OTL_7_ISOL_OPN_W</v>
      </c>
      <c r="AR21" t="str">
        <f>IF($AM21,VLOOKUP(B21,DataTypeMappings!$A$2:$B$18,2,"FALSE"),"")</f>
        <v>DIGITAL</v>
      </c>
      <c r="AS21" t="str">
        <f t="shared" si="4"/>
        <v>[PLC]</v>
      </c>
      <c r="AT21" t="str">
        <f t="shared" si="5"/>
        <v>LW_SS01_OTL_7_ISOL_OPN_W</v>
      </c>
      <c r="AU21" t="str">
        <f t="shared" si="39"/>
        <v/>
      </c>
      <c r="AV21" t="str">
        <f t="shared" si="40"/>
        <v/>
      </c>
      <c r="AW21" t="str">
        <f t="shared" si="41"/>
        <v/>
      </c>
      <c r="AX21" t="str">
        <f t="shared" si="42"/>
        <v/>
      </c>
      <c r="AY21" t="str">
        <f t="shared" si="43"/>
        <v/>
      </c>
      <c r="AZ21" t="str">
        <f t="shared" si="44"/>
        <v/>
      </c>
      <c r="BA21" t="str">
        <f t="shared" si="6"/>
        <v xml:space="preserve">[Desc] - Outlet 7 Isolator Open </v>
      </c>
      <c r="BJ21" t="str">
        <f t="shared" si="7"/>
        <v>[Cluster]</v>
      </c>
      <c r="BK21" t="str">
        <f t="shared" si="8"/>
        <v>[Equip]</v>
      </c>
      <c r="BL21" t="str">
        <f t="shared" si="9"/>
        <v/>
      </c>
      <c r="BM21" t="str">
        <f t="shared" si="10"/>
        <v>[Historian]</v>
      </c>
      <c r="BN21" t="str">
        <f t="shared" si="11"/>
        <v>[DigAlmName]</v>
      </c>
      <c r="BO21" t="str">
        <f t="shared" si="12"/>
        <v>[Desc]</v>
      </c>
      <c r="BP21" t="str">
        <f t="shared" si="45"/>
        <v/>
      </c>
      <c r="BQ21" t="str">
        <f t="shared" si="46"/>
        <v/>
      </c>
      <c r="BU21" t="str">
        <f t="shared" si="47"/>
        <v/>
      </c>
      <c r="BV21" t="str">
        <f t="shared" si="13"/>
        <v/>
      </c>
      <c r="BW21" t="str">
        <f t="shared" si="14"/>
        <v/>
      </c>
      <c r="BX21" t="str">
        <f t="shared" si="15"/>
        <v/>
      </c>
      <c r="BY21" t="str">
        <f t="shared" si="16"/>
        <v/>
      </c>
      <c r="BZ21" t="str">
        <f t="shared" si="17"/>
        <v/>
      </c>
      <c r="CA21" t="str">
        <f t="shared" si="48"/>
        <v/>
      </c>
      <c r="CB21" t="str">
        <f t="shared" si="18"/>
        <v/>
      </c>
      <c r="CC21" t="str">
        <f t="shared" si="19"/>
        <v/>
      </c>
      <c r="CD21" t="str">
        <f t="shared" si="20"/>
        <v/>
      </c>
      <c r="CE21" t="str">
        <f t="shared" si="21"/>
        <v/>
      </c>
      <c r="CH21" t="str">
        <f t="shared" si="22"/>
        <v/>
      </c>
      <c r="CP21" t="str">
        <f t="shared" si="23"/>
        <v/>
      </c>
      <c r="CV21" t="str">
        <f t="shared" si="24"/>
        <v/>
      </c>
      <c r="CW21" t="str">
        <f t="shared" si="25"/>
        <v/>
      </c>
      <c r="CY21" t="str">
        <f t="shared" si="26"/>
        <v/>
      </c>
      <c r="CZ21" t="str">
        <f t="shared" si="27"/>
        <v/>
      </c>
      <c r="DB21" t="str">
        <f t="shared" si="49"/>
        <v/>
      </c>
      <c r="DE21" t="str">
        <f t="shared" si="50"/>
        <v/>
      </c>
      <c r="DF21" t="str">
        <f t="shared" si="51"/>
        <v/>
      </c>
      <c r="DG21" t="str">
        <f t="shared" si="28"/>
        <v/>
      </c>
      <c r="DH21" t="str">
        <f t="shared" si="29"/>
        <v/>
      </c>
      <c r="DI21" t="str">
        <f t="shared" si="30"/>
        <v/>
      </c>
      <c r="DJ21" t="str">
        <f t="shared" si="31"/>
        <v/>
      </c>
      <c r="DK21" t="str">
        <f t="shared" si="32"/>
        <v/>
      </c>
      <c r="DL21" t="str">
        <f t="shared" si="52"/>
        <v/>
      </c>
      <c r="DT21" t="str">
        <f t="shared" si="53"/>
        <v/>
      </c>
      <c r="DU21" t="str">
        <f t="shared" si="33"/>
        <v/>
      </c>
      <c r="DZ21" t="str">
        <f t="shared" si="34"/>
        <v/>
      </c>
      <c r="EA21" t="str">
        <f t="shared" si="35"/>
        <v/>
      </c>
      <c r="EC21" t="str">
        <f t="shared" si="54"/>
        <v/>
      </c>
      <c r="ED21" t="str">
        <f t="shared" si="55"/>
        <v/>
      </c>
    </row>
    <row r="22" spans="1:134" x14ac:dyDescent="0.3">
      <c r="A22" t="s">
        <v>505</v>
      </c>
      <c r="B22" t="s">
        <v>79</v>
      </c>
      <c r="C22" t="s">
        <v>730</v>
      </c>
      <c r="D22" t="s">
        <v>433</v>
      </c>
      <c r="E22" t="s">
        <v>434</v>
      </c>
      <c r="F22" t="s">
        <v>351</v>
      </c>
      <c r="H22" t="s">
        <v>731</v>
      </c>
      <c r="K22" t="s">
        <v>730</v>
      </c>
      <c r="U22" t="s">
        <v>308</v>
      </c>
      <c r="V22" s="6"/>
      <c r="W22" s="32"/>
      <c r="Y22" t="s">
        <v>903</v>
      </c>
      <c r="AF22" t="s">
        <v>718</v>
      </c>
      <c r="AK22" t="str">
        <f t="shared" si="36"/>
        <v>TXF_CB_CLO_c_CMD_i</v>
      </c>
      <c r="AL22" t="str">
        <f t="shared" si="37"/>
        <v>TXF_CB_CLO_c_CMD_i</v>
      </c>
      <c r="AM22" t="b">
        <f t="shared" si="38"/>
        <v>1</v>
      </c>
      <c r="AN22" t="b">
        <f t="shared" si="0"/>
        <v>1</v>
      </c>
      <c r="AO22" t="b">
        <f t="shared" si="1"/>
        <v>0</v>
      </c>
      <c r="AP22" t="b">
        <f t="shared" si="2"/>
        <v>0</v>
      </c>
      <c r="AQ22" t="str">
        <f t="shared" si="3"/>
        <v>[TagPrefixFull]TXF_CB_CLO_c_CMD_i</v>
      </c>
      <c r="AR22" t="str">
        <f>IF($AM22,VLOOKUP(B22,DataTypeMappings!$A$2:$B$18,2,"FALSE"),"")</f>
        <v>DIGITAL</v>
      </c>
      <c r="AS22" t="str">
        <f t="shared" si="4"/>
        <v>[PLC]</v>
      </c>
      <c r="AT22" t="str">
        <f t="shared" si="5"/>
        <v>LW_SS01_TXF.CB.CLO_c.CMD_i</v>
      </c>
      <c r="AU22" t="str">
        <f t="shared" si="39"/>
        <v/>
      </c>
      <c r="AV22" t="str">
        <f t="shared" si="40"/>
        <v/>
      </c>
      <c r="AW22" t="str">
        <f t="shared" si="41"/>
        <v/>
      </c>
      <c r="AX22" t="str">
        <f t="shared" si="42"/>
        <v/>
      </c>
      <c r="AY22" t="str">
        <f t="shared" si="43"/>
        <v/>
      </c>
      <c r="AZ22" t="str">
        <f t="shared" si="44"/>
        <v/>
      </c>
      <c r="BA22" t="str">
        <f t="shared" si="6"/>
        <v>[Desc] - Transformer CB SCADA Close</v>
      </c>
      <c r="BJ22" t="str">
        <f t="shared" si="7"/>
        <v>[Cluster]</v>
      </c>
      <c r="BK22" t="str">
        <f t="shared" si="8"/>
        <v>[Equip]</v>
      </c>
      <c r="BL22" t="str">
        <f t="shared" si="9"/>
        <v/>
      </c>
      <c r="BM22" t="str">
        <f t="shared" si="10"/>
        <v>[Historian]</v>
      </c>
      <c r="BN22" t="str">
        <f t="shared" si="11"/>
        <v>[DigAlmName]</v>
      </c>
      <c r="BO22" t="str">
        <f t="shared" si="12"/>
        <v>[Desc]</v>
      </c>
      <c r="BP22" t="str">
        <f t="shared" si="45"/>
        <v>Alm_Event</v>
      </c>
      <c r="BQ22" t="str">
        <f t="shared" si="46"/>
        <v/>
      </c>
      <c r="BU22" t="str">
        <f t="shared" si="47"/>
        <v/>
      </c>
      <c r="BV22" t="str">
        <f t="shared" si="13"/>
        <v>[TagPrefixFull]TXF_CB_CLO_c_CMD_i</v>
      </c>
      <c r="BW22" t="str">
        <f t="shared" si="14"/>
        <v>[TagPrefixFull]TXF_CB_CLO_c_CMD_i</v>
      </c>
      <c r="BX22" t="str">
        <f t="shared" si="15"/>
        <v>[Desc] - Transformer CB SCADA Close</v>
      </c>
      <c r="BY22" t="str">
        <f t="shared" si="16"/>
        <v>[TagPrefixFull]TXF_CB_CLO_c_CMD_i</v>
      </c>
      <c r="BZ22" t="str">
        <f t="shared" si="17"/>
        <v>[VariableB]</v>
      </c>
      <c r="CA22" t="str">
        <f t="shared" si="48"/>
        <v>Alm_Event</v>
      </c>
      <c r="CB22" t="str">
        <f t="shared" si="18"/>
        <v>[Help]</v>
      </c>
      <c r="CC22" t="str">
        <f t="shared" si="19"/>
        <v>Priv_Alarm</v>
      </c>
      <c r="CD22" t="str">
        <f t="shared" si="20"/>
        <v>[Area]</v>
      </c>
      <c r="CE22" t="str">
        <f t="shared" si="21"/>
        <v>[Desc] - Transformer CB SCADA Close</v>
      </c>
      <c r="CH22" t="str">
        <f t="shared" si="22"/>
        <v>[DigAlmName]</v>
      </c>
      <c r="CP22" t="str">
        <f t="shared" si="23"/>
        <v>[Cluster]</v>
      </c>
      <c r="CV22" t="str">
        <f t="shared" si="24"/>
        <v>[Equip]</v>
      </c>
      <c r="CW22" t="e">
        <f t="shared" si="25"/>
        <v>#VALUE!</v>
      </c>
      <c r="CY22" t="str">
        <f t="shared" si="26"/>
        <v/>
      </c>
      <c r="CZ22" t="str">
        <f t="shared" si="27"/>
        <v/>
      </c>
      <c r="DB22" t="str">
        <f t="shared" si="49"/>
        <v/>
      </c>
      <c r="DE22" t="str">
        <f t="shared" si="50"/>
        <v/>
      </c>
      <c r="DF22" t="str">
        <f t="shared" si="51"/>
        <v/>
      </c>
      <c r="DG22" t="str">
        <f t="shared" si="28"/>
        <v/>
      </c>
      <c r="DH22" t="str">
        <f t="shared" si="29"/>
        <v/>
      </c>
      <c r="DI22" t="str">
        <f t="shared" si="30"/>
        <v/>
      </c>
      <c r="DJ22" t="str">
        <f t="shared" si="31"/>
        <v/>
      </c>
      <c r="DK22" t="str">
        <f t="shared" si="32"/>
        <v/>
      </c>
      <c r="DL22" t="str">
        <f t="shared" si="52"/>
        <v/>
      </c>
      <c r="DT22" t="str">
        <f t="shared" si="53"/>
        <v/>
      </c>
      <c r="DU22" t="str">
        <f t="shared" si="33"/>
        <v/>
      </c>
      <c r="DZ22" t="str">
        <f t="shared" si="34"/>
        <v/>
      </c>
      <c r="EA22" t="str">
        <f t="shared" si="35"/>
        <v/>
      </c>
      <c r="EC22" t="str">
        <f t="shared" si="54"/>
        <v/>
      </c>
      <c r="ED22" t="str">
        <f t="shared" si="55"/>
        <v/>
      </c>
    </row>
    <row r="23" spans="1:134" x14ac:dyDescent="0.3">
      <c r="A23" t="s">
        <v>506</v>
      </c>
      <c r="B23" t="s">
        <v>79</v>
      </c>
      <c r="C23" t="s">
        <v>732</v>
      </c>
      <c r="D23" t="s">
        <v>595</v>
      </c>
      <c r="H23" t="s">
        <v>731</v>
      </c>
      <c r="K23" t="s">
        <v>732</v>
      </c>
      <c r="U23" t="s">
        <v>308</v>
      </c>
      <c r="V23" s="6"/>
      <c r="W23" s="32"/>
      <c r="Y23" t="s">
        <v>904</v>
      </c>
      <c r="AF23" t="s">
        <v>718</v>
      </c>
      <c r="AK23" t="str">
        <f t="shared" si="36"/>
        <v>TXF_CB_OPN_c_CMD_i</v>
      </c>
      <c r="AL23" t="str">
        <f t="shared" si="37"/>
        <v>TXF_CB_OPN_c_CMD_i</v>
      </c>
      <c r="AM23" t="b">
        <f t="shared" si="38"/>
        <v>1</v>
      </c>
      <c r="AN23" t="b">
        <f t="shared" si="0"/>
        <v>1</v>
      </c>
      <c r="AO23" t="b">
        <f t="shared" si="1"/>
        <v>0</v>
      </c>
      <c r="AP23" t="b">
        <f t="shared" si="2"/>
        <v>0</v>
      </c>
      <c r="AQ23" t="str">
        <f t="shared" si="3"/>
        <v>[TagPrefixFull]TXF_CB_OPN_c_CMD_i</v>
      </c>
      <c r="AR23" t="str">
        <f>IF($AM23,VLOOKUP(B23,DataTypeMappings!$A$2:$B$18,2,"FALSE"),"")</f>
        <v>DIGITAL</v>
      </c>
      <c r="AS23" t="str">
        <f t="shared" si="4"/>
        <v>[PLC]</v>
      </c>
      <c r="AT23" t="str">
        <f t="shared" si="5"/>
        <v>LW_SS01_TXF.CB.OPN_c.CMD_i</v>
      </c>
      <c r="AU23" t="str">
        <f t="shared" si="39"/>
        <v/>
      </c>
      <c r="AV23" t="str">
        <f t="shared" si="40"/>
        <v/>
      </c>
      <c r="AW23" t="str">
        <f t="shared" si="41"/>
        <v/>
      </c>
      <c r="AX23" t="str">
        <f t="shared" si="42"/>
        <v/>
      </c>
      <c r="AY23" t="str">
        <f t="shared" si="43"/>
        <v/>
      </c>
      <c r="AZ23" t="str">
        <f t="shared" si="44"/>
        <v/>
      </c>
      <c r="BA23" t="str">
        <f t="shared" si="6"/>
        <v>[Desc] - Transformer CB SCADA Open</v>
      </c>
      <c r="BJ23" t="str">
        <f t="shared" si="7"/>
        <v>[Cluster]</v>
      </c>
      <c r="BK23" t="str">
        <f t="shared" si="8"/>
        <v>[Equip]</v>
      </c>
      <c r="BL23" t="str">
        <f t="shared" si="9"/>
        <v/>
      </c>
      <c r="BM23" t="str">
        <f t="shared" si="10"/>
        <v>[Historian]</v>
      </c>
      <c r="BN23" t="str">
        <f t="shared" si="11"/>
        <v>[DigAlmName]</v>
      </c>
      <c r="BO23" t="str">
        <f t="shared" si="12"/>
        <v>[Desc]</v>
      </c>
      <c r="BP23" t="str">
        <f t="shared" si="45"/>
        <v>Alm_Event</v>
      </c>
      <c r="BQ23" t="str">
        <f t="shared" si="46"/>
        <v/>
      </c>
      <c r="BU23" t="str">
        <f t="shared" si="47"/>
        <v/>
      </c>
      <c r="BV23" t="str">
        <f t="shared" si="13"/>
        <v>[TagPrefixFull]TXF_CB_OPN_c_CMD_i</v>
      </c>
      <c r="BW23" t="str">
        <f t="shared" si="14"/>
        <v>[TagPrefixFull]TXF_CB_OPN_c_CMD_i</v>
      </c>
      <c r="BX23" t="str">
        <f t="shared" si="15"/>
        <v>[Desc] - Transformer CB SCADA Open</v>
      </c>
      <c r="BY23" t="str">
        <f t="shared" si="16"/>
        <v>[TagPrefixFull]TXF_CB_OPN_c_CMD_i</v>
      </c>
      <c r="BZ23" t="str">
        <f t="shared" si="17"/>
        <v>[VariableB]</v>
      </c>
      <c r="CA23" t="str">
        <f t="shared" si="48"/>
        <v>Alm_Event</v>
      </c>
      <c r="CB23" t="str">
        <f t="shared" si="18"/>
        <v>[Help]</v>
      </c>
      <c r="CC23" t="str">
        <f t="shared" si="19"/>
        <v>Priv_Alarm</v>
      </c>
      <c r="CD23" t="str">
        <f t="shared" si="20"/>
        <v>[Area]</v>
      </c>
      <c r="CE23" t="str">
        <f t="shared" si="21"/>
        <v>[Desc] - Transformer CB SCADA Open</v>
      </c>
      <c r="CH23" t="str">
        <f t="shared" si="22"/>
        <v>[DigAlmName]</v>
      </c>
      <c r="CP23" t="str">
        <f t="shared" si="23"/>
        <v>[Cluster]</v>
      </c>
      <c r="CV23" t="str">
        <f t="shared" si="24"/>
        <v>[Equip]</v>
      </c>
      <c r="CW23" t="e">
        <f t="shared" si="25"/>
        <v>#VALUE!</v>
      </c>
      <c r="CY23" t="str">
        <f t="shared" si="26"/>
        <v/>
      </c>
      <c r="CZ23" t="str">
        <f t="shared" si="27"/>
        <v/>
      </c>
      <c r="DB23" t="str">
        <f t="shared" si="49"/>
        <v/>
      </c>
      <c r="DE23" t="str">
        <f t="shared" si="50"/>
        <v/>
      </c>
      <c r="DF23" t="str">
        <f t="shared" si="51"/>
        <v/>
      </c>
      <c r="DG23" t="str">
        <f t="shared" si="28"/>
        <v/>
      </c>
      <c r="DH23" t="str">
        <f t="shared" si="29"/>
        <v/>
      </c>
      <c r="DI23" t="str">
        <f t="shared" si="30"/>
        <v/>
      </c>
      <c r="DJ23" t="str">
        <f t="shared" si="31"/>
        <v/>
      </c>
      <c r="DK23" t="str">
        <f t="shared" si="32"/>
        <v/>
      </c>
      <c r="DL23" t="str">
        <f t="shared" si="52"/>
        <v/>
      </c>
      <c r="DT23" t="str">
        <f t="shared" si="53"/>
        <v/>
      </c>
      <c r="DU23" t="str">
        <f t="shared" si="33"/>
        <v/>
      </c>
      <c r="DZ23" t="str">
        <f t="shared" si="34"/>
        <v/>
      </c>
      <c r="EA23" t="str">
        <f t="shared" si="35"/>
        <v/>
      </c>
      <c r="EC23" t="str">
        <f t="shared" si="54"/>
        <v/>
      </c>
      <c r="ED23" t="str">
        <f t="shared" si="55"/>
        <v/>
      </c>
    </row>
    <row r="24" spans="1:134" x14ac:dyDescent="0.3">
      <c r="A24" t="s">
        <v>603</v>
      </c>
      <c r="B24" t="s">
        <v>79</v>
      </c>
      <c r="C24" t="s">
        <v>733</v>
      </c>
      <c r="D24" t="s">
        <v>595</v>
      </c>
      <c r="H24" t="s">
        <v>731</v>
      </c>
      <c r="K24" t="s">
        <v>733</v>
      </c>
      <c r="V24" s="6"/>
      <c r="W24" s="32"/>
      <c r="Y24" t="s">
        <v>905</v>
      </c>
      <c r="AF24" t="s">
        <v>718</v>
      </c>
      <c r="AK24" t="str">
        <f t="shared" si="36"/>
        <v>TXF_CB_OPN_c_CMD_s</v>
      </c>
      <c r="AL24" t="str">
        <f t="shared" si="37"/>
        <v>TXF_CB_OPN_c_CMD_s</v>
      </c>
      <c r="AM24" t="b">
        <f t="shared" si="38"/>
        <v>1</v>
      </c>
      <c r="AN24" t="b">
        <f t="shared" si="0"/>
        <v>0</v>
      </c>
      <c r="AO24" t="b">
        <f t="shared" si="1"/>
        <v>0</v>
      </c>
      <c r="AP24" t="b">
        <f t="shared" si="2"/>
        <v>0</v>
      </c>
      <c r="AQ24" t="str">
        <f t="shared" si="3"/>
        <v>[TagPrefixFull]TXF_CB_OPN_c_CMD_s</v>
      </c>
      <c r="AR24" t="str">
        <f>IF($AM24,VLOOKUP(B24,DataTypeMappings!$A$2:$B$18,2,"FALSE"),"")</f>
        <v>DIGITAL</v>
      </c>
      <c r="AS24" t="str">
        <f t="shared" si="4"/>
        <v>[PLC]</v>
      </c>
      <c r="AT24" t="str">
        <f t="shared" si="5"/>
        <v>LW_SS01_TXF.CB.OPN_c.CMD_s</v>
      </c>
      <c r="AU24" t="str">
        <f t="shared" si="39"/>
        <v/>
      </c>
      <c r="AV24" t="str">
        <f t="shared" si="40"/>
        <v/>
      </c>
      <c r="AW24" t="str">
        <f t="shared" si="41"/>
        <v/>
      </c>
      <c r="AX24" t="str">
        <f t="shared" si="42"/>
        <v/>
      </c>
      <c r="AY24" t="str">
        <f t="shared" si="43"/>
        <v/>
      </c>
      <c r="AZ24" t="str">
        <f t="shared" si="44"/>
        <v/>
      </c>
      <c r="BA24" t="str">
        <f t="shared" si="6"/>
        <v>[Desc] - Transformer CB Output CMD On Delay</v>
      </c>
      <c r="BJ24" t="str">
        <f t="shared" si="7"/>
        <v>[Cluster]</v>
      </c>
      <c r="BK24" t="str">
        <f t="shared" si="8"/>
        <v>[Equip]</v>
      </c>
      <c r="BL24" t="str">
        <f t="shared" si="9"/>
        <v/>
      </c>
      <c r="BM24" t="str">
        <f t="shared" si="10"/>
        <v>[Historian]</v>
      </c>
      <c r="BN24" t="str">
        <f t="shared" si="11"/>
        <v>[DigAlmName]</v>
      </c>
      <c r="BO24" t="str">
        <f t="shared" si="12"/>
        <v>[Desc]</v>
      </c>
      <c r="BP24" t="str">
        <f t="shared" si="45"/>
        <v/>
      </c>
      <c r="BQ24" t="str">
        <f t="shared" si="46"/>
        <v/>
      </c>
      <c r="BU24" t="str">
        <f t="shared" si="47"/>
        <v/>
      </c>
      <c r="BV24" t="str">
        <f t="shared" si="13"/>
        <v/>
      </c>
      <c r="BW24" t="str">
        <f t="shared" si="14"/>
        <v/>
      </c>
      <c r="BX24" t="str">
        <f t="shared" si="15"/>
        <v/>
      </c>
      <c r="BY24" t="str">
        <f t="shared" si="16"/>
        <v/>
      </c>
      <c r="BZ24" t="str">
        <f t="shared" si="17"/>
        <v/>
      </c>
      <c r="CA24" t="str">
        <f t="shared" si="48"/>
        <v/>
      </c>
      <c r="CB24" t="str">
        <f t="shared" si="18"/>
        <v/>
      </c>
      <c r="CC24" t="str">
        <f t="shared" si="19"/>
        <v/>
      </c>
      <c r="CD24" t="str">
        <f t="shared" si="20"/>
        <v/>
      </c>
      <c r="CE24" t="str">
        <f t="shared" si="21"/>
        <v/>
      </c>
      <c r="CH24" t="str">
        <f t="shared" si="22"/>
        <v/>
      </c>
      <c r="CP24" t="str">
        <f t="shared" si="23"/>
        <v/>
      </c>
      <c r="CV24" t="str">
        <f t="shared" si="24"/>
        <v/>
      </c>
      <c r="CW24" t="str">
        <f t="shared" si="25"/>
        <v/>
      </c>
      <c r="CY24" t="str">
        <f t="shared" si="26"/>
        <v/>
      </c>
      <c r="CZ24" t="str">
        <f t="shared" si="27"/>
        <v/>
      </c>
      <c r="DB24" t="str">
        <f t="shared" si="49"/>
        <v/>
      </c>
      <c r="DE24" t="str">
        <f t="shared" si="50"/>
        <v/>
      </c>
      <c r="DF24" t="str">
        <f t="shared" si="51"/>
        <v/>
      </c>
      <c r="DG24" t="str">
        <f t="shared" si="28"/>
        <v/>
      </c>
      <c r="DH24" t="str">
        <f t="shared" si="29"/>
        <v/>
      </c>
      <c r="DI24" t="str">
        <f t="shared" si="30"/>
        <v/>
      </c>
      <c r="DJ24" t="str">
        <f t="shared" si="31"/>
        <v/>
      </c>
      <c r="DK24" t="str">
        <f t="shared" si="32"/>
        <v/>
      </c>
      <c r="DL24" t="str">
        <f t="shared" si="52"/>
        <v/>
      </c>
      <c r="DT24" t="str">
        <f t="shared" si="53"/>
        <v/>
      </c>
      <c r="DU24" t="str">
        <f t="shared" si="33"/>
        <v/>
      </c>
      <c r="DZ24" t="str">
        <f t="shared" si="34"/>
        <v/>
      </c>
      <c r="EA24" t="str">
        <f t="shared" si="35"/>
        <v/>
      </c>
      <c r="EC24" t="str">
        <f t="shared" si="54"/>
        <v/>
      </c>
      <c r="ED24" t="str">
        <f t="shared" si="55"/>
        <v/>
      </c>
    </row>
    <row r="25" spans="1:134" x14ac:dyDescent="0.3">
      <c r="A25" t="s">
        <v>702</v>
      </c>
      <c r="B25" t="s">
        <v>79</v>
      </c>
      <c r="C25" t="s">
        <v>734</v>
      </c>
      <c r="E25" s="99"/>
      <c r="H25" t="s">
        <v>731</v>
      </c>
      <c r="K25" t="s">
        <v>734</v>
      </c>
      <c r="U25" t="s">
        <v>308</v>
      </c>
      <c r="V25" s="6"/>
      <c r="W25" s="32"/>
      <c r="Y25" t="s">
        <v>906</v>
      </c>
      <c r="AF25" t="s">
        <v>718</v>
      </c>
      <c r="AK25" t="str">
        <f t="shared" si="36"/>
        <v>TXF_CB_Tst_UV_c_CMD_i</v>
      </c>
      <c r="AL25" t="str">
        <f t="shared" si="37"/>
        <v>TXF_CB_Tst_UV_c_CMD_i</v>
      </c>
      <c r="AM25" t="b">
        <f t="shared" si="38"/>
        <v>1</v>
      </c>
      <c r="AN25" t="b">
        <f t="shared" si="0"/>
        <v>1</v>
      </c>
      <c r="AO25" t="b">
        <f t="shared" si="1"/>
        <v>0</v>
      </c>
      <c r="AP25" t="b">
        <f t="shared" si="2"/>
        <v>0</v>
      </c>
      <c r="AQ25" t="str">
        <f t="shared" si="3"/>
        <v>[TagPrefixFull]TXF_CB_Tst_UV_c_CMD_i</v>
      </c>
      <c r="AR25" t="str">
        <f>IF($AM25,VLOOKUP(B25,DataTypeMappings!$A$2:$B$18,2,"FALSE"),"")</f>
        <v>DIGITAL</v>
      </c>
      <c r="AS25" t="str">
        <f t="shared" si="4"/>
        <v>[PLC]</v>
      </c>
      <c r="AT25" t="str">
        <f t="shared" si="5"/>
        <v>LW_SS01_TXF.CB.Tst_UV_c.CMD_i</v>
      </c>
      <c r="AU25" t="str">
        <f t="shared" si="39"/>
        <v/>
      </c>
      <c r="AV25" t="str">
        <f t="shared" si="40"/>
        <v/>
      </c>
      <c r="AW25" t="str">
        <f t="shared" si="41"/>
        <v/>
      </c>
      <c r="AX25" t="str">
        <f t="shared" si="42"/>
        <v/>
      </c>
      <c r="AY25" t="str">
        <f t="shared" si="43"/>
        <v/>
      </c>
      <c r="AZ25" t="str">
        <f t="shared" si="44"/>
        <v/>
      </c>
      <c r="BA25" t="str">
        <f t="shared" si="6"/>
        <v>[Desc] - Transformer CB UV Trip Test</v>
      </c>
      <c r="BJ25" t="str">
        <f t="shared" si="7"/>
        <v>[Cluster]</v>
      </c>
      <c r="BK25" t="str">
        <f t="shared" si="8"/>
        <v>[Equip]</v>
      </c>
      <c r="BL25" t="str">
        <f t="shared" si="9"/>
        <v/>
      </c>
      <c r="BM25" t="str">
        <f t="shared" si="10"/>
        <v>[Historian]</v>
      </c>
      <c r="BN25" t="str">
        <f t="shared" si="11"/>
        <v>[DigAlmName]</v>
      </c>
      <c r="BO25" t="str">
        <f t="shared" si="12"/>
        <v>[Desc]</v>
      </c>
      <c r="BP25" t="str">
        <f t="shared" si="45"/>
        <v>Alm_Event</v>
      </c>
      <c r="BQ25" t="str">
        <f t="shared" si="46"/>
        <v/>
      </c>
      <c r="BU25" t="str">
        <f t="shared" si="47"/>
        <v/>
      </c>
      <c r="BV25" t="str">
        <f t="shared" si="13"/>
        <v>[TagPrefixFull]TXF_CB_Tst_UV_c_CMD_i</v>
      </c>
      <c r="BW25" t="str">
        <f t="shared" si="14"/>
        <v>[TagPrefixFull]TXF_CB_Tst_UV_c_CMD_i</v>
      </c>
      <c r="BX25" t="str">
        <f t="shared" si="15"/>
        <v>[Desc] - Transformer CB UV Trip Test</v>
      </c>
      <c r="BY25" t="str">
        <f t="shared" si="16"/>
        <v>[TagPrefixFull]TXF_CB_Tst_UV_c_CMD_i</v>
      </c>
      <c r="BZ25" t="str">
        <f t="shared" si="17"/>
        <v>[VariableB]</v>
      </c>
      <c r="CA25" t="str">
        <f t="shared" si="48"/>
        <v>Alm_Event</v>
      </c>
      <c r="CB25" t="str">
        <f t="shared" si="18"/>
        <v>[Help]</v>
      </c>
      <c r="CC25" t="str">
        <f t="shared" si="19"/>
        <v>Priv_Alarm</v>
      </c>
      <c r="CD25" t="str">
        <f t="shared" si="20"/>
        <v>[Area]</v>
      </c>
      <c r="CE25" t="str">
        <f t="shared" si="21"/>
        <v>[Desc] - Transformer CB UV Trip Test</v>
      </c>
      <c r="CH25" t="str">
        <f t="shared" si="22"/>
        <v>[DigAlmName]</v>
      </c>
      <c r="CP25" t="str">
        <f t="shared" si="23"/>
        <v>[Cluster]</v>
      </c>
      <c r="CV25" t="str">
        <f t="shared" si="24"/>
        <v>[Equip]</v>
      </c>
      <c r="CW25" t="e">
        <f t="shared" si="25"/>
        <v>#VALUE!</v>
      </c>
      <c r="CY25" t="str">
        <f t="shared" si="26"/>
        <v/>
      </c>
      <c r="CZ25" t="str">
        <f t="shared" si="27"/>
        <v/>
      </c>
      <c r="DB25" t="str">
        <f t="shared" si="49"/>
        <v/>
      </c>
      <c r="DE25" t="str">
        <f t="shared" si="50"/>
        <v/>
      </c>
      <c r="DF25" t="str">
        <f t="shared" si="51"/>
        <v/>
      </c>
      <c r="DG25" t="str">
        <f t="shared" si="28"/>
        <v/>
      </c>
      <c r="DH25" t="str">
        <f t="shared" si="29"/>
        <v/>
      </c>
      <c r="DI25" t="str">
        <f t="shared" si="30"/>
        <v/>
      </c>
      <c r="DJ25" t="str">
        <f t="shared" si="31"/>
        <v/>
      </c>
      <c r="DK25" t="str">
        <f t="shared" si="32"/>
        <v/>
      </c>
      <c r="DL25" t="str">
        <f t="shared" si="52"/>
        <v/>
      </c>
      <c r="DT25" t="str">
        <f t="shared" si="53"/>
        <v/>
      </c>
      <c r="DU25" t="str">
        <f t="shared" si="33"/>
        <v/>
      </c>
      <c r="DZ25" t="str">
        <f t="shared" si="34"/>
        <v/>
      </c>
      <c r="EA25" t="str">
        <f t="shared" si="35"/>
        <v/>
      </c>
      <c r="EC25" t="str">
        <f t="shared" si="54"/>
        <v/>
      </c>
      <c r="ED25" t="str">
        <f t="shared" si="55"/>
        <v/>
      </c>
    </row>
    <row r="26" spans="1:134" x14ac:dyDescent="0.3">
      <c r="A26" t="s">
        <v>701</v>
      </c>
      <c r="B26" t="s">
        <v>79</v>
      </c>
      <c r="C26" t="s">
        <v>735</v>
      </c>
      <c r="E26" s="99"/>
      <c r="H26" t="s">
        <v>731</v>
      </c>
      <c r="K26" t="s">
        <v>735</v>
      </c>
      <c r="U26" t="s">
        <v>308</v>
      </c>
      <c r="V26" s="6"/>
      <c r="W26" s="32"/>
      <c r="Y26" t="s">
        <v>907</v>
      </c>
      <c r="AF26" t="s">
        <v>718</v>
      </c>
      <c r="AK26" t="str">
        <f t="shared" si="36"/>
        <v>TXF_CB_Tst_ST_c_CMD_i</v>
      </c>
      <c r="AL26" t="str">
        <f t="shared" si="37"/>
        <v>TXF_CB_Tst_ST_c_CMD_i</v>
      </c>
      <c r="AM26" t="b">
        <f t="shared" si="38"/>
        <v>1</v>
      </c>
      <c r="AN26" t="b">
        <f t="shared" si="0"/>
        <v>1</v>
      </c>
      <c r="AO26" t="b">
        <f t="shared" si="1"/>
        <v>0</v>
      </c>
      <c r="AP26" t="b">
        <f t="shared" si="2"/>
        <v>0</v>
      </c>
      <c r="AQ26" t="str">
        <f t="shared" si="3"/>
        <v>[TagPrefixFull]TXF_CB_Tst_ST_c_CMD_i</v>
      </c>
      <c r="AR26" t="str">
        <f>IF($AM26,VLOOKUP(B26,DataTypeMappings!$A$2:$B$18,2,"FALSE"),"")</f>
        <v>DIGITAL</v>
      </c>
      <c r="AS26" t="str">
        <f t="shared" si="4"/>
        <v>[PLC]</v>
      </c>
      <c r="AT26" t="str">
        <f t="shared" si="5"/>
        <v>LW_SS01_TXF.CB.Tst_ST_c.CMD_i</v>
      </c>
      <c r="AU26" t="str">
        <f t="shared" si="39"/>
        <v/>
      </c>
      <c r="AV26" t="str">
        <f t="shared" si="40"/>
        <v/>
      </c>
      <c r="AW26" t="str">
        <f t="shared" si="41"/>
        <v/>
      </c>
      <c r="AX26" t="str">
        <f t="shared" si="42"/>
        <v/>
      </c>
      <c r="AY26" t="str">
        <f t="shared" si="43"/>
        <v/>
      </c>
      <c r="AZ26" t="str">
        <f t="shared" si="44"/>
        <v/>
      </c>
      <c r="BA26" t="str">
        <f t="shared" si="6"/>
        <v>[Desc] - Transformer CB ST Trip Test</v>
      </c>
      <c r="BJ26" t="str">
        <f t="shared" si="7"/>
        <v>[Cluster]</v>
      </c>
      <c r="BK26" t="str">
        <f t="shared" si="8"/>
        <v>[Equip]</v>
      </c>
      <c r="BL26" t="str">
        <f t="shared" si="9"/>
        <v/>
      </c>
      <c r="BM26" t="str">
        <f t="shared" si="10"/>
        <v>[Historian]</v>
      </c>
      <c r="BN26" t="str">
        <f t="shared" si="11"/>
        <v>[DigAlmName]</v>
      </c>
      <c r="BO26" t="str">
        <f t="shared" si="12"/>
        <v>[Desc]</v>
      </c>
      <c r="BP26" t="str">
        <f t="shared" si="45"/>
        <v>Alm_Event</v>
      </c>
      <c r="BQ26" t="str">
        <f t="shared" si="46"/>
        <v/>
      </c>
      <c r="BU26" t="str">
        <f t="shared" si="47"/>
        <v/>
      </c>
      <c r="BV26" t="str">
        <f t="shared" si="13"/>
        <v>[TagPrefixFull]TXF_CB_Tst_ST_c_CMD_i</v>
      </c>
      <c r="BW26" t="str">
        <f t="shared" si="14"/>
        <v>[TagPrefixFull]TXF_CB_Tst_ST_c_CMD_i</v>
      </c>
      <c r="BX26" t="str">
        <f t="shared" si="15"/>
        <v>[Desc] - Transformer CB ST Trip Test</v>
      </c>
      <c r="BY26" t="str">
        <f t="shared" si="16"/>
        <v>[TagPrefixFull]TXF_CB_Tst_ST_c_CMD_i</v>
      </c>
      <c r="BZ26" t="str">
        <f t="shared" si="17"/>
        <v>[VariableB]</v>
      </c>
      <c r="CA26" t="str">
        <f t="shared" si="48"/>
        <v>Alm_Event</v>
      </c>
      <c r="CB26" t="str">
        <f t="shared" si="18"/>
        <v>[Help]</v>
      </c>
      <c r="CC26" t="str">
        <f t="shared" si="19"/>
        <v>Priv_Alarm</v>
      </c>
      <c r="CD26" t="str">
        <f t="shared" si="20"/>
        <v>[Area]</v>
      </c>
      <c r="CE26" t="str">
        <f t="shared" si="21"/>
        <v>[Desc] - Transformer CB ST Trip Test</v>
      </c>
      <c r="CH26" t="str">
        <f t="shared" si="22"/>
        <v>[DigAlmName]</v>
      </c>
      <c r="CP26" t="str">
        <f t="shared" si="23"/>
        <v>[Cluster]</v>
      </c>
      <c r="CV26" t="str">
        <f t="shared" si="24"/>
        <v>[Equip]</v>
      </c>
      <c r="CW26" t="e">
        <f t="shared" si="25"/>
        <v>#VALUE!</v>
      </c>
      <c r="CY26" t="str">
        <f t="shared" si="26"/>
        <v/>
      </c>
      <c r="CZ26" t="str">
        <f t="shared" si="27"/>
        <v/>
      </c>
      <c r="DB26" t="str">
        <f t="shared" si="49"/>
        <v/>
      </c>
      <c r="DE26" t="str">
        <f t="shared" si="50"/>
        <v/>
      </c>
      <c r="DF26" t="str">
        <f t="shared" si="51"/>
        <v/>
      </c>
      <c r="DG26" t="str">
        <f t="shared" si="28"/>
        <v/>
      </c>
      <c r="DH26" t="str">
        <f t="shared" si="29"/>
        <v/>
      </c>
      <c r="DI26" t="str">
        <f t="shared" si="30"/>
        <v/>
      </c>
      <c r="DJ26" t="str">
        <f t="shared" si="31"/>
        <v/>
      </c>
      <c r="DK26" t="str">
        <f t="shared" si="32"/>
        <v/>
      </c>
      <c r="DL26" t="str">
        <f t="shared" si="52"/>
        <v/>
      </c>
      <c r="DT26" t="str">
        <f t="shared" si="53"/>
        <v/>
      </c>
      <c r="DU26" t="str">
        <f t="shared" si="33"/>
        <v/>
      </c>
      <c r="DZ26" t="str">
        <f t="shared" si="34"/>
        <v/>
      </c>
      <c r="EA26" t="str">
        <f t="shared" si="35"/>
        <v/>
      </c>
      <c r="EC26" t="str">
        <f t="shared" si="54"/>
        <v/>
      </c>
      <c r="ED26" t="str">
        <f t="shared" si="55"/>
        <v/>
      </c>
    </row>
    <row r="27" spans="1:134" x14ac:dyDescent="0.3">
      <c r="A27" t="s">
        <v>689</v>
      </c>
      <c r="B27" t="s">
        <v>79</v>
      </c>
      <c r="C27" t="s">
        <v>736</v>
      </c>
      <c r="D27" t="s">
        <v>596</v>
      </c>
      <c r="E27" t="s">
        <v>79</v>
      </c>
      <c r="F27" t="s">
        <v>377</v>
      </c>
      <c r="G27" t="s">
        <v>597</v>
      </c>
      <c r="H27" t="s">
        <v>737</v>
      </c>
      <c r="K27" t="s">
        <v>736</v>
      </c>
      <c r="V27" s="6"/>
      <c r="W27" s="32"/>
      <c r="Y27" t="s">
        <v>908</v>
      </c>
      <c r="AF27" t="s">
        <v>718</v>
      </c>
      <c r="AK27" t="str">
        <f t="shared" si="36"/>
        <v>TXF_CB_CLSD_i</v>
      </c>
      <c r="AL27" t="str">
        <f t="shared" si="37"/>
        <v>TXF_CB_CLSD_i</v>
      </c>
      <c r="AM27" t="b">
        <f t="shared" si="38"/>
        <v>1</v>
      </c>
      <c r="AN27" t="b">
        <f t="shared" si="0"/>
        <v>0</v>
      </c>
      <c r="AO27" t="b">
        <f t="shared" si="1"/>
        <v>0</v>
      </c>
      <c r="AP27" t="b">
        <f t="shared" si="2"/>
        <v>0</v>
      </c>
      <c r="AQ27" t="str">
        <f t="shared" si="3"/>
        <v>[TagPrefixFull]TXF_CB_CLSD_i</v>
      </c>
      <c r="AR27" t="str">
        <f>IF($AM27,VLOOKUP(B27,DataTypeMappings!$A$2:$B$18,2,"FALSE"),"")</f>
        <v>DIGITAL</v>
      </c>
      <c r="AS27" t="str">
        <f t="shared" si="4"/>
        <v>[PLC]</v>
      </c>
      <c r="AT27" t="str">
        <f t="shared" si="5"/>
        <v>LW_SS01_TXF.CB.CLSD_i</v>
      </c>
      <c r="AU27" t="str">
        <f t="shared" si="39"/>
        <v/>
      </c>
      <c r="AV27" t="str">
        <f t="shared" si="40"/>
        <v/>
      </c>
      <c r="AW27" t="str">
        <f t="shared" si="41"/>
        <v/>
      </c>
      <c r="AX27" t="str">
        <f t="shared" si="42"/>
        <v/>
      </c>
      <c r="AY27" t="str">
        <f t="shared" si="43"/>
        <v/>
      </c>
      <c r="AZ27" t="str">
        <f t="shared" si="44"/>
        <v/>
      </c>
      <c r="BA27" t="str">
        <f t="shared" si="6"/>
        <v>[Desc] - Transformer CB Close Input [1=Closed 0=Not Closed]</v>
      </c>
      <c r="BJ27" t="str">
        <f t="shared" si="7"/>
        <v>[Cluster]</v>
      </c>
      <c r="BK27" t="str">
        <f t="shared" si="8"/>
        <v>[Equip]</v>
      </c>
      <c r="BL27" t="str">
        <f t="shared" si="9"/>
        <v/>
      </c>
      <c r="BM27" t="str">
        <f t="shared" si="10"/>
        <v>[Historian]</v>
      </c>
      <c r="BN27" t="str">
        <f t="shared" si="11"/>
        <v>[DigAlmName]</v>
      </c>
      <c r="BO27" t="str">
        <f t="shared" si="12"/>
        <v>[Desc]</v>
      </c>
      <c r="BP27" t="str">
        <f t="shared" si="45"/>
        <v/>
      </c>
      <c r="BQ27" t="str">
        <f t="shared" si="46"/>
        <v/>
      </c>
      <c r="BU27" t="str">
        <f t="shared" si="47"/>
        <v/>
      </c>
      <c r="BV27" t="str">
        <f t="shared" si="13"/>
        <v/>
      </c>
      <c r="BW27" t="str">
        <f t="shared" si="14"/>
        <v/>
      </c>
      <c r="BX27" t="str">
        <f t="shared" si="15"/>
        <v/>
      </c>
      <c r="BY27" t="str">
        <f t="shared" si="16"/>
        <v/>
      </c>
      <c r="BZ27" t="str">
        <f t="shared" si="17"/>
        <v/>
      </c>
      <c r="CA27" t="str">
        <f t="shared" si="48"/>
        <v/>
      </c>
      <c r="CB27" t="str">
        <f t="shared" si="18"/>
        <v/>
      </c>
      <c r="CC27" t="str">
        <f t="shared" si="19"/>
        <v/>
      </c>
      <c r="CD27" t="str">
        <f t="shared" si="20"/>
        <v/>
      </c>
      <c r="CE27" t="str">
        <f t="shared" si="21"/>
        <v/>
      </c>
      <c r="CH27" t="str">
        <f t="shared" si="22"/>
        <v/>
      </c>
      <c r="CP27" t="str">
        <f t="shared" si="23"/>
        <v/>
      </c>
      <c r="CV27" t="str">
        <f t="shared" si="24"/>
        <v/>
      </c>
      <c r="CW27" t="str">
        <f t="shared" si="25"/>
        <v/>
      </c>
      <c r="CY27" t="str">
        <f t="shared" si="26"/>
        <v/>
      </c>
      <c r="CZ27" t="str">
        <f t="shared" si="27"/>
        <v/>
      </c>
      <c r="DB27" t="str">
        <f t="shared" si="49"/>
        <v/>
      </c>
      <c r="DE27" t="str">
        <f t="shared" si="50"/>
        <v/>
      </c>
      <c r="DF27" t="str">
        <f t="shared" si="51"/>
        <v/>
      </c>
      <c r="DG27" t="str">
        <f t="shared" si="28"/>
        <v/>
      </c>
      <c r="DH27" t="str">
        <f t="shared" si="29"/>
        <v/>
      </c>
      <c r="DI27" t="str">
        <f t="shared" si="30"/>
        <v/>
      </c>
      <c r="DJ27" t="str">
        <f t="shared" si="31"/>
        <v/>
      </c>
      <c r="DK27" t="str">
        <f t="shared" si="32"/>
        <v/>
      </c>
      <c r="DL27" t="str">
        <f t="shared" si="52"/>
        <v/>
      </c>
      <c r="DT27" t="str">
        <f t="shared" si="53"/>
        <v/>
      </c>
      <c r="DU27" t="str">
        <f t="shared" si="33"/>
        <v/>
      </c>
      <c r="DZ27" t="str">
        <f t="shared" si="34"/>
        <v/>
      </c>
      <c r="EA27" t="str">
        <f t="shared" si="35"/>
        <v/>
      </c>
      <c r="EC27" t="str">
        <f t="shared" si="54"/>
        <v/>
      </c>
      <c r="ED27" t="str">
        <f t="shared" si="55"/>
        <v/>
      </c>
    </row>
    <row r="28" spans="1:134" x14ac:dyDescent="0.3">
      <c r="A28" t="s">
        <v>690</v>
      </c>
      <c r="B28" t="s">
        <v>79</v>
      </c>
      <c r="C28" t="s">
        <v>738</v>
      </c>
      <c r="D28" t="s">
        <v>598</v>
      </c>
      <c r="E28" t="s">
        <v>79</v>
      </c>
      <c r="F28" t="s">
        <v>377</v>
      </c>
      <c r="G28" t="s">
        <v>599</v>
      </c>
      <c r="H28" t="s">
        <v>737</v>
      </c>
      <c r="K28" t="s">
        <v>738</v>
      </c>
      <c r="V28" s="6"/>
      <c r="W28" s="32"/>
      <c r="Y28" t="s">
        <v>909</v>
      </c>
      <c r="AF28" t="s">
        <v>718</v>
      </c>
      <c r="AK28" t="str">
        <f t="shared" si="36"/>
        <v>TXF_CB_OPND_i</v>
      </c>
      <c r="AL28" t="str">
        <f t="shared" si="37"/>
        <v>TXF_CB_OPND_i</v>
      </c>
      <c r="AM28" t="b">
        <f t="shared" si="38"/>
        <v>1</v>
      </c>
      <c r="AN28" t="b">
        <f t="shared" si="0"/>
        <v>0</v>
      </c>
      <c r="AO28" t="b">
        <f t="shared" si="1"/>
        <v>0</v>
      </c>
      <c r="AP28" t="b">
        <f t="shared" si="2"/>
        <v>0</v>
      </c>
      <c r="AQ28" t="str">
        <f t="shared" si="3"/>
        <v>[TagPrefixFull]TXF_CB_OPND_i</v>
      </c>
      <c r="AR28" t="str">
        <f>IF($AM28,VLOOKUP(B28,DataTypeMappings!$A$2:$B$18,2,"FALSE"),"")</f>
        <v>DIGITAL</v>
      </c>
      <c r="AS28" t="str">
        <f t="shared" si="4"/>
        <v>[PLC]</v>
      </c>
      <c r="AT28" t="str">
        <f t="shared" si="5"/>
        <v>LW_SS01_TXF.CB.OPND_i</v>
      </c>
      <c r="AU28" t="str">
        <f t="shared" si="39"/>
        <v/>
      </c>
      <c r="AV28" t="str">
        <f t="shared" si="40"/>
        <v/>
      </c>
      <c r="AW28" t="str">
        <f t="shared" si="41"/>
        <v/>
      </c>
      <c r="AX28" t="str">
        <f t="shared" si="42"/>
        <v/>
      </c>
      <c r="AY28" t="str">
        <f t="shared" si="43"/>
        <v/>
      </c>
      <c r="AZ28" t="str">
        <f t="shared" si="44"/>
        <v/>
      </c>
      <c r="BA28" t="str">
        <f t="shared" si="6"/>
        <v>[Desc] - Transformer CB Open Input [1=Opened 0=Not Opened]</v>
      </c>
      <c r="BJ28" t="str">
        <f t="shared" si="7"/>
        <v>[Cluster]</v>
      </c>
      <c r="BK28" t="str">
        <f t="shared" si="8"/>
        <v>[Equip]</v>
      </c>
      <c r="BL28" t="str">
        <f t="shared" si="9"/>
        <v/>
      </c>
      <c r="BM28" t="str">
        <f t="shared" si="10"/>
        <v>[Historian]</v>
      </c>
      <c r="BN28" t="str">
        <f t="shared" si="11"/>
        <v>[DigAlmName]</v>
      </c>
      <c r="BO28" t="str">
        <f t="shared" si="12"/>
        <v>[Desc]</v>
      </c>
      <c r="BP28" t="str">
        <f t="shared" si="45"/>
        <v/>
      </c>
      <c r="BQ28" t="str">
        <f t="shared" si="46"/>
        <v/>
      </c>
      <c r="BU28" t="str">
        <f t="shared" si="47"/>
        <v/>
      </c>
      <c r="BV28" t="str">
        <f t="shared" si="13"/>
        <v/>
      </c>
      <c r="BW28" t="str">
        <f t="shared" si="14"/>
        <v/>
      </c>
      <c r="BX28" t="str">
        <f t="shared" si="15"/>
        <v/>
      </c>
      <c r="BY28" t="str">
        <f t="shared" si="16"/>
        <v/>
      </c>
      <c r="BZ28" t="str">
        <f t="shared" si="17"/>
        <v/>
      </c>
      <c r="CA28" t="str">
        <f t="shared" si="48"/>
        <v/>
      </c>
      <c r="CB28" t="str">
        <f t="shared" si="18"/>
        <v/>
      </c>
      <c r="CC28" t="str">
        <f t="shared" si="19"/>
        <v/>
      </c>
      <c r="CD28" t="str">
        <f t="shared" si="20"/>
        <v/>
      </c>
      <c r="CE28" t="str">
        <f t="shared" si="21"/>
        <v/>
      </c>
      <c r="CH28" t="str">
        <f t="shared" si="22"/>
        <v/>
      </c>
      <c r="CP28" t="str">
        <f t="shared" si="23"/>
        <v/>
      </c>
      <c r="CV28" t="str">
        <f t="shared" si="24"/>
        <v/>
      </c>
      <c r="CW28" t="str">
        <f t="shared" si="25"/>
        <v/>
      </c>
      <c r="CY28" t="str">
        <f t="shared" si="26"/>
        <v/>
      </c>
      <c r="CZ28" t="str">
        <f t="shared" si="27"/>
        <v/>
      </c>
      <c r="DB28" t="str">
        <f t="shared" si="49"/>
        <v/>
      </c>
      <c r="DE28" t="str">
        <f t="shared" si="50"/>
        <v/>
      </c>
      <c r="DF28" t="str">
        <f t="shared" si="51"/>
        <v/>
      </c>
      <c r="DG28" t="str">
        <f t="shared" si="28"/>
        <v/>
      </c>
      <c r="DH28" t="str">
        <f t="shared" si="29"/>
        <v/>
      </c>
      <c r="DI28" t="str">
        <f t="shared" si="30"/>
        <v/>
      </c>
      <c r="DJ28" t="str">
        <f t="shared" si="31"/>
        <v/>
      </c>
      <c r="DK28" t="str">
        <f t="shared" si="32"/>
        <v/>
      </c>
      <c r="DL28" t="str">
        <f t="shared" si="52"/>
        <v/>
      </c>
      <c r="DT28" t="str">
        <f t="shared" si="53"/>
        <v/>
      </c>
      <c r="DU28" t="str">
        <f t="shared" si="33"/>
        <v/>
      </c>
      <c r="DZ28" t="str">
        <f t="shared" si="34"/>
        <v/>
      </c>
      <c r="EA28" t="str">
        <f t="shared" si="35"/>
        <v/>
      </c>
      <c r="EC28" t="str">
        <f t="shared" si="54"/>
        <v/>
      </c>
      <c r="ED28" t="str">
        <f t="shared" si="55"/>
        <v/>
      </c>
    </row>
    <row r="29" spans="1:134" x14ac:dyDescent="0.3">
      <c r="A29" t="s">
        <v>691</v>
      </c>
      <c r="B29" t="s">
        <v>79</v>
      </c>
      <c r="C29" t="s">
        <v>739</v>
      </c>
      <c r="D29" t="s">
        <v>380</v>
      </c>
      <c r="E29" t="s">
        <v>79</v>
      </c>
      <c r="F29" t="s">
        <v>377</v>
      </c>
      <c r="G29" t="s">
        <v>600</v>
      </c>
      <c r="H29" t="s">
        <v>737</v>
      </c>
      <c r="K29" t="s">
        <v>739</v>
      </c>
      <c r="V29" s="6"/>
      <c r="W29" s="32"/>
      <c r="Y29" t="s">
        <v>910</v>
      </c>
      <c r="AF29" t="s">
        <v>718</v>
      </c>
      <c r="AK29" t="str">
        <f t="shared" si="36"/>
        <v>TXF_CB_HTY_s</v>
      </c>
      <c r="AL29" t="str">
        <f t="shared" si="37"/>
        <v>TXF_CB_HTY_s</v>
      </c>
      <c r="AM29" t="b">
        <f t="shared" si="38"/>
        <v>1</v>
      </c>
      <c r="AN29" t="b">
        <f t="shared" si="0"/>
        <v>0</v>
      </c>
      <c r="AO29" t="b">
        <f t="shared" si="1"/>
        <v>0</v>
      </c>
      <c r="AP29" t="b">
        <f t="shared" si="2"/>
        <v>0</v>
      </c>
      <c r="AQ29" t="str">
        <f t="shared" si="3"/>
        <v>[TagPrefixFull]TXF_CB_HTY_s</v>
      </c>
      <c r="AR29" t="str">
        <f>IF($AM29,VLOOKUP(B29,DataTypeMappings!$A$2:$B$18,2,"FALSE"),"")</f>
        <v>DIGITAL</v>
      </c>
      <c r="AS29" t="str">
        <f t="shared" si="4"/>
        <v>[PLC]</v>
      </c>
      <c r="AT29" t="str">
        <f t="shared" si="5"/>
        <v>LW_SS01_TXF.CB.HTY_s</v>
      </c>
      <c r="AU29" t="str">
        <f t="shared" si="39"/>
        <v/>
      </c>
      <c r="AV29" t="str">
        <f t="shared" si="40"/>
        <v/>
      </c>
      <c r="AW29" t="str">
        <f t="shared" si="41"/>
        <v/>
      </c>
      <c r="AX29" t="str">
        <f t="shared" si="42"/>
        <v/>
      </c>
      <c r="AY29" t="str">
        <f t="shared" si="43"/>
        <v/>
      </c>
      <c r="AZ29" t="str">
        <f t="shared" si="44"/>
        <v/>
      </c>
      <c r="BA29" t="str">
        <f t="shared" si="6"/>
        <v>[Desc] - Transformer CB CB Status [1=Healthy 0=Tripped]</v>
      </c>
      <c r="BJ29" t="str">
        <f t="shared" si="7"/>
        <v>[Cluster]</v>
      </c>
      <c r="BK29" t="str">
        <f t="shared" si="8"/>
        <v>[Equip]</v>
      </c>
      <c r="BL29" t="str">
        <f t="shared" si="9"/>
        <v/>
      </c>
      <c r="BM29" t="str">
        <f t="shared" si="10"/>
        <v>[Historian]</v>
      </c>
      <c r="BN29" t="str">
        <f t="shared" si="11"/>
        <v>[DigAlmName]</v>
      </c>
      <c r="BO29" t="str">
        <f t="shared" si="12"/>
        <v>[Desc]</v>
      </c>
      <c r="BP29" t="str">
        <f t="shared" si="45"/>
        <v/>
      </c>
      <c r="BQ29" t="str">
        <f t="shared" si="46"/>
        <v/>
      </c>
      <c r="BU29" t="str">
        <f t="shared" si="47"/>
        <v/>
      </c>
      <c r="BV29" t="str">
        <f t="shared" si="13"/>
        <v/>
      </c>
      <c r="BW29" t="str">
        <f t="shared" si="14"/>
        <v/>
      </c>
      <c r="BX29" t="str">
        <f t="shared" si="15"/>
        <v/>
      </c>
      <c r="BY29" t="str">
        <f t="shared" si="16"/>
        <v/>
      </c>
      <c r="BZ29" t="str">
        <f t="shared" si="17"/>
        <v/>
      </c>
      <c r="CA29" t="str">
        <f t="shared" si="48"/>
        <v/>
      </c>
      <c r="CB29" t="str">
        <f t="shared" si="18"/>
        <v/>
      </c>
      <c r="CC29" t="str">
        <f t="shared" si="19"/>
        <v/>
      </c>
      <c r="CD29" t="str">
        <f t="shared" si="20"/>
        <v/>
      </c>
      <c r="CE29" t="str">
        <f t="shared" si="21"/>
        <v/>
      </c>
      <c r="CH29" t="str">
        <f t="shared" si="22"/>
        <v/>
      </c>
      <c r="CP29" t="str">
        <f t="shared" si="23"/>
        <v/>
      </c>
      <c r="CV29" t="str">
        <f t="shared" si="24"/>
        <v/>
      </c>
      <c r="CW29" t="str">
        <f t="shared" si="25"/>
        <v/>
      </c>
      <c r="CY29" t="str">
        <f t="shared" si="26"/>
        <v/>
      </c>
      <c r="CZ29" t="str">
        <f t="shared" si="27"/>
        <v/>
      </c>
      <c r="DB29" t="str">
        <f t="shared" si="49"/>
        <v/>
      </c>
      <c r="DE29" t="str">
        <f t="shared" si="50"/>
        <v/>
      </c>
      <c r="DF29" t="str">
        <f t="shared" si="51"/>
        <v/>
      </c>
      <c r="DG29" t="str">
        <f t="shared" si="28"/>
        <v/>
      </c>
      <c r="DH29" t="str">
        <f t="shared" si="29"/>
        <v/>
      </c>
      <c r="DI29" t="str">
        <f t="shared" si="30"/>
        <v/>
      </c>
      <c r="DJ29" t="str">
        <f t="shared" si="31"/>
        <v/>
      </c>
      <c r="DK29" t="str">
        <f t="shared" si="32"/>
        <v/>
      </c>
      <c r="DL29" t="str">
        <f t="shared" si="52"/>
        <v/>
      </c>
      <c r="DT29" t="str">
        <f t="shared" si="53"/>
        <v/>
      </c>
      <c r="DU29" t="str">
        <f t="shared" si="33"/>
        <v/>
      </c>
      <c r="DZ29" t="str">
        <f t="shared" si="34"/>
        <v/>
      </c>
      <c r="EA29" t="str">
        <f t="shared" si="35"/>
        <v/>
      </c>
      <c r="EC29" t="str">
        <f t="shared" si="54"/>
        <v/>
      </c>
      <c r="ED29" t="str">
        <f t="shared" si="55"/>
        <v/>
      </c>
    </row>
    <row r="30" spans="1:134" x14ac:dyDescent="0.3">
      <c r="A30" t="s">
        <v>712</v>
      </c>
      <c r="B30" t="s">
        <v>80</v>
      </c>
      <c r="C30" t="s">
        <v>740</v>
      </c>
      <c r="H30" t="s">
        <v>737</v>
      </c>
      <c r="K30" t="s">
        <v>740</v>
      </c>
      <c r="V30" s="6"/>
      <c r="W30" s="32"/>
      <c r="Y30" t="s">
        <v>911</v>
      </c>
      <c r="AF30" t="s">
        <v>833</v>
      </c>
      <c r="AK30" t="str">
        <f t="shared" si="36"/>
        <v>TXF_CB_OPS_OPS_v</v>
      </c>
      <c r="AL30" t="str">
        <f t="shared" si="37"/>
        <v>TXF_CB_OPS_OPS_v</v>
      </c>
      <c r="AM30" t="b">
        <f t="shared" si="38"/>
        <v>1</v>
      </c>
      <c r="AN30" t="b">
        <f t="shared" si="0"/>
        <v>0</v>
      </c>
      <c r="AO30" t="b">
        <f t="shared" si="1"/>
        <v>0</v>
      </c>
      <c r="AP30" t="b">
        <f t="shared" si="2"/>
        <v>0</v>
      </c>
      <c r="AQ30" t="str">
        <f t="shared" si="3"/>
        <v>[TagPrefixFull]TXF_CB_OPS_OPS_v</v>
      </c>
      <c r="AR30" t="str">
        <f>IF($AM30,VLOOKUP(B30,DataTypeMappings!$A$2:$B$18,2,"FALSE"),"")</f>
        <v>LONG</v>
      </c>
      <c r="AS30" t="str">
        <f t="shared" si="4"/>
        <v>[PLC]</v>
      </c>
      <c r="AT30" t="str">
        <f t="shared" si="5"/>
        <v>LW_SS01_TXF.CB.OPS.OPS_v</v>
      </c>
      <c r="AU30" t="str">
        <f t="shared" si="39"/>
        <v/>
      </c>
      <c r="AV30" t="str">
        <f t="shared" si="40"/>
        <v/>
      </c>
      <c r="AW30" t="str">
        <f t="shared" si="41"/>
        <v/>
      </c>
      <c r="AX30" t="str">
        <f t="shared" si="42"/>
        <v/>
      </c>
      <c r="AY30" t="str">
        <f t="shared" si="43"/>
        <v/>
      </c>
      <c r="AZ30" t="str">
        <f t="shared" si="44"/>
        <v/>
      </c>
      <c r="BA30" t="str">
        <f t="shared" si="6"/>
        <v>[Desc] - Transformer Operations Count</v>
      </c>
      <c r="BJ30" t="str">
        <f t="shared" si="7"/>
        <v>[Cluster]</v>
      </c>
      <c r="BK30" t="str">
        <f t="shared" si="8"/>
        <v>[Equip]</v>
      </c>
      <c r="BL30" t="str">
        <f t="shared" si="9"/>
        <v/>
      </c>
      <c r="BM30" t="str">
        <f t="shared" si="10"/>
        <v>[Historian]</v>
      </c>
      <c r="BN30" t="str">
        <f t="shared" si="11"/>
        <v>[DigAlmName]</v>
      </c>
      <c r="BO30" t="str">
        <f t="shared" si="12"/>
        <v>[Desc]</v>
      </c>
      <c r="BP30" t="str">
        <f t="shared" si="45"/>
        <v/>
      </c>
      <c r="BQ30" t="str">
        <f t="shared" si="46"/>
        <v/>
      </c>
      <c r="BU30" t="str">
        <f t="shared" si="47"/>
        <v/>
      </c>
      <c r="BV30" t="str">
        <f t="shared" si="13"/>
        <v/>
      </c>
      <c r="BW30" t="str">
        <f t="shared" si="14"/>
        <v/>
      </c>
      <c r="BX30" t="str">
        <f t="shared" si="15"/>
        <v/>
      </c>
      <c r="BY30" t="str">
        <f t="shared" si="16"/>
        <v/>
      </c>
      <c r="BZ30" t="str">
        <f t="shared" si="17"/>
        <v/>
      </c>
      <c r="CA30" t="str">
        <f t="shared" si="48"/>
        <v/>
      </c>
      <c r="CB30" t="str">
        <f t="shared" si="18"/>
        <v/>
      </c>
      <c r="CC30" t="str">
        <f t="shared" si="19"/>
        <v/>
      </c>
      <c r="CD30" t="str">
        <f t="shared" si="20"/>
        <v/>
      </c>
      <c r="CE30" t="str">
        <f t="shared" si="21"/>
        <v/>
      </c>
      <c r="CH30" t="str">
        <f t="shared" si="22"/>
        <v/>
      </c>
      <c r="CP30" t="str">
        <f t="shared" si="23"/>
        <v/>
      </c>
      <c r="CV30" t="str">
        <f t="shared" si="24"/>
        <v/>
      </c>
      <c r="CW30" t="str">
        <f t="shared" si="25"/>
        <v/>
      </c>
      <c r="CY30" t="str">
        <f t="shared" si="26"/>
        <v/>
      </c>
      <c r="CZ30" t="str">
        <f t="shared" si="27"/>
        <v/>
      </c>
      <c r="DB30" t="str">
        <f t="shared" si="49"/>
        <v/>
      </c>
      <c r="DE30" t="str">
        <f t="shared" si="50"/>
        <v/>
      </c>
      <c r="DF30" t="str">
        <f t="shared" si="51"/>
        <v/>
      </c>
      <c r="DG30" t="str">
        <f t="shared" si="28"/>
        <v/>
      </c>
      <c r="DH30" t="str">
        <f t="shared" si="29"/>
        <v/>
      </c>
      <c r="DI30" t="str">
        <f t="shared" si="30"/>
        <v/>
      </c>
      <c r="DJ30" t="str">
        <f t="shared" si="31"/>
        <v/>
      </c>
      <c r="DK30" t="str">
        <f t="shared" si="32"/>
        <v/>
      </c>
      <c r="DL30" t="str">
        <f t="shared" si="52"/>
        <v/>
      </c>
      <c r="DT30" t="str">
        <f t="shared" si="53"/>
        <v/>
      </c>
      <c r="DU30" t="str">
        <f t="shared" si="33"/>
        <v/>
      </c>
      <c r="DZ30" t="str">
        <f t="shared" si="34"/>
        <v/>
      </c>
      <c r="EA30" t="str">
        <f t="shared" si="35"/>
        <v/>
      </c>
      <c r="EC30" t="str">
        <f t="shared" si="54"/>
        <v/>
      </c>
      <c r="ED30" t="str">
        <f t="shared" si="55"/>
        <v/>
      </c>
    </row>
    <row r="31" spans="1:134" x14ac:dyDescent="0.3">
      <c r="A31" t="s">
        <v>507</v>
      </c>
      <c r="B31" t="s">
        <v>79</v>
      </c>
      <c r="C31" t="s">
        <v>741</v>
      </c>
      <c r="D31" t="s">
        <v>435</v>
      </c>
      <c r="E31" s="99" t="s">
        <v>436</v>
      </c>
      <c r="F31" t="s">
        <v>351</v>
      </c>
      <c r="H31" t="s">
        <v>729</v>
      </c>
      <c r="K31" t="s">
        <v>741</v>
      </c>
      <c r="V31" s="6"/>
      <c r="W31" s="32"/>
      <c r="Y31" t="s">
        <v>912</v>
      </c>
      <c r="AF31" t="s">
        <v>718</v>
      </c>
      <c r="AK31" t="str">
        <f t="shared" si="36"/>
        <v>TXF_ESW_CLSD_I</v>
      </c>
      <c r="AL31" t="str">
        <f t="shared" si="37"/>
        <v>TXF_ESW_CLSD_I</v>
      </c>
      <c r="AM31" t="b">
        <f t="shared" si="38"/>
        <v>1</v>
      </c>
      <c r="AN31" t="b">
        <f t="shared" si="0"/>
        <v>0</v>
      </c>
      <c r="AO31" t="b">
        <f t="shared" si="1"/>
        <v>0</v>
      </c>
      <c r="AP31" t="b">
        <f t="shared" si="2"/>
        <v>0</v>
      </c>
      <c r="AQ31" t="str">
        <f t="shared" si="3"/>
        <v>[TagPrefixFull]TXF_ESW_CLSD_I</v>
      </c>
      <c r="AR31" t="str">
        <f>IF($AM31,VLOOKUP(B31,DataTypeMappings!$A$2:$B$18,2,"FALSE"),"")</f>
        <v>DIGITAL</v>
      </c>
      <c r="AS31" t="str">
        <f t="shared" si="4"/>
        <v>[PLC]</v>
      </c>
      <c r="AT31" t="str">
        <f t="shared" si="5"/>
        <v>LW_SS01_TXF.ESW.CLSD_i</v>
      </c>
      <c r="AU31" t="str">
        <f t="shared" si="39"/>
        <v/>
      </c>
      <c r="AV31" t="str">
        <f t="shared" si="40"/>
        <v/>
      </c>
      <c r="AW31" t="str">
        <f t="shared" si="41"/>
        <v/>
      </c>
      <c r="AX31" t="str">
        <f t="shared" si="42"/>
        <v/>
      </c>
      <c r="AY31" t="str">
        <f t="shared" si="43"/>
        <v/>
      </c>
      <c r="AZ31" t="str">
        <f t="shared" si="44"/>
        <v/>
      </c>
      <c r="BA31" t="str">
        <f t="shared" si="6"/>
        <v>[Desc] - Transformer ESW Closed</v>
      </c>
      <c r="BJ31" t="str">
        <f t="shared" si="7"/>
        <v>[Cluster]</v>
      </c>
      <c r="BK31" t="str">
        <f t="shared" si="8"/>
        <v>[Equip]</v>
      </c>
      <c r="BL31" t="str">
        <f t="shared" si="9"/>
        <v/>
      </c>
      <c r="BM31" t="str">
        <f t="shared" si="10"/>
        <v>[Historian]</v>
      </c>
      <c r="BN31" t="str">
        <f t="shared" si="11"/>
        <v>[DigAlmName]</v>
      </c>
      <c r="BO31" t="str">
        <f t="shared" si="12"/>
        <v>[Desc]</v>
      </c>
      <c r="BP31" t="str">
        <f t="shared" si="45"/>
        <v/>
      </c>
      <c r="BQ31" t="str">
        <f t="shared" si="46"/>
        <v/>
      </c>
      <c r="BU31" t="str">
        <f t="shared" si="47"/>
        <v/>
      </c>
      <c r="BV31" t="str">
        <f t="shared" si="13"/>
        <v/>
      </c>
      <c r="BW31" t="str">
        <f t="shared" si="14"/>
        <v/>
      </c>
      <c r="BX31" t="str">
        <f t="shared" si="15"/>
        <v/>
      </c>
      <c r="BY31" t="str">
        <f t="shared" si="16"/>
        <v/>
      </c>
      <c r="BZ31" t="str">
        <f t="shared" si="17"/>
        <v/>
      </c>
      <c r="CA31" t="str">
        <f t="shared" si="48"/>
        <v/>
      </c>
      <c r="CB31" t="str">
        <f t="shared" si="18"/>
        <v/>
      </c>
      <c r="CC31" t="str">
        <f t="shared" si="19"/>
        <v/>
      </c>
      <c r="CD31" t="str">
        <f t="shared" si="20"/>
        <v/>
      </c>
      <c r="CE31" t="str">
        <f t="shared" si="21"/>
        <v/>
      </c>
      <c r="CH31" t="str">
        <f t="shared" si="22"/>
        <v/>
      </c>
      <c r="CP31" t="str">
        <f t="shared" si="23"/>
        <v/>
      </c>
      <c r="CV31" t="str">
        <f t="shared" si="24"/>
        <v/>
      </c>
      <c r="CW31" t="str">
        <f t="shared" si="25"/>
        <v/>
      </c>
      <c r="CY31" t="str">
        <f t="shared" si="26"/>
        <v/>
      </c>
      <c r="CZ31" t="str">
        <f t="shared" si="27"/>
        <v/>
      </c>
      <c r="DB31" t="str">
        <f t="shared" si="49"/>
        <v/>
      </c>
      <c r="DE31" t="str">
        <f t="shared" si="50"/>
        <v/>
      </c>
      <c r="DF31" t="str">
        <f t="shared" si="51"/>
        <v/>
      </c>
      <c r="DG31" t="str">
        <f t="shared" si="28"/>
        <v/>
      </c>
      <c r="DH31" t="str">
        <f t="shared" si="29"/>
        <v/>
      </c>
      <c r="DI31" t="str">
        <f t="shared" si="30"/>
        <v/>
      </c>
      <c r="DJ31" t="str">
        <f t="shared" si="31"/>
        <v/>
      </c>
      <c r="DK31" t="str">
        <f t="shared" si="32"/>
        <v/>
      </c>
      <c r="DL31" t="str">
        <f t="shared" si="52"/>
        <v/>
      </c>
      <c r="DT31" t="str">
        <f t="shared" si="53"/>
        <v/>
      </c>
      <c r="DU31" t="str">
        <f t="shared" si="33"/>
        <v/>
      </c>
      <c r="DZ31" t="str">
        <f t="shared" si="34"/>
        <v/>
      </c>
      <c r="EA31" t="str">
        <f t="shared" si="35"/>
        <v/>
      </c>
      <c r="EC31" t="str">
        <f t="shared" si="54"/>
        <v/>
      </c>
      <c r="ED31" t="str">
        <f t="shared" si="55"/>
        <v/>
      </c>
    </row>
    <row r="32" spans="1:134" x14ac:dyDescent="0.3">
      <c r="A32" t="s">
        <v>508</v>
      </c>
      <c r="B32" t="s">
        <v>79</v>
      </c>
      <c r="C32" t="s">
        <v>742</v>
      </c>
      <c r="H32" t="s">
        <v>729</v>
      </c>
      <c r="K32" t="s">
        <v>742</v>
      </c>
      <c r="V32" s="6"/>
      <c r="W32" s="32"/>
      <c r="Y32" t="s">
        <v>913</v>
      </c>
      <c r="AF32" t="s">
        <v>718</v>
      </c>
      <c r="AK32" t="str">
        <f t="shared" si="36"/>
        <v>TXF_Inc_Isol_OPND_I</v>
      </c>
      <c r="AL32" t="str">
        <f t="shared" si="37"/>
        <v>TXF_Inc_Isol_OPND_I</v>
      </c>
      <c r="AM32" t="b">
        <f t="shared" si="38"/>
        <v>1</v>
      </c>
      <c r="AN32" t="b">
        <f t="shared" si="0"/>
        <v>0</v>
      </c>
      <c r="AO32" t="b">
        <f t="shared" si="1"/>
        <v>0</v>
      </c>
      <c r="AP32" t="b">
        <f t="shared" si="2"/>
        <v>0</v>
      </c>
      <c r="AQ32" t="str">
        <f t="shared" si="3"/>
        <v>[TagPrefixFull]TXF_Inc_Isol_OPND_I</v>
      </c>
      <c r="AR32" t="str">
        <f>IF($AM32,VLOOKUP(B32,DataTypeMappings!$A$2:$B$18,2,"FALSE"),"")</f>
        <v>DIGITAL</v>
      </c>
      <c r="AS32" t="str">
        <f t="shared" si="4"/>
        <v>[PLC]</v>
      </c>
      <c r="AT32" t="str">
        <f t="shared" si="5"/>
        <v>LW_SS01_TXF.Inc_Isol.OPND_I</v>
      </c>
      <c r="AU32" t="str">
        <f t="shared" si="39"/>
        <v/>
      </c>
      <c r="AV32" t="str">
        <f t="shared" si="40"/>
        <v/>
      </c>
      <c r="AW32" t="str">
        <f t="shared" si="41"/>
        <v/>
      </c>
      <c r="AX32" t="str">
        <f t="shared" si="42"/>
        <v/>
      </c>
      <c r="AY32" t="str">
        <f t="shared" si="43"/>
        <v/>
      </c>
      <c r="AZ32" t="str">
        <f t="shared" si="44"/>
        <v/>
      </c>
      <c r="BA32" t="str">
        <f t="shared" si="6"/>
        <v>[Desc] - Transformer Incoming Isolator Open</v>
      </c>
      <c r="BJ32" t="str">
        <f t="shared" si="7"/>
        <v>[Cluster]</v>
      </c>
      <c r="BK32" t="str">
        <f t="shared" si="8"/>
        <v>[Equip]</v>
      </c>
      <c r="BL32" t="str">
        <f t="shared" si="9"/>
        <v/>
      </c>
      <c r="BM32" t="str">
        <f t="shared" si="10"/>
        <v>[Historian]</v>
      </c>
      <c r="BN32" t="str">
        <f t="shared" si="11"/>
        <v>[DigAlmName]</v>
      </c>
      <c r="BO32" t="str">
        <f t="shared" si="12"/>
        <v>[Desc]</v>
      </c>
      <c r="BP32" t="str">
        <f t="shared" si="45"/>
        <v/>
      </c>
      <c r="BQ32" t="str">
        <f t="shared" si="46"/>
        <v/>
      </c>
      <c r="BU32" t="str">
        <f t="shared" si="47"/>
        <v/>
      </c>
      <c r="BV32" t="str">
        <f t="shared" si="13"/>
        <v/>
      </c>
      <c r="BW32" t="str">
        <f t="shared" si="14"/>
        <v/>
      </c>
      <c r="BX32" t="str">
        <f t="shared" si="15"/>
        <v/>
      </c>
      <c r="BY32" t="str">
        <f t="shared" si="16"/>
        <v/>
      </c>
      <c r="BZ32" t="str">
        <f t="shared" si="17"/>
        <v/>
      </c>
      <c r="CA32" t="str">
        <f t="shared" si="48"/>
        <v/>
      </c>
      <c r="CB32" t="str">
        <f t="shared" si="18"/>
        <v/>
      </c>
      <c r="CC32" t="str">
        <f t="shared" si="19"/>
        <v/>
      </c>
      <c r="CD32" t="str">
        <f t="shared" si="20"/>
        <v/>
      </c>
      <c r="CE32" t="str">
        <f t="shared" si="21"/>
        <v/>
      </c>
      <c r="CH32" t="str">
        <f t="shared" si="22"/>
        <v/>
      </c>
      <c r="CP32" t="str">
        <f t="shared" si="23"/>
        <v/>
      </c>
      <c r="CV32" t="str">
        <f t="shared" si="24"/>
        <v/>
      </c>
      <c r="CW32" t="str">
        <f t="shared" si="25"/>
        <v/>
      </c>
      <c r="CY32" t="str">
        <f t="shared" si="26"/>
        <v/>
      </c>
      <c r="CZ32" t="str">
        <f t="shared" si="27"/>
        <v/>
      </c>
      <c r="DB32" t="str">
        <f t="shared" si="49"/>
        <v/>
      </c>
      <c r="DE32" t="str">
        <f t="shared" si="50"/>
        <v/>
      </c>
      <c r="DF32" t="str">
        <f t="shared" si="51"/>
        <v/>
      </c>
      <c r="DG32" t="str">
        <f t="shared" si="28"/>
        <v/>
      </c>
      <c r="DH32" t="str">
        <f t="shared" si="29"/>
        <v/>
      </c>
      <c r="DI32" t="str">
        <f t="shared" si="30"/>
        <v/>
      </c>
      <c r="DJ32" t="str">
        <f t="shared" si="31"/>
        <v/>
      </c>
      <c r="DK32" t="str">
        <f t="shared" si="32"/>
        <v/>
      </c>
      <c r="DL32" t="str">
        <f t="shared" si="52"/>
        <v/>
      </c>
      <c r="DT32" t="str">
        <f t="shared" si="53"/>
        <v/>
      </c>
      <c r="DU32" t="str">
        <f t="shared" si="33"/>
        <v/>
      </c>
      <c r="DZ32" t="str">
        <f t="shared" si="34"/>
        <v/>
      </c>
      <c r="EA32" t="str">
        <f t="shared" si="35"/>
        <v/>
      </c>
      <c r="EC32" t="str">
        <f t="shared" si="54"/>
        <v/>
      </c>
      <c r="ED32" t="str">
        <f t="shared" si="55"/>
        <v/>
      </c>
    </row>
    <row r="33" spans="1:134" x14ac:dyDescent="0.3">
      <c r="A33" t="s">
        <v>683</v>
      </c>
      <c r="B33" t="s">
        <v>79</v>
      </c>
      <c r="C33" t="s">
        <v>743</v>
      </c>
      <c r="D33" t="s">
        <v>604</v>
      </c>
      <c r="E33" t="s">
        <v>79</v>
      </c>
      <c r="F33" t="s">
        <v>377</v>
      </c>
      <c r="G33" t="s">
        <v>605</v>
      </c>
      <c r="H33" t="s">
        <v>744</v>
      </c>
      <c r="K33" t="s">
        <v>743</v>
      </c>
      <c r="V33" s="6"/>
      <c r="W33" s="32"/>
      <c r="Y33" t="s">
        <v>914</v>
      </c>
      <c r="AF33" t="s">
        <v>718</v>
      </c>
      <c r="AK33" t="str">
        <f t="shared" si="36"/>
        <v>UFES_RDY_i</v>
      </c>
      <c r="AL33" t="str">
        <f t="shared" si="37"/>
        <v>UFES_RDY_i</v>
      </c>
      <c r="AM33" t="b">
        <f t="shared" si="38"/>
        <v>1</v>
      </c>
      <c r="AN33" t="b">
        <f t="shared" si="0"/>
        <v>0</v>
      </c>
      <c r="AO33" t="b">
        <f t="shared" si="1"/>
        <v>0</v>
      </c>
      <c r="AP33" t="b">
        <f t="shared" si="2"/>
        <v>0</v>
      </c>
      <c r="AQ33" t="str">
        <f t="shared" si="3"/>
        <v>[TagPrefixFull]UFES_RDY_i</v>
      </c>
      <c r="AR33" t="str">
        <f>IF($AM33,VLOOKUP(B33,DataTypeMappings!$A$2:$B$18,2,"FALSE"),"")</f>
        <v>DIGITAL</v>
      </c>
      <c r="AS33" t="str">
        <f t="shared" si="4"/>
        <v>[PLC]</v>
      </c>
      <c r="AT33" t="str">
        <f t="shared" si="5"/>
        <v>LW_SS01_TXF.UFES.RDY_i</v>
      </c>
      <c r="AU33" t="str">
        <f t="shared" si="39"/>
        <v/>
      </c>
      <c r="AV33" t="str">
        <f t="shared" si="40"/>
        <v/>
      </c>
      <c r="AW33" t="str">
        <f t="shared" si="41"/>
        <v/>
      </c>
      <c r="AX33" t="str">
        <f t="shared" si="42"/>
        <v/>
      </c>
      <c r="AY33" t="str">
        <f t="shared" si="43"/>
        <v/>
      </c>
      <c r="AZ33" t="str">
        <f t="shared" si="44"/>
        <v/>
      </c>
      <c r="BA33" t="str">
        <f t="shared" si="6"/>
        <v>[Desc] - Transformer UFES Ready Input</v>
      </c>
      <c r="BJ33" t="str">
        <f t="shared" si="7"/>
        <v>[Cluster]</v>
      </c>
      <c r="BK33" t="str">
        <f t="shared" si="8"/>
        <v>[Equip]</v>
      </c>
      <c r="BL33" t="str">
        <f t="shared" si="9"/>
        <v/>
      </c>
      <c r="BM33" t="str">
        <f t="shared" si="10"/>
        <v>[Historian]</v>
      </c>
      <c r="BN33" t="str">
        <f t="shared" si="11"/>
        <v>[DigAlmName]</v>
      </c>
      <c r="BO33" t="str">
        <f t="shared" si="12"/>
        <v>[Desc]</v>
      </c>
      <c r="BP33" t="str">
        <f t="shared" si="45"/>
        <v/>
      </c>
      <c r="BQ33" t="str">
        <f t="shared" si="46"/>
        <v/>
      </c>
      <c r="BU33" t="str">
        <f t="shared" si="47"/>
        <v/>
      </c>
      <c r="BV33" t="str">
        <f t="shared" si="13"/>
        <v/>
      </c>
      <c r="BW33" t="str">
        <f t="shared" si="14"/>
        <v/>
      </c>
      <c r="BX33" t="str">
        <f t="shared" si="15"/>
        <v/>
      </c>
      <c r="BY33" t="str">
        <f t="shared" si="16"/>
        <v/>
      </c>
      <c r="BZ33" t="str">
        <f t="shared" si="17"/>
        <v/>
      </c>
      <c r="CA33" t="str">
        <f t="shared" si="48"/>
        <v/>
      </c>
      <c r="CB33" t="str">
        <f t="shared" si="18"/>
        <v/>
      </c>
      <c r="CC33" t="str">
        <f t="shared" si="19"/>
        <v/>
      </c>
      <c r="CD33" t="str">
        <f t="shared" si="20"/>
        <v/>
      </c>
      <c r="CE33" t="str">
        <f t="shared" si="21"/>
        <v/>
      </c>
      <c r="CH33" t="str">
        <f t="shared" si="22"/>
        <v/>
      </c>
      <c r="CP33" t="str">
        <f t="shared" si="23"/>
        <v/>
      </c>
      <c r="CV33" t="str">
        <f t="shared" si="24"/>
        <v/>
      </c>
      <c r="CW33" t="str">
        <f t="shared" si="25"/>
        <v/>
      </c>
      <c r="CY33" t="str">
        <f t="shared" si="26"/>
        <v/>
      </c>
      <c r="CZ33" t="str">
        <f t="shared" si="27"/>
        <v/>
      </c>
      <c r="DB33" t="str">
        <f t="shared" si="49"/>
        <v/>
      </c>
      <c r="DE33" t="str">
        <f t="shared" si="50"/>
        <v/>
      </c>
      <c r="DF33" t="str">
        <f t="shared" si="51"/>
        <v/>
      </c>
      <c r="DG33" t="str">
        <f t="shared" si="28"/>
        <v/>
      </c>
      <c r="DH33" t="str">
        <f t="shared" si="29"/>
        <v/>
      </c>
      <c r="DI33" t="str">
        <f t="shared" si="30"/>
        <v/>
      </c>
      <c r="DJ33" t="str">
        <f t="shared" si="31"/>
        <v/>
      </c>
      <c r="DK33" t="str">
        <f t="shared" si="32"/>
        <v/>
      </c>
      <c r="DL33" t="str">
        <f t="shared" si="52"/>
        <v/>
      </c>
      <c r="DT33" t="str">
        <f t="shared" si="53"/>
        <v/>
      </c>
      <c r="DU33" t="str">
        <f t="shared" si="33"/>
        <v/>
      </c>
      <c r="DZ33" t="str">
        <f t="shared" si="34"/>
        <v/>
      </c>
      <c r="EA33" t="str">
        <f t="shared" si="35"/>
        <v/>
      </c>
      <c r="EC33" t="str">
        <f t="shared" si="54"/>
        <v/>
      </c>
      <c r="ED33" t="str">
        <f t="shared" si="55"/>
        <v/>
      </c>
    </row>
    <row r="34" spans="1:134" x14ac:dyDescent="0.3">
      <c r="A34" t="s">
        <v>684</v>
      </c>
      <c r="B34" t="s">
        <v>79</v>
      </c>
      <c r="C34" t="s">
        <v>745</v>
      </c>
      <c r="D34" t="s">
        <v>606</v>
      </c>
      <c r="E34" s="99" t="s">
        <v>79</v>
      </c>
      <c r="F34" t="s">
        <v>377</v>
      </c>
      <c r="G34" t="s">
        <v>607</v>
      </c>
      <c r="H34" t="s">
        <v>744</v>
      </c>
      <c r="K34" t="s">
        <v>745</v>
      </c>
      <c r="U34" t="s">
        <v>307</v>
      </c>
      <c r="V34" s="6"/>
      <c r="W34" s="32"/>
      <c r="Y34" t="s">
        <v>915</v>
      </c>
      <c r="AF34" t="s">
        <v>718</v>
      </c>
      <c r="AK34" t="str">
        <f t="shared" si="36"/>
        <v>UFES_RDY_t</v>
      </c>
      <c r="AL34" t="str">
        <f t="shared" si="37"/>
        <v>UFES_RDY_t</v>
      </c>
      <c r="AM34" t="b">
        <f t="shared" si="38"/>
        <v>1</v>
      </c>
      <c r="AN34" t="b">
        <f t="shared" si="0"/>
        <v>1</v>
      </c>
      <c r="AO34" t="b">
        <f t="shared" si="1"/>
        <v>0</v>
      </c>
      <c r="AP34" t="b">
        <f t="shared" si="2"/>
        <v>0</v>
      </c>
      <c r="AQ34" t="str">
        <f t="shared" si="3"/>
        <v>[TagPrefixFull]UFES_RDY_t</v>
      </c>
      <c r="AR34" t="str">
        <f>IF($AM34,VLOOKUP(B34,DataTypeMappings!$A$2:$B$18,2,"FALSE"),"")</f>
        <v>DIGITAL</v>
      </c>
      <c r="AS34" t="str">
        <f t="shared" si="4"/>
        <v>[PLC]</v>
      </c>
      <c r="AT34" t="str">
        <f t="shared" si="5"/>
        <v>LW_SS01_TXF.UFES.RDY_t</v>
      </c>
      <c r="AU34" t="str">
        <f t="shared" si="39"/>
        <v/>
      </c>
      <c r="AV34" t="str">
        <f t="shared" si="40"/>
        <v/>
      </c>
      <c r="AW34" t="str">
        <f t="shared" si="41"/>
        <v/>
      </c>
      <c r="AX34" t="str">
        <f t="shared" si="42"/>
        <v/>
      </c>
      <c r="AY34" t="str">
        <f t="shared" si="43"/>
        <v/>
      </c>
      <c r="AZ34" t="str">
        <f t="shared" si="44"/>
        <v/>
      </c>
      <c r="BA34" t="str">
        <f t="shared" si="6"/>
        <v>[Desc] - Transformer UFES Ready Trip</v>
      </c>
      <c r="BJ34" t="str">
        <f t="shared" si="7"/>
        <v>[Cluster]</v>
      </c>
      <c r="BK34" t="str">
        <f t="shared" si="8"/>
        <v>[Equip]</v>
      </c>
      <c r="BL34" t="str">
        <f t="shared" si="9"/>
        <v/>
      </c>
      <c r="BM34" t="str">
        <f t="shared" si="10"/>
        <v>[Historian]</v>
      </c>
      <c r="BN34" t="str">
        <f t="shared" si="11"/>
        <v>[DigAlmName]</v>
      </c>
      <c r="BO34" t="str">
        <f t="shared" si="12"/>
        <v>[Desc]</v>
      </c>
      <c r="BP34" t="str">
        <f t="shared" si="45"/>
        <v>Alm_Trip</v>
      </c>
      <c r="BQ34" t="str">
        <f t="shared" si="46"/>
        <v/>
      </c>
      <c r="BU34" t="str">
        <f t="shared" si="47"/>
        <v/>
      </c>
      <c r="BV34" t="str">
        <f t="shared" si="13"/>
        <v>[TagPrefixFull]UFES_RDY_t</v>
      </c>
      <c r="BW34" t="str">
        <f t="shared" si="14"/>
        <v>[TagPrefixFull]UFES_RDY_t</v>
      </c>
      <c r="BX34" t="str">
        <f t="shared" si="15"/>
        <v>[Desc] - Transformer UFES Ready Trip</v>
      </c>
      <c r="BY34" t="str">
        <f t="shared" si="16"/>
        <v>[TagPrefixFull]UFES_RDY_t</v>
      </c>
      <c r="BZ34" t="str">
        <f t="shared" si="17"/>
        <v>[VariableB]</v>
      </c>
      <c r="CA34" t="str">
        <f t="shared" si="48"/>
        <v>Alm_Trip</v>
      </c>
      <c r="CB34" t="str">
        <f t="shared" si="18"/>
        <v>[Help]</v>
      </c>
      <c r="CC34" t="str">
        <f t="shared" si="19"/>
        <v>Priv_Alarm</v>
      </c>
      <c r="CD34" t="str">
        <f t="shared" si="20"/>
        <v>[Area]</v>
      </c>
      <c r="CE34" t="str">
        <f t="shared" si="21"/>
        <v>[Desc] - Transformer UFES Ready Trip</v>
      </c>
      <c r="CH34" t="str">
        <f t="shared" si="22"/>
        <v>[DigAlmName]</v>
      </c>
      <c r="CP34" t="str">
        <f t="shared" si="23"/>
        <v>[Cluster]</v>
      </c>
      <c r="CV34" t="str">
        <f t="shared" si="24"/>
        <v>[Equip]</v>
      </c>
      <c r="CW34" t="e">
        <f t="shared" si="25"/>
        <v>#VALUE!</v>
      </c>
      <c r="CY34" t="str">
        <f t="shared" si="26"/>
        <v/>
      </c>
      <c r="CZ34" t="str">
        <f t="shared" si="27"/>
        <v/>
      </c>
      <c r="DB34" t="str">
        <f t="shared" si="49"/>
        <v/>
      </c>
      <c r="DE34" t="str">
        <f t="shared" si="50"/>
        <v/>
      </c>
      <c r="DF34" t="str">
        <f t="shared" si="51"/>
        <v/>
      </c>
      <c r="DG34" t="str">
        <f t="shared" si="28"/>
        <v/>
      </c>
      <c r="DH34" t="str">
        <f t="shared" si="29"/>
        <v/>
      </c>
      <c r="DI34" t="str">
        <f t="shared" si="30"/>
        <v/>
      </c>
      <c r="DJ34" t="str">
        <f t="shared" si="31"/>
        <v/>
      </c>
      <c r="DK34" t="str">
        <f t="shared" si="32"/>
        <v/>
      </c>
      <c r="DL34" t="str">
        <f t="shared" si="52"/>
        <v/>
      </c>
      <c r="DT34" t="str">
        <f t="shared" si="53"/>
        <v/>
      </c>
      <c r="DU34" t="str">
        <f t="shared" si="33"/>
        <v/>
      </c>
      <c r="DZ34" t="str">
        <f t="shared" si="34"/>
        <v/>
      </c>
      <c r="EA34" t="str">
        <f t="shared" si="35"/>
        <v/>
      </c>
      <c r="EC34" t="str">
        <f t="shared" si="54"/>
        <v/>
      </c>
      <c r="ED34" t="str">
        <f t="shared" si="55"/>
        <v/>
      </c>
    </row>
    <row r="35" spans="1:134" x14ac:dyDescent="0.3">
      <c r="A35" t="s">
        <v>685</v>
      </c>
      <c r="B35" t="s">
        <v>79</v>
      </c>
      <c r="C35" t="s">
        <v>746</v>
      </c>
      <c r="D35" t="s">
        <v>608</v>
      </c>
      <c r="E35" s="99" t="s">
        <v>79</v>
      </c>
      <c r="F35" t="s">
        <v>377</v>
      </c>
      <c r="G35" t="s">
        <v>609</v>
      </c>
      <c r="H35" t="s">
        <v>744</v>
      </c>
      <c r="K35" t="s">
        <v>746</v>
      </c>
      <c r="V35" s="6"/>
      <c r="W35" s="32"/>
      <c r="Y35" t="s">
        <v>916</v>
      </c>
      <c r="AF35" t="s">
        <v>718</v>
      </c>
      <c r="AK35" t="str">
        <f t="shared" si="36"/>
        <v>UFES_BLKD_i</v>
      </c>
      <c r="AL35" t="str">
        <f t="shared" si="37"/>
        <v>UFES_BLKD_i</v>
      </c>
      <c r="AM35" t="b">
        <f t="shared" si="38"/>
        <v>1</v>
      </c>
      <c r="AN35" t="b">
        <f t="shared" si="0"/>
        <v>0</v>
      </c>
      <c r="AO35" t="b">
        <f t="shared" si="1"/>
        <v>0</v>
      </c>
      <c r="AP35" t="b">
        <f t="shared" si="2"/>
        <v>0</v>
      </c>
      <c r="AQ35" t="str">
        <f t="shared" si="3"/>
        <v>[TagPrefixFull]UFES_BLKD_i</v>
      </c>
      <c r="AR35" t="str">
        <f>IF($AM35,VLOOKUP(B35,DataTypeMappings!$A$2:$B$18,2,"FALSE"),"")</f>
        <v>DIGITAL</v>
      </c>
      <c r="AS35" t="str">
        <f t="shared" si="4"/>
        <v>[PLC]</v>
      </c>
      <c r="AT35" t="str">
        <f t="shared" si="5"/>
        <v>LW_SS01_TXF.UFES.BLKD_i</v>
      </c>
      <c r="AU35" t="str">
        <f t="shared" si="39"/>
        <v/>
      </c>
      <c r="AV35" t="str">
        <f t="shared" si="40"/>
        <v/>
      </c>
      <c r="AW35" t="str">
        <f t="shared" si="41"/>
        <v/>
      </c>
      <c r="AX35" t="str">
        <f t="shared" si="42"/>
        <v/>
      </c>
      <c r="AY35" t="str">
        <f t="shared" si="43"/>
        <v/>
      </c>
      <c r="AZ35" t="str">
        <f t="shared" si="44"/>
        <v/>
      </c>
      <c r="BA35" t="str">
        <f t="shared" si="6"/>
        <v>[Desc] - Transformer UFES Blocked Input</v>
      </c>
      <c r="BJ35" t="str">
        <f t="shared" si="7"/>
        <v>[Cluster]</v>
      </c>
      <c r="BK35" t="str">
        <f t="shared" si="8"/>
        <v>[Equip]</v>
      </c>
      <c r="BL35" t="str">
        <f t="shared" si="9"/>
        <v/>
      </c>
      <c r="BM35" t="str">
        <f t="shared" si="10"/>
        <v>[Historian]</v>
      </c>
      <c r="BN35" t="str">
        <f t="shared" si="11"/>
        <v>[DigAlmName]</v>
      </c>
      <c r="BO35" t="str">
        <f t="shared" si="12"/>
        <v>[Desc]</v>
      </c>
      <c r="BP35" t="str">
        <f t="shared" si="45"/>
        <v/>
      </c>
      <c r="BQ35" t="str">
        <f t="shared" si="46"/>
        <v/>
      </c>
      <c r="BU35" t="str">
        <f t="shared" si="47"/>
        <v/>
      </c>
      <c r="BV35" t="str">
        <f t="shared" si="13"/>
        <v/>
      </c>
      <c r="BW35" t="str">
        <f t="shared" si="14"/>
        <v/>
      </c>
      <c r="BX35" t="str">
        <f t="shared" si="15"/>
        <v/>
      </c>
      <c r="BY35" t="str">
        <f t="shared" si="16"/>
        <v/>
      </c>
      <c r="BZ35" t="str">
        <f t="shared" si="17"/>
        <v/>
      </c>
      <c r="CA35" t="str">
        <f t="shared" si="48"/>
        <v/>
      </c>
      <c r="CB35" t="str">
        <f t="shared" si="18"/>
        <v/>
      </c>
      <c r="CC35" t="str">
        <f t="shared" si="19"/>
        <v/>
      </c>
      <c r="CD35" t="str">
        <f t="shared" si="20"/>
        <v/>
      </c>
      <c r="CE35" t="str">
        <f t="shared" si="21"/>
        <v/>
      </c>
      <c r="CH35" t="str">
        <f t="shared" si="22"/>
        <v/>
      </c>
      <c r="CP35" t="str">
        <f t="shared" si="23"/>
        <v/>
      </c>
      <c r="CV35" t="str">
        <f t="shared" si="24"/>
        <v/>
      </c>
      <c r="CW35" t="str">
        <f t="shared" si="25"/>
        <v/>
      </c>
      <c r="CY35" t="str">
        <f t="shared" si="26"/>
        <v/>
      </c>
      <c r="CZ35" t="str">
        <f t="shared" si="27"/>
        <v/>
      </c>
      <c r="DB35" t="str">
        <f t="shared" si="49"/>
        <v/>
      </c>
      <c r="DE35" t="str">
        <f t="shared" si="50"/>
        <v/>
      </c>
      <c r="DF35" t="str">
        <f t="shared" si="51"/>
        <v/>
      </c>
      <c r="DG35" t="str">
        <f t="shared" si="28"/>
        <v/>
      </c>
      <c r="DH35" t="str">
        <f t="shared" si="29"/>
        <v/>
      </c>
      <c r="DI35" t="str">
        <f t="shared" si="30"/>
        <v/>
      </c>
      <c r="DJ35" t="str">
        <f t="shared" si="31"/>
        <v/>
      </c>
      <c r="DK35" t="str">
        <f t="shared" si="32"/>
        <v/>
      </c>
      <c r="DL35" t="str">
        <f t="shared" si="52"/>
        <v/>
      </c>
      <c r="DT35" t="str">
        <f t="shared" si="53"/>
        <v/>
      </c>
      <c r="DU35" t="str">
        <f t="shared" si="33"/>
        <v/>
      </c>
      <c r="DZ35" t="str">
        <f t="shared" si="34"/>
        <v/>
      </c>
      <c r="EA35" t="str">
        <f t="shared" si="35"/>
        <v/>
      </c>
      <c r="EC35" t="str">
        <f t="shared" si="54"/>
        <v/>
      </c>
      <c r="ED35" t="str">
        <f t="shared" si="55"/>
        <v/>
      </c>
    </row>
    <row r="36" spans="1:134" x14ac:dyDescent="0.3">
      <c r="A36" t="s">
        <v>686</v>
      </c>
      <c r="B36" t="s">
        <v>79</v>
      </c>
      <c r="C36" t="s">
        <v>747</v>
      </c>
      <c r="D36" t="s">
        <v>610</v>
      </c>
      <c r="E36" t="s">
        <v>79</v>
      </c>
      <c r="F36" t="s">
        <v>377</v>
      </c>
      <c r="G36" t="s">
        <v>611</v>
      </c>
      <c r="H36" t="s">
        <v>744</v>
      </c>
      <c r="K36" t="s">
        <v>747</v>
      </c>
      <c r="U36" t="s">
        <v>307</v>
      </c>
      <c r="V36" s="6"/>
      <c r="W36" s="32"/>
      <c r="Y36" t="s">
        <v>917</v>
      </c>
      <c r="AF36" t="s">
        <v>718</v>
      </c>
      <c r="AK36" t="str">
        <f t="shared" si="36"/>
        <v>UFES_BLKD_t</v>
      </c>
      <c r="AL36" t="str">
        <f t="shared" si="37"/>
        <v>UFES_BLKD_t</v>
      </c>
      <c r="AM36" t="b">
        <f t="shared" si="38"/>
        <v>1</v>
      </c>
      <c r="AN36" t="b">
        <f t="shared" si="0"/>
        <v>1</v>
      </c>
      <c r="AO36" t="b">
        <f t="shared" si="1"/>
        <v>0</v>
      </c>
      <c r="AP36" t="b">
        <f t="shared" si="2"/>
        <v>0</v>
      </c>
      <c r="AQ36" t="str">
        <f t="shared" si="3"/>
        <v>[TagPrefixFull]UFES_BLKD_t</v>
      </c>
      <c r="AR36" t="str">
        <f>IF($AM36,VLOOKUP(B36,DataTypeMappings!$A$2:$B$18,2,"FALSE"),"")</f>
        <v>DIGITAL</v>
      </c>
      <c r="AS36" t="str">
        <f t="shared" si="4"/>
        <v>[PLC]</v>
      </c>
      <c r="AT36" t="str">
        <f t="shared" si="5"/>
        <v>LW_SS01_TXF.UFES.BLKD_t</v>
      </c>
      <c r="AU36" t="str">
        <f t="shared" si="39"/>
        <v/>
      </c>
      <c r="AV36" t="str">
        <f t="shared" si="40"/>
        <v/>
      </c>
      <c r="AW36" t="str">
        <f t="shared" si="41"/>
        <v/>
      </c>
      <c r="AX36" t="str">
        <f t="shared" si="42"/>
        <v/>
      </c>
      <c r="AY36" t="str">
        <f t="shared" si="43"/>
        <v/>
      </c>
      <c r="AZ36" t="str">
        <f t="shared" si="44"/>
        <v/>
      </c>
      <c r="BA36" t="str">
        <f t="shared" si="6"/>
        <v>[Desc] - Transformer UFES Blocked Trip</v>
      </c>
      <c r="BJ36" t="str">
        <f t="shared" si="7"/>
        <v>[Cluster]</v>
      </c>
      <c r="BK36" t="str">
        <f t="shared" si="8"/>
        <v>[Equip]</v>
      </c>
      <c r="BL36" t="str">
        <f t="shared" si="9"/>
        <v/>
      </c>
      <c r="BM36" t="str">
        <f t="shared" si="10"/>
        <v>[Historian]</v>
      </c>
      <c r="BN36" t="str">
        <f t="shared" si="11"/>
        <v>[DigAlmName]</v>
      </c>
      <c r="BO36" t="str">
        <f t="shared" si="12"/>
        <v>[Desc]</v>
      </c>
      <c r="BP36" t="str">
        <f t="shared" si="45"/>
        <v>Alm_Trip</v>
      </c>
      <c r="BQ36" t="str">
        <f t="shared" si="46"/>
        <v/>
      </c>
      <c r="BU36" t="str">
        <f t="shared" si="47"/>
        <v/>
      </c>
      <c r="BV36" t="str">
        <f t="shared" si="13"/>
        <v>[TagPrefixFull]UFES_BLKD_t</v>
      </c>
      <c r="BW36" t="str">
        <f t="shared" si="14"/>
        <v>[TagPrefixFull]UFES_BLKD_t</v>
      </c>
      <c r="BX36" t="str">
        <f t="shared" si="15"/>
        <v>[Desc] - Transformer UFES Blocked Trip</v>
      </c>
      <c r="BY36" t="str">
        <f t="shared" si="16"/>
        <v>[TagPrefixFull]UFES_BLKD_t</v>
      </c>
      <c r="BZ36" t="str">
        <f t="shared" si="17"/>
        <v>[VariableB]</v>
      </c>
      <c r="CA36" t="str">
        <f t="shared" si="48"/>
        <v>Alm_Trip</v>
      </c>
      <c r="CB36" t="str">
        <f t="shared" si="18"/>
        <v>[Help]</v>
      </c>
      <c r="CC36" t="str">
        <f t="shared" si="19"/>
        <v>Priv_Alarm</v>
      </c>
      <c r="CD36" t="str">
        <f t="shared" si="20"/>
        <v>[Area]</v>
      </c>
      <c r="CE36" t="str">
        <f t="shared" si="21"/>
        <v>[Desc] - Transformer UFES Blocked Trip</v>
      </c>
      <c r="CH36" t="str">
        <f t="shared" si="22"/>
        <v>[DigAlmName]</v>
      </c>
      <c r="CP36" t="str">
        <f t="shared" si="23"/>
        <v>[Cluster]</v>
      </c>
      <c r="CV36" t="str">
        <f t="shared" si="24"/>
        <v>[Equip]</v>
      </c>
      <c r="CW36" t="e">
        <f t="shared" si="25"/>
        <v>#VALUE!</v>
      </c>
      <c r="CY36" t="str">
        <f t="shared" si="26"/>
        <v/>
      </c>
      <c r="CZ36" t="str">
        <f t="shared" si="27"/>
        <v/>
      </c>
      <c r="DB36" t="str">
        <f t="shared" si="49"/>
        <v/>
      </c>
      <c r="DE36" t="str">
        <f t="shared" si="50"/>
        <v/>
      </c>
      <c r="DF36" t="str">
        <f t="shared" si="51"/>
        <v/>
      </c>
      <c r="DG36" t="str">
        <f t="shared" si="28"/>
        <v/>
      </c>
      <c r="DH36" t="str">
        <f t="shared" si="29"/>
        <v/>
      </c>
      <c r="DI36" t="str">
        <f t="shared" si="30"/>
        <v/>
      </c>
      <c r="DJ36" t="str">
        <f t="shared" si="31"/>
        <v/>
      </c>
      <c r="DK36" t="str">
        <f t="shared" si="32"/>
        <v/>
      </c>
      <c r="DL36" t="str">
        <f t="shared" si="52"/>
        <v/>
      </c>
      <c r="DT36" t="str">
        <f t="shared" si="53"/>
        <v/>
      </c>
      <c r="DU36" t="str">
        <f t="shared" si="33"/>
        <v/>
      </c>
      <c r="DZ36" t="str">
        <f t="shared" si="34"/>
        <v/>
      </c>
      <c r="EA36" t="str">
        <f t="shared" si="35"/>
        <v/>
      </c>
      <c r="EC36" t="str">
        <f t="shared" si="54"/>
        <v/>
      </c>
      <c r="ED36" t="str">
        <f t="shared" si="55"/>
        <v/>
      </c>
    </row>
    <row r="37" spans="1:134" x14ac:dyDescent="0.3">
      <c r="A37" t="s">
        <v>687</v>
      </c>
      <c r="B37" t="s">
        <v>79</v>
      </c>
      <c r="C37" t="s">
        <v>748</v>
      </c>
      <c r="D37" t="s">
        <v>612</v>
      </c>
      <c r="E37" t="s">
        <v>79</v>
      </c>
      <c r="F37" t="s">
        <v>377</v>
      </c>
      <c r="G37" t="s">
        <v>613</v>
      </c>
      <c r="H37" t="s">
        <v>744</v>
      </c>
      <c r="K37" t="s">
        <v>748</v>
      </c>
      <c r="V37" s="6"/>
      <c r="W37" s="32"/>
      <c r="Y37" t="s">
        <v>918</v>
      </c>
      <c r="AF37" t="s">
        <v>718</v>
      </c>
      <c r="AK37" t="str">
        <f t="shared" si="36"/>
        <v>UFES_TRP_i</v>
      </c>
      <c r="AL37" t="str">
        <f t="shared" si="37"/>
        <v>UFES_TRP_i</v>
      </c>
      <c r="AM37" t="b">
        <f t="shared" si="38"/>
        <v>1</v>
      </c>
      <c r="AN37" t="b">
        <f t="shared" si="0"/>
        <v>0</v>
      </c>
      <c r="AO37" t="b">
        <f t="shared" si="1"/>
        <v>0</v>
      </c>
      <c r="AP37" t="b">
        <f t="shared" si="2"/>
        <v>0</v>
      </c>
      <c r="AQ37" t="str">
        <f t="shared" si="3"/>
        <v>[TagPrefixFull]UFES_TRP_i</v>
      </c>
      <c r="AR37" t="str">
        <f>IF($AM37,VLOOKUP(B37,DataTypeMappings!$A$2:$B$18,2,"FALSE"),"")</f>
        <v>DIGITAL</v>
      </c>
      <c r="AS37" t="str">
        <f t="shared" si="4"/>
        <v>[PLC]</v>
      </c>
      <c r="AT37" t="str">
        <f t="shared" si="5"/>
        <v>LW_SS01_TXF.UFES.TRP_i</v>
      </c>
      <c r="AU37" t="str">
        <f t="shared" si="39"/>
        <v/>
      </c>
      <c r="AV37" t="str">
        <f t="shared" si="40"/>
        <v/>
      </c>
      <c r="AW37" t="str">
        <f t="shared" si="41"/>
        <v/>
      </c>
      <c r="AX37" t="str">
        <f t="shared" si="42"/>
        <v/>
      </c>
      <c r="AY37" t="str">
        <f t="shared" si="43"/>
        <v/>
      </c>
      <c r="AZ37" t="str">
        <f t="shared" si="44"/>
        <v/>
      </c>
      <c r="BA37" t="str">
        <f t="shared" si="6"/>
        <v>[Desc] - Transformer UFES Tripped Input</v>
      </c>
      <c r="BJ37" t="str">
        <f t="shared" si="7"/>
        <v>[Cluster]</v>
      </c>
      <c r="BK37" t="str">
        <f t="shared" si="8"/>
        <v>[Equip]</v>
      </c>
      <c r="BL37" t="str">
        <f t="shared" si="9"/>
        <v/>
      </c>
      <c r="BM37" t="str">
        <f t="shared" si="10"/>
        <v>[Historian]</v>
      </c>
      <c r="BN37" t="str">
        <f t="shared" si="11"/>
        <v>[DigAlmName]</v>
      </c>
      <c r="BO37" t="str">
        <f t="shared" si="12"/>
        <v>[Desc]</v>
      </c>
      <c r="BP37" t="str">
        <f t="shared" si="45"/>
        <v/>
      </c>
      <c r="BQ37" t="str">
        <f t="shared" si="46"/>
        <v/>
      </c>
      <c r="BU37" t="str">
        <f t="shared" si="47"/>
        <v/>
      </c>
      <c r="BV37" t="str">
        <f t="shared" si="13"/>
        <v/>
      </c>
      <c r="BW37" t="str">
        <f t="shared" si="14"/>
        <v/>
      </c>
      <c r="BX37" t="str">
        <f t="shared" si="15"/>
        <v/>
      </c>
      <c r="BY37" t="str">
        <f t="shared" si="16"/>
        <v/>
      </c>
      <c r="BZ37" t="str">
        <f t="shared" si="17"/>
        <v/>
      </c>
      <c r="CA37" t="str">
        <f t="shared" si="48"/>
        <v/>
      </c>
      <c r="CB37" t="str">
        <f t="shared" si="18"/>
        <v/>
      </c>
      <c r="CC37" t="str">
        <f t="shared" si="19"/>
        <v/>
      </c>
      <c r="CD37" t="str">
        <f t="shared" si="20"/>
        <v/>
      </c>
      <c r="CE37" t="str">
        <f t="shared" si="21"/>
        <v/>
      </c>
      <c r="CH37" t="str">
        <f t="shared" si="22"/>
        <v/>
      </c>
      <c r="CP37" t="str">
        <f t="shared" si="23"/>
        <v/>
      </c>
      <c r="CV37" t="str">
        <f t="shared" si="24"/>
        <v/>
      </c>
      <c r="CW37" t="str">
        <f t="shared" si="25"/>
        <v/>
      </c>
      <c r="CY37" t="str">
        <f t="shared" si="26"/>
        <v/>
      </c>
      <c r="CZ37" t="str">
        <f t="shared" si="27"/>
        <v/>
      </c>
      <c r="DB37" t="str">
        <f t="shared" si="49"/>
        <v/>
      </c>
      <c r="DE37" t="str">
        <f t="shared" si="50"/>
        <v/>
      </c>
      <c r="DF37" t="str">
        <f t="shared" si="51"/>
        <v/>
      </c>
      <c r="DG37" t="str">
        <f t="shared" si="28"/>
        <v/>
      </c>
      <c r="DH37" t="str">
        <f t="shared" si="29"/>
        <v/>
      </c>
      <c r="DI37" t="str">
        <f t="shared" si="30"/>
        <v/>
      </c>
      <c r="DJ37" t="str">
        <f t="shared" si="31"/>
        <v/>
      </c>
      <c r="DK37" t="str">
        <f t="shared" si="32"/>
        <v/>
      </c>
      <c r="DL37" t="str">
        <f t="shared" si="52"/>
        <v/>
      </c>
      <c r="DT37" t="str">
        <f t="shared" si="53"/>
        <v/>
      </c>
      <c r="DU37" t="str">
        <f t="shared" si="33"/>
        <v/>
      </c>
      <c r="DZ37" t="str">
        <f t="shared" si="34"/>
        <v/>
      </c>
      <c r="EA37" t="str">
        <f t="shared" si="35"/>
        <v/>
      </c>
      <c r="EC37" t="str">
        <f t="shared" si="54"/>
        <v/>
      </c>
      <c r="ED37" t="str">
        <f t="shared" si="55"/>
        <v/>
      </c>
    </row>
    <row r="38" spans="1:134" x14ac:dyDescent="0.3">
      <c r="A38" t="s">
        <v>688</v>
      </c>
      <c r="B38" t="s">
        <v>79</v>
      </c>
      <c r="C38" t="s">
        <v>749</v>
      </c>
      <c r="D38" t="s">
        <v>614</v>
      </c>
      <c r="E38" t="s">
        <v>79</v>
      </c>
      <c r="F38" t="s">
        <v>377</v>
      </c>
      <c r="G38" t="s">
        <v>615</v>
      </c>
      <c r="H38" t="s">
        <v>744</v>
      </c>
      <c r="K38" t="s">
        <v>749</v>
      </c>
      <c r="U38" t="s">
        <v>307</v>
      </c>
      <c r="V38" s="6"/>
      <c r="W38" s="32"/>
      <c r="Y38" t="s">
        <v>919</v>
      </c>
      <c r="AF38" t="s">
        <v>718</v>
      </c>
      <c r="AK38" t="str">
        <f t="shared" si="36"/>
        <v>UFES_TRP_t</v>
      </c>
      <c r="AL38" t="str">
        <f t="shared" si="37"/>
        <v>UFES_TRP_t</v>
      </c>
      <c r="AM38" t="b">
        <f t="shared" si="38"/>
        <v>1</v>
      </c>
      <c r="AN38" t="b">
        <f t="shared" si="0"/>
        <v>1</v>
      </c>
      <c r="AO38" t="b">
        <f t="shared" si="1"/>
        <v>0</v>
      </c>
      <c r="AP38" t="b">
        <f t="shared" si="2"/>
        <v>0</v>
      </c>
      <c r="AQ38" t="str">
        <f t="shared" si="3"/>
        <v>[TagPrefixFull]UFES_TRP_t</v>
      </c>
      <c r="AR38" t="str">
        <f>IF($AM38,VLOOKUP(B38,DataTypeMappings!$A$2:$B$18,2,"FALSE"),"")</f>
        <v>DIGITAL</v>
      </c>
      <c r="AS38" t="str">
        <f t="shared" si="4"/>
        <v>[PLC]</v>
      </c>
      <c r="AT38" t="str">
        <f t="shared" si="5"/>
        <v>LW_SS01_TXF.UFES.TRP_t</v>
      </c>
      <c r="AU38" t="str">
        <f t="shared" si="39"/>
        <v/>
      </c>
      <c r="AV38" t="str">
        <f t="shared" si="40"/>
        <v/>
      </c>
      <c r="AW38" t="str">
        <f t="shared" si="41"/>
        <v/>
      </c>
      <c r="AX38" t="str">
        <f t="shared" si="42"/>
        <v/>
      </c>
      <c r="AY38" t="str">
        <f t="shared" si="43"/>
        <v/>
      </c>
      <c r="AZ38" t="str">
        <f t="shared" si="44"/>
        <v/>
      </c>
      <c r="BA38" t="str">
        <f t="shared" si="6"/>
        <v>[Desc] - Transformer UFES Tripped</v>
      </c>
      <c r="BJ38" t="str">
        <f t="shared" si="7"/>
        <v>[Cluster]</v>
      </c>
      <c r="BK38" t="str">
        <f t="shared" si="8"/>
        <v>[Equip]</v>
      </c>
      <c r="BL38" t="str">
        <f t="shared" si="9"/>
        <v/>
      </c>
      <c r="BM38" t="str">
        <f t="shared" si="10"/>
        <v>[Historian]</v>
      </c>
      <c r="BN38" t="str">
        <f t="shared" si="11"/>
        <v>[DigAlmName]</v>
      </c>
      <c r="BO38" t="str">
        <f t="shared" si="12"/>
        <v>[Desc]</v>
      </c>
      <c r="BP38" t="str">
        <f t="shared" si="45"/>
        <v>Alm_Trip</v>
      </c>
      <c r="BQ38" t="str">
        <f t="shared" si="46"/>
        <v/>
      </c>
      <c r="BU38" t="str">
        <f t="shared" si="47"/>
        <v/>
      </c>
      <c r="BV38" t="str">
        <f t="shared" si="13"/>
        <v>[TagPrefixFull]UFES_TRP_t</v>
      </c>
      <c r="BW38" t="str">
        <f t="shared" si="14"/>
        <v>[TagPrefixFull]UFES_TRP_t</v>
      </c>
      <c r="BX38" t="str">
        <f t="shared" si="15"/>
        <v>[Desc] - Transformer UFES Tripped</v>
      </c>
      <c r="BY38" t="str">
        <f t="shared" si="16"/>
        <v>[TagPrefixFull]UFES_TRP_t</v>
      </c>
      <c r="BZ38" t="str">
        <f t="shared" si="17"/>
        <v>[VariableB]</v>
      </c>
      <c r="CA38" t="str">
        <f t="shared" si="48"/>
        <v>Alm_Trip</v>
      </c>
      <c r="CB38" t="str">
        <f t="shared" si="18"/>
        <v>[Help]</v>
      </c>
      <c r="CC38" t="str">
        <f t="shared" si="19"/>
        <v>Priv_Alarm</v>
      </c>
      <c r="CD38" t="str">
        <f t="shared" si="20"/>
        <v>[Area]</v>
      </c>
      <c r="CE38" t="str">
        <f t="shared" si="21"/>
        <v>[Desc] - Transformer UFES Tripped</v>
      </c>
      <c r="CH38" t="str">
        <f t="shared" si="22"/>
        <v>[DigAlmName]</v>
      </c>
      <c r="CP38" t="str">
        <f t="shared" si="23"/>
        <v>[Cluster]</v>
      </c>
      <c r="CV38" t="str">
        <f t="shared" si="24"/>
        <v>[Equip]</v>
      </c>
      <c r="CW38" t="e">
        <f t="shared" si="25"/>
        <v>#VALUE!</v>
      </c>
      <c r="CY38" t="str">
        <f t="shared" si="26"/>
        <v/>
      </c>
      <c r="CZ38" t="str">
        <f t="shared" si="27"/>
        <v/>
      </c>
      <c r="DB38" t="str">
        <f t="shared" si="49"/>
        <v/>
      </c>
      <c r="DE38" t="str">
        <f t="shared" si="50"/>
        <v/>
      </c>
      <c r="DF38" t="str">
        <f t="shared" si="51"/>
        <v/>
      </c>
      <c r="DG38" t="str">
        <f t="shared" si="28"/>
        <v/>
      </c>
      <c r="DH38" t="str">
        <f t="shared" si="29"/>
        <v/>
      </c>
      <c r="DI38" t="str">
        <f t="shared" si="30"/>
        <v/>
      </c>
      <c r="DJ38" t="str">
        <f t="shared" si="31"/>
        <v/>
      </c>
      <c r="DK38" t="str">
        <f t="shared" si="32"/>
        <v/>
      </c>
      <c r="DL38" t="str">
        <f t="shared" si="52"/>
        <v/>
      </c>
      <c r="DT38" t="str">
        <f t="shared" si="53"/>
        <v/>
      </c>
      <c r="DU38" t="str">
        <f t="shared" si="33"/>
        <v/>
      </c>
      <c r="DZ38" t="str">
        <f t="shared" si="34"/>
        <v/>
      </c>
      <c r="EA38" t="str">
        <f t="shared" si="35"/>
        <v/>
      </c>
      <c r="EC38" t="str">
        <f t="shared" si="54"/>
        <v/>
      </c>
      <c r="ED38" t="str">
        <f t="shared" si="55"/>
        <v/>
      </c>
    </row>
    <row r="39" spans="1:134" x14ac:dyDescent="0.3">
      <c r="A39" t="s">
        <v>509</v>
      </c>
      <c r="B39" t="s">
        <v>79</v>
      </c>
      <c r="C39" t="s">
        <v>750</v>
      </c>
      <c r="D39" t="s">
        <v>437</v>
      </c>
      <c r="E39" t="s">
        <v>79</v>
      </c>
      <c r="F39" t="s">
        <v>377</v>
      </c>
      <c r="G39" t="s">
        <v>438</v>
      </c>
      <c r="H39" t="s">
        <v>729</v>
      </c>
      <c r="K39" t="s">
        <v>750</v>
      </c>
      <c r="V39" s="6"/>
      <c r="W39" s="32"/>
      <c r="Y39" t="s">
        <v>920</v>
      </c>
      <c r="AF39" t="s">
        <v>718</v>
      </c>
      <c r="AK39" t="str">
        <f t="shared" si="36"/>
        <v>TXF_BU_EL_TST_i</v>
      </c>
      <c r="AL39" t="str">
        <f t="shared" si="37"/>
        <v>TXF_BU_EL_TST_i</v>
      </c>
      <c r="AM39" t="b">
        <f t="shared" si="38"/>
        <v>1</v>
      </c>
      <c r="AN39" t="b">
        <f t="shared" si="0"/>
        <v>0</v>
      </c>
      <c r="AO39" t="b">
        <f t="shared" si="1"/>
        <v>0</v>
      </c>
      <c r="AP39" t="b">
        <f t="shared" si="2"/>
        <v>0</v>
      </c>
      <c r="AQ39" t="str">
        <f t="shared" si="3"/>
        <v>[TagPrefixFull]TXF_BU_EL_TST_i</v>
      </c>
      <c r="AR39" t="str">
        <f>IF($AM39,VLOOKUP(B39,DataTypeMappings!$A$2:$B$18,2,"FALSE"),"")</f>
        <v>DIGITAL</v>
      </c>
      <c r="AS39" t="str">
        <f t="shared" si="4"/>
        <v>[PLC]</v>
      </c>
      <c r="AT39" t="str">
        <f t="shared" si="5"/>
        <v>LW_SS01_TXF.BU_EL_TST_i</v>
      </c>
      <c r="AU39" t="str">
        <f t="shared" si="39"/>
        <v/>
      </c>
      <c r="AV39" t="str">
        <f t="shared" si="40"/>
        <v/>
      </c>
      <c r="AW39" t="str">
        <f t="shared" si="41"/>
        <v/>
      </c>
      <c r="AX39" t="str">
        <f t="shared" si="42"/>
        <v/>
      </c>
      <c r="AY39" t="str">
        <f t="shared" si="43"/>
        <v/>
      </c>
      <c r="AZ39" t="str">
        <f t="shared" si="44"/>
        <v/>
      </c>
      <c r="BA39" t="str">
        <f t="shared" si="6"/>
        <v>[Desc] - Transformer BUEL Test Pushbutton Input</v>
      </c>
      <c r="BJ39" t="str">
        <f t="shared" si="7"/>
        <v>[Cluster]</v>
      </c>
      <c r="BK39" t="str">
        <f t="shared" si="8"/>
        <v>[Equip]</v>
      </c>
      <c r="BL39" t="str">
        <f t="shared" si="9"/>
        <v/>
      </c>
      <c r="BM39" t="str">
        <f t="shared" si="10"/>
        <v>[Historian]</v>
      </c>
      <c r="BN39" t="str">
        <f t="shared" si="11"/>
        <v>[DigAlmName]</v>
      </c>
      <c r="BO39" t="str">
        <f t="shared" si="12"/>
        <v>[Desc]</v>
      </c>
      <c r="BP39" t="str">
        <f t="shared" si="45"/>
        <v/>
      </c>
      <c r="BQ39" t="str">
        <f t="shared" si="46"/>
        <v/>
      </c>
      <c r="BU39" t="str">
        <f t="shared" si="47"/>
        <v/>
      </c>
      <c r="BV39" t="str">
        <f t="shared" si="13"/>
        <v/>
      </c>
      <c r="BW39" t="str">
        <f t="shared" si="14"/>
        <v/>
      </c>
      <c r="BX39" t="str">
        <f t="shared" si="15"/>
        <v/>
      </c>
      <c r="BY39" t="str">
        <f t="shared" si="16"/>
        <v/>
      </c>
      <c r="BZ39" t="str">
        <f t="shared" si="17"/>
        <v/>
      </c>
      <c r="CA39" t="str">
        <f t="shared" si="48"/>
        <v/>
      </c>
      <c r="CB39" t="str">
        <f t="shared" si="18"/>
        <v/>
      </c>
      <c r="CC39" t="str">
        <f t="shared" si="19"/>
        <v/>
      </c>
      <c r="CD39" t="str">
        <f t="shared" si="20"/>
        <v/>
      </c>
      <c r="CE39" t="str">
        <f t="shared" si="21"/>
        <v/>
      </c>
      <c r="CH39" t="str">
        <f t="shared" si="22"/>
        <v/>
      </c>
      <c r="CP39" t="str">
        <f t="shared" si="23"/>
        <v/>
      </c>
      <c r="CV39" t="str">
        <f t="shared" si="24"/>
        <v/>
      </c>
      <c r="CW39" t="str">
        <f t="shared" si="25"/>
        <v/>
      </c>
      <c r="CY39" t="str">
        <f t="shared" si="26"/>
        <v/>
      </c>
      <c r="CZ39" t="str">
        <f t="shared" si="27"/>
        <v/>
      </c>
      <c r="DB39" t="str">
        <f t="shared" si="49"/>
        <v/>
      </c>
      <c r="DE39" t="str">
        <f t="shared" si="50"/>
        <v/>
      </c>
      <c r="DF39" t="str">
        <f t="shared" si="51"/>
        <v/>
      </c>
      <c r="DG39" t="str">
        <f t="shared" si="28"/>
        <v/>
      </c>
      <c r="DH39" t="str">
        <f t="shared" si="29"/>
        <v/>
      </c>
      <c r="DI39" t="str">
        <f t="shared" si="30"/>
        <v/>
      </c>
      <c r="DJ39" t="str">
        <f t="shared" si="31"/>
        <v/>
      </c>
      <c r="DK39" t="str">
        <f t="shared" si="32"/>
        <v/>
      </c>
      <c r="DL39" t="str">
        <f t="shared" si="52"/>
        <v/>
      </c>
      <c r="DT39" t="str">
        <f t="shared" si="53"/>
        <v/>
      </c>
      <c r="DU39" t="str">
        <f t="shared" si="33"/>
        <v/>
      </c>
      <c r="DZ39" t="str">
        <f t="shared" si="34"/>
        <v/>
      </c>
      <c r="EA39" t="str">
        <f t="shared" si="35"/>
        <v/>
      </c>
      <c r="EC39" t="str">
        <f t="shared" si="54"/>
        <v/>
      </c>
      <c r="ED39" t="str">
        <f t="shared" si="55"/>
        <v/>
      </c>
    </row>
    <row r="40" spans="1:134" x14ac:dyDescent="0.3">
      <c r="A40" t="s">
        <v>510</v>
      </c>
      <c r="B40" t="s">
        <v>79</v>
      </c>
      <c r="C40" t="s">
        <v>798</v>
      </c>
      <c r="D40" t="s">
        <v>439</v>
      </c>
      <c r="E40" t="s">
        <v>79</v>
      </c>
      <c r="F40" t="s">
        <v>377</v>
      </c>
      <c r="G40" t="s">
        <v>751</v>
      </c>
      <c r="H40" t="s">
        <v>729</v>
      </c>
      <c r="K40" t="s">
        <v>798</v>
      </c>
      <c r="V40" s="6"/>
      <c r="W40" s="32"/>
      <c r="Y40" t="s">
        <v>921</v>
      </c>
      <c r="AF40" t="s">
        <v>718</v>
      </c>
      <c r="AK40" t="str">
        <f t="shared" si="36"/>
        <v>TXF_SEPAM_WTDG_HTY_i</v>
      </c>
      <c r="AL40" t="str">
        <f t="shared" si="37"/>
        <v>TXF_SEPAM_WTDG_HTY_i</v>
      </c>
      <c r="AM40" t="b">
        <f t="shared" si="38"/>
        <v>1</v>
      </c>
      <c r="AN40" t="b">
        <f t="shared" si="0"/>
        <v>0</v>
      </c>
      <c r="AO40" t="b">
        <f t="shared" si="1"/>
        <v>0</v>
      </c>
      <c r="AP40" t="b">
        <f t="shared" si="2"/>
        <v>0</v>
      </c>
      <c r="AQ40" t="str">
        <f t="shared" si="3"/>
        <v>[TagPrefixFull]TXF_SEPAM_WTDG_HTY_i</v>
      </c>
      <c r="AR40" t="str">
        <f>IF($AM40,VLOOKUP(B40,DataTypeMappings!$A$2:$B$18,2,"FALSE"),"")</f>
        <v>DIGITAL</v>
      </c>
      <c r="AS40" t="str">
        <f t="shared" si="4"/>
        <v>[PLC]</v>
      </c>
      <c r="AT40" t="str">
        <f t="shared" si="5"/>
        <v>LW_SS01_TXF.SEPAM_WTDG_HTY_i</v>
      </c>
      <c r="AU40" t="str">
        <f t="shared" si="39"/>
        <v/>
      </c>
      <c r="AV40" t="str">
        <f t="shared" si="40"/>
        <v/>
      </c>
      <c r="AW40" t="str">
        <f t="shared" si="41"/>
        <v/>
      </c>
      <c r="AX40" t="str">
        <f t="shared" si="42"/>
        <v/>
      </c>
      <c r="AY40" t="str">
        <f t="shared" si="43"/>
        <v/>
      </c>
      <c r="AZ40" t="str">
        <f t="shared" si="44"/>
        <v/>
      </c>
      <c r="BA40" t="str">
        <f t="shared" si="6"/>
        <v>[Desc] - Transformer 11kV Supply Sepam Watchdog Healthy</v>
      </c>
      <c r="BJ40" t="str">
        <f t="shared" si="7"/>
        <v>[Cluster]</v>
      </c>
      <c r="BK40" t="str">
        <f t="shared" si="8"/>
        <v>[Equip]</v>
      </c>
      <c r="BL40" t="str">
        <f t="shared" si="9"/>
        <v/>
      </c>
      <c r="BM40" t="str">
        <f t="shared" si="10"/>
        <v>[Historian]</v>
      </c>
      <c r="BN40" t="str">
        <f t="shared" si="11"/>
        <v>[DigAlmName]</v>
      </c>
      <c r="BO40" t="str">
        <f t="shared" si="12"/>
        <v>[Desc]</v>
      </c>
      <c r="BP40" t="str">
        <f t="shared" si="45"/>
        <v/>
      </c>
      <c r="BQ40" t="str">
        <f t="shared" si="46"/>
        <v/>
      </c>
      <c r="BU40" t="str">
        <f t="shared" si="47"/>
        <v/>
      </c>
      <c r="BV40" t="str">
        <f t="shared" si="13"/>
        <v/>
      </c>
      <c r="BW40" t="str">
        <f t="shared" si="14"/>
        <v/>
      </c>
      <c r="BX40" t="str">
        <f t="shared" si="15"/>
        <v/>
      </c>
      <c r="BY40" t="str">
        <f t="shared" si="16"/>
        <v/>
      </c>
      <c r="BZ40" t="str">
        <f t="shared" si="17"/>
        <v/>
      </c>
      <c r="CA40" t="str">
        <f t="shared" si="48"/>
        <v/>
      </c>
      <c r="CB40" t="str">
        <f t="shared" si="18"/>
        <v/>
      </c>
      <c r="CC40" t="str">
        <f t="shared" si="19"/>
        <v/>
      </c>
      <c r="CD40" t="str">
        <f t="shared" si="20"/>
        <v/>
      </c>
      <c r="CE40" t="str">
        <f t="shared" si="21"/>
        <v/>
      </c>
      <c r="CH40" t="str">
        <f t="shared" si="22"/>
        <v/>
      </c>
      <c r="CP40" t="str">
        <f t="shared" si="23"/>
        <v/>
      </c>
      <c r="CV40" t="str">
        <f t="shared" si="24"/>
        <v/>
      </c>
      <c r="CW40" t="str">
        <f t="shared" si="25"/>
        <v/>
      </c>
      <c r="CY40" t="str">
        <f t="shared" si="26"/>
        <v/>
      </c>
      <c r="CZ40" t="str">
        <f t="shared" si="27"/>
        <v/>
      </c>
      <c r="DB40" t="str">
        <f t="shared" si="49"/>
        <v/>
      </c>
      <c r="DE40" t="str">
        <f t="shared" si="50"/>
        <v/>
      </c>
      <c r="DF40" t="str">
        <f t="shared" si="51"/>
        <v/>
      </c>
      <c r="DG40" t="str">
        <f t="shared" si="28"/>
        <v/>
      </c>
      <c r="DH40" t="str">
        <f t="shared" si="29"/>
        <v/>
      </c>
      <c r="DI40" t="str">
        <f t="shared" si="30"/>
        <v/>
      </c>
      <c r="DJ40" t="str">
        <f t="shared" si="31"/>
        <v/>
      </c>
      <c r="DK40" t="str">
        <f t="shared" si="32"/>
        <v/>
      </c>
      <c r="DL40" t="str">
        <f t="shared" si="52"/>
        <v/>
      </c>
      <c r="DT40" t="str">
        <f t="shared" si="53"/>
        <v/>
      </c>
      <c r="DU40" t="str">
        <f t="shared" si="33"/>
        <v/>
      </c>
      <c r="DZ40" t="str">
        <f t="shared" si="34"/>
        <v/>
      </c>
      <c r="EA40" t="str">
        <f t="shared" si="35"/>
        <v/>
      </c>
      <c r="EC40" t="str">
        <f t="shared" si="54"/>
        <v/>
      </c>
      <c r="ED40" t="str">
        <f t="shared" si="55"/>
        <v/>
      </c>
    </row>
    <row r="41" spans="1:134" x14ac:dyDescent="0.3">
      <c r="A41" t="s">
        <v>511</v>
      </c>
      <c r="B41" t="s">
        <v>79</v>
      </c>
      <c r="C41" t="s">
        <v>799</v>
      </c>
      <c r="D41" t="s">
        <v>440</v>
      </c>
      <c r="E41" t="s">
        <v>79</v>
      </c>
      <c r="F41" t="s">
        <v>377</v>
      </c>
      <c r="G41" t="s">
        <v>752</v>
      </c>
      <c r="H41" t="s">
        <v>729</v>
      </c>
      <c r="K41" t="s">
        <v>799</v>
      </c>
      <c r="V41" s="6"/>
      <c r="W41" s="32"/>
      <c r="Y41" t="s">
        <v>922</v>
      </c>
      <c r="AF41" t="s">
        <v>718</v>
      </c>
      <c r="AK41" t="str">
        <f t="shared" si="36"/>
        <v>TXF_SEPAM_TRP_i</v>
      </c>
      <c r="AL41" t="str">
        <f t="shared" si="37"/>
        <v>TXF_SEPAM_TRP_i</v>
      </c>
      <c r="AM41" t="b">
        <f t="shared" si="38"/>
        <v>1</v>
      </c>
      <c r="AN41" t="b">
        <f t="shared" si="0"/>
        <v>0</v>
      </c>
      <c r="AO41" t="b">
        <f t="shared" si="1"/>
        <v>0</v>
      </c>
      <c r="AP41" t="b">
        <f t="shared" si="2"/>
        <v>0</v>
      </c>
      <c r="AQ41" t="str">
        <f t="shared" si="3"/>
        <v>[TagPrefixFull]TXF_SEPAM_TRP_i</v>
      </c>
      <c r="AR41" t="str">
        <f>IF($AM41,VLOOKUP(B41,DataTypeMappings!$A$2:$B$18,2,"FALSE"),"")</f>
        <v>DIGITAL</v>
      </c>
      <c r="AS41" t="str">
        <f t="shared" si="4"/>
        <v>[PLC]</v>
      </c>
      <c r="AT41" t="str">
        <f t="shared" si="5"/>
        <v>LW_SS01_TXF.SEPAM_TRP_i</v>
      </c>
      <c r="AU41" t="str">
        <f t="shared" si="39"/>
        <v/>
      </c>
      <c r="AV41" t="str">
        <f t="shared" si="40"/>
        <v/>
      </c>
      <c r="AW41" t="str">
        <f t="shared" si="41"/>
        <v/>
      </c>
      <c r="AX41" t="str">
        <f t="shared" si="42"/>
        <v/>
      </c>
      <c r="AY41" t="str">
        <f t="shared" si="43"/>
        <v/>
      </c>
      <c r="AZ41" t="str">
        <f t="shared" si="44"/>
        <v/>
      </c>
      <c r="BA41" t="str">
        <f t="shared" si="6"/>
        <v>[Desc] - Transformer 11kV Supply Sepam Tripped</v>
      </c>
      <c r="BJ41" t="str">
        <f t="shared" si="7"/>
        <v>[Cluster]</v>
      </c>
      <c r="BK41" t="str">
        <f t="shared" si="8"/>
        <v>[Equip]</v>
      </c>
      <c r="BL41" t="str">
        <f t="shared" si="9"/>
        <v/>
      </c>
      <c r="BM41" t="str">
        <f t="shared" si="10"/>
        <v>[Historian]</v>
      </c>
      <c r="BN41" t="str">
        <f t="shared" si="11"/>
        <v>[DigAlmName]</v>
      </c>
      <c r="BO41" t="str">
        <f t="shared" si="12"/>
        <v>[Desc]</v>
      </c>
      <c r="BP41" t="str">
        <f t="shared" si="45"/>
        <v/>
      </c>
      <c r="BQ41" t="str">
        <f t="shared" si="46"/>
        <v/>
      </c>
      <c r="BU41" t="str">
        <f t="shared" si="47"/>
        <v/>
      </c>
      <c r="BV41" t="str">
        <f t="shared" si="13"/>
        <v/>
      </c>
      <c r="BW41" t="str">
        <f t="shared" si="14"/>
        <v/>
      </c>
      <c r="BX41" t="str">
        <f t="shared" si="15"/>
        <v/>
      </c>
      <c r="BY41" t="str">
        <f t="shared" si="16"/>
        <v/>
      </c>
      <c r="BZ41" t="str">
        <f t="shared" si="17"/>
        <v/>
      </c>
      <c r="CA41" t="str">
        <f t="shared" si="48"/>
        <v/>
      </c>
      <c r="CB41" t="str">
        <f t="shared" si="18"/>
        <v/>
      </c>
      <c r="CC41" t="str">
        <f t="shared" si="19"/>
        <v/>
      </c>
      <c r="CD41" t="str">
        <f t="shared" si="20"/>
        <v/>
      </c>
      <c r="CE41" t="str">
        <f t="shared" si="21"/>
        <v/>
      </c>
      <c r="CH41" t="str">
        <f t="shared" si="22"/>
        <v/>
      </c>
      <c r="CP41" t="str">
        <f t="shared" si="23"/>
        <v/>
      </c>
      <c r="CV41" t="str">
        <f t="shared" si="24"/>
        <v/>
      </c>
      <c r="CW41" t="str">
        <f t="shared" si="25"/>
        <v/>
      </c>
      <c r="CY41" t="str">
        <f t="shared" si="26"/>
        <v/>
      </c>
      <c r="CZ41" t="str">
        <f t="shared" si="27"/>
        <v/>
      </c>
      <c r="DB41" t="str">
        <f t="shared" si="49"/>
        <v/>
      </c>
      <c r="DE41" t="str">
        <f t="shared" si="50"/>
        <v/>
      </c>
      <c r="DF41" t="str">
        <f t="shared" si="51"/>
        <v/>
      </c>
      <c r="DG41" t="str">
        <f t="shared" si="28"/>
        <v/>
      </c>
      <c r="DH41" t="str">
        <f t="shared" si="29"/>
        <v/>
      </c>
      <c r="DI41" t="str">
        <f t="shared" si="30"/>
        <v/>
      </c>
      <c r="DJ41" t="str">
        <f t="shared" si="31"/>
        <v/>
      </c>
      <c r="DK41" t="str">
        <f t="shared" si="32"/>
        <v/>
      </c>
      <c r="DL41" t="str">
        <f t="shared" si="52"/>
        <v/>
      </c>
      <c r="DT41" t="str">
        <f t="shared" si="53"/>
        <v/>
      </c>
      <c r="DU41" t="str">
        <f t="shared" si="33"/>
        <v/>
      </c>
      <c r="DZ41" t="str">
        <f t="shared" si="34"/>
        <v/>
      </c>
      <c r="EA41" t="str">
        <f t="shared" si="35"/>
        <v/>
      </c>
      <c r="EC41" t="str">
        <f t="shared" si="54"/>
        <v/>
      </c>
      <c r="ED41" t="str">
        <f t="shared" si="55"/>
        <v/>
      </c>
    </row>
    <row r="42" spans="1:134" x14ac:dyDescent="0.3">
      <c r="A42" t="s">
        <v>512</v>
      </c>
      <c r="B42" t="s">
        <v>79</v>
      </c>
      <c r="C42" t="s">
        <v>753</v>
      </c>
      <c r="D42" t="s">
        <v>441</v>
      </c>
      <c r="E42" t="s">
        <v>79</v>
      </c>
      <c r="F42" t="s">
        <v>377</v>
      </c>
      <c r="G42" t="s">
        <v>442</v>
      </c>
      <c r="H42" t="s">
        <v>729</v>
      </c>
      <c r="K42" t="s">
        <v>753</v>
      </c>
      <c r="V42" s="6"/>
      <c r="W42" s="32"/>
      <c r="Y42" t="s">
        <v>923</v>
      </c>
      <c r="AF42" t="s">
        <v>718</v>
      </c>
      <c r="AK42" t="str">
        <f t="shared" si="36"/>
        <v>TXF_BU_EL_HTY_i</v>
      </c>
      <c r="AL42" t="str">
        <f t="shared" si="37"/>
        <v>TXF_BU_EL_HTY_i</v>
      </c>
      <c r="AM42" t="b">
        <f t="shared" si="38"/>
        <v>1</v>
      </c>
      <c r="AN42" t="b">
        <f t="shared" si="0"/>
        <v>0</v>
      </c>
      <c r="AO42" t="b">
        <f t="shared" si="1"/>
        <v>0</v>
      </c>
      <c r="AP42" t="b">
        <f t="shared" si="2"/>
        <v>0</v>
      </c>
      <c r="AQ42" t="str">
        <f t="shared" si="3"/>
        <v>[TagPrefixFull]TXF_BU_EL_HTY_i</v>
      </c>
      <c r="AR42" t="str">
        <f>IF($AM42,VLOOKUP(B42,DataTypeMappings!$A$2:$B$18,2,"FALSE"),"")</f>
        <v>DIGITAL</v>
      </c>
      <c r="AS42" t="str">
        <f t="shared" si="4"/>
        <v>[PLC]</v>
      </c>
      <c r="AT42" t="str">
        <f t="shared" si="5"/>
        <v>LW_SS01_TXF.BU_EL_HTY_i</v>
      </c>
      <c r="AU42" t="str">
        <f t="shared" si="39"/>
        <v/>
      </c>
      <c r="AV42" t="str">
        <f t="shared" si="40"/>
        <v/>
      </c>
      <c r="AW42" t="str">
        <f t="shared" si="41"/>
        <v/>
      </c>
      <c r="AX42" t="str">
        <f t="shared" si="42"/>
        <v/>
      </c>
      <c r="AY42" t="str">
        <f t="shared" si="43"/>
        <v/>
      </c>
      <c r="AZ42" t="str">
        <f t="shared" si="44"/>
        <v/>
      </c>
      <c r="BA42" t="str">
        <f t="shared" si="6"/>
        <v>[Desc] - Transformer Backup Earth Leakage Protection Relay Healthy</v>
      </c>
      <c r="BJ42" t="str">
        <f t="shared" si="7"/>
        <v>[Cluster]</v>
      </c>
      <c r="BK42" t="str">
        <f t="shared" si="8"/>
        <v>[Equip]</v>
      </c>
      <c r="BL42" t="str">
        <f t="shared" si="9"/>
        <v/>
      </c>
      <c r="BM42" t="str">
        <f t="shared" si="10"/>
        <v>[Historian]</v>
      </c>
      <c r="BN42" t="str">
        <f t="shared" si="11"/>
        <v>[DigAlmName]</v>
      </c>
      <c r="BO42" t="str">
        <f t="shared" si="12"/>
        <v>[Desc]</v>
      </c>
      <c r="BP42" t="str">
        <f t="shared" si="45"/>
        <v/>
      </c>
      <c r="BQ42" t="str">
        <f t="shared" si="46"/>
        <v/>
      </c>
      <c r="BU42" t="str">
        <f t="shared" si="47"/>
        <v/>
      </c>
      <c r="BV42" t="str">
        <f t="shared" si="13"/>
        <v/>
      </c>
      <c r="BW42" t="str">
        <f t="shared" si="14"/>
        <v/>
      </c>
      <c r="BX42" t="str">
        <f t="shared" si="15"/>
        <v/>
      </c>
      <c r="BY42" t="str">
        <f t="shared" si="16"/>
        <v/>
      </c>
      <c r="BZ42" t="str">
        <f t="shared" si="17"/>
        <v/>
      </c>
      <c r="CA42" t="str">
        <f t="shared" si="48"/>
        <v/>
      </c>
      <c r="CB42" t="str">
        <f t="shared" si="18"/>
        <v/>
      </c>
      <c r="CC42" t="str">
        <f t="shared" si="19"/>
        <v/>
      </c>
      <c r="CD42" t="str">
        <f t="shared" si="20"/>
        <v/>
      </c>
      <c r="CE42" t="str">
        <f t="shared" si="21"/>
        <v/>
      </c>
      <c r="CH42" t="str">
        <f t="shared" si="22"/>
        <v/>
      </c>
      <c r="CP42" t="str">
        <f t="shared" si="23"/>
        <v/>
      </c>
      <c r="CV42" t="str">
        <f t="shared" si="24"/>
        <v/>
      </c>
      <c r="CW42" t="str">
        <f t="shared" si="25"/>
        <v/>
      </c>
      <c r="CY42" t="str">
        <f t="shared" si="26"/>
        <v/>
      </c>
      <c r="CZ42" t="str">
        <f t="shared" si="27"/>
        <v/>
      </c>
      <c r="DB42" t="str">
        <f t="shared" si="49"/>
        <v/>
      </c>
      <c r="DE42" t="str">
        <f t="shared" si="50"/>
        <v/>
      </c>
      <c r="DF42" t="str">
        <f t="shared" si="51"/>
        <v/>
      </c>
      <c r="DG42" t="str">
        <f t="shared" si="28"/>
        <v/>
      </c>
      <c r="DH42" t="str">
        <f t="shared" si="29"/>
        <v/>
      </c>
      <c r="DI42" t="str">
        <f t="shared" si="30"/>
        <v/>
      </c>
      <c r="DJ42" t="str">
        <f t="shared" si="31"/>
        <v/>
      </c>
      <c r="DK42" t="str">
        <f t="shared" si="32"/>
        <v/>
      </c>
      <c r="DL42" t="str">
        <f t="shared" si="52"/>
        <v/>
      </c>
      <c r="DT42" t="str">
        <f t="shared" si="53"/>
        <v/>
      </c>
      <c r="DU42" t="str">
        <f t="shared" si="33"/>
        <v/>
      </c>
      <c r="DZ42" t="str">
        <f t="shared" si="34"/>
        <v/>
      </c>
      <c r="EA42" t="str">
        <f t="shared" si="35"/>
        <v/>
      </c>
      <c r="EC42" t="str">
        <f t="shared" si="54"/>
        <v/>
      </c>
      <c r="ED42" t="str">
        <f t="shared" si="55"/>
        <v/>
      </c>
    </row>
    <row r="43" spans="1:134" x14ac:dyDescent="0.3">
      <c r="A43" t="s">
        <v>513</v>
      </c>
      <c r="B43" t="s">
        <v>79</v>
      </c>
      <c r="C43" t="s">
        <v>754</v>
      </c>
      <c r="D43" t="s">
        <v>443</v>
      </c>
      <c r="E43" t="s">
        <v>79</v>
      </c>
      <c r="F43" t="s">
        <v>377</v>
      </c>
      <c r="G43" t="s">
        <v>754</v>
      </c>
      <c r="H43" t="s">
        <v>729</v>
      </c>
      <c r="K43" t="s">
        <v>754</v>
      </c>
      <c r="V43" s="6"/>
      <c r="W43" s="32"/>
      <c r="Y43" t="s">
        <v>924</v>
      </c>
      <c r="AF43" t="s">
        <v>718</v>
      </c>
      <c r="AK43" t="str">
        <f t="shared" si="36"/>
        <v>TXF_TAP_COV_HTY_i</v>
      </c>
      <c r="AL43" t="str">
        <f t="shared" si="37"/>
        <v>TXF_TAP_COV_HTY_i</v>
      </c>
      <c r="AM43" t="b">
        <f t="shared" si="38"/>
        <v>1</v>
      </c>
      <c r="AN43" t="b">
        <f t="shared" si="0"/>
        <v>0</v>
      </c>
      <c r="AO43" t="b">
        <f t="shared" si="1"/>
        <v>0</v>
      </c>
      <c r="AP43" t="b">
        <f t="shared" si="2"/>
        <v>0</v>
      </c>
      <c r="AQ43" t="str">
        <f t="shared" si="3"/>
        <v>[TagPrefixFull]TXF_TAP_COV_HTY_i</v>
      </c>
      <c r="AR43" t="str">
        <f>IF($AM43,VLOOKUP(B43,DataTypeMappings!$A$2:$B$18,2,"FALSE"),"")</f>
        <v>DIGITAL</v>
      </c>
      <c r="AS43" t="str">
        <f t="shared" si="4"/>
        <v>[PLC]</v>
      </c>
      <c r="AT43" t="str">
        <f t="shared" si="5"/>
        <v>LW_SS01_TXF.TAP_COV_HTY_i</v>
      </c>
      <c r="AU43" t="str">
        <f t="shared" si="39"/>
        <v/>
      </c>
      <c r="AV43" t="str">
        <f t="shared" si="40"/>
        <v/>
      </c>
      <c r="AW43" t="str">
        <f t="shared" si="41"/>
        <v/>
      </c>
      <c r="AX43" t="str">
        <f t="shared" si="42"/>
        <v/>
      </c>
      <c r="AY43" t="str">
        <f t="shared" si="43"/>
        <v/>
      </c>
      <c r="AZ43" t="str">
        <f t="shared" si="44"/>
        <v/>
      </c>
      <c r="BA43" t="str">
        <f t="shared" si="6"/>
        <v>[Desc] - Transformer Tap Changer Cover Limit Healthy</v>
      </c>
      <c r="BJ43" t="str">
        <f t="shared" si="7"/>
        <v>[Cluster]</v>
      </c>
      <c r="BK43" t="str">
        <f t="shared" si="8"/>
        <v>[Equip]</v>
      </c>
      <c r="BL43" t="str">
        <f t="shared" si="9"/>
        <v/>
      </c>
      <c r="BM43" t="str">
        <f t="shared" si="10"/>
        <v>[Historian]</v>
      </c>
      <c r="BN43" t="str">
        <f t="shared" si="11"/>
        <v>[DigAlmName]</v>
      </c>
      <c r="BO43" t="str">
        <f t="shared" si="12"/>
        <v>[Desc]</v>
      </c>
      <c r="BP43" t="str">
        <f t="shared" si="45"/>
        <v/>
      </c>
      <c r="BQ43" t="str">
        <f t="shared" si="46"/>
        <v/>
      </c>
      <c r="BU43" t="str">
        <f t="shared" si="47"/>
        <v/>
      </c>
      <c r="BV43" t="str">
        <f t="shared" si="13"/>
        <v/>
      </c>
      <c r="BW43" t="str">
        <f t="shared" si="14"/>
        <v/>
      </c>
      <c r="BX43" t="str">
        <f t="shared" si="15"/>
        <v/>
      </c>
      <c r="BY43" t="str">
        <f t="shared" si="16"/>
        <v/>
      </c>
      <c r="BZ43" t="str">
        <f t="shared" si="17"/>
        <v/>
      </c>
      <c r="CA43" t="str">
        <f t="shared" si="48"/>
        <v/>
      </c>
      <c r="CB43" t="str">
        <f t="shared" si="18"/>
        <v/>
      </c>
      <c r="CC43" t="str">
        <f t="shared" si="19"/>
        <v/>
      </c>
      <c r="CD43" t="str">
        <f t="shared" si="20"/>
        <v/>
      </c>
      <c r="CE43" t="str">
        <f t="shared" si="21"/>
        <v/>
      </c>
      <c r="CH43" t="str">
        <f t="shared" si="22"/>
        <v/>
      </c>
      <c r="CP43" t="str">
        <f t="shared" si="23"/>
        <v/>
      </c>
      <c r="CV43" t="str">
        <f t="shared" si="24"/>
        <v/>
      </c>
      <c r="CW43" t="str">
        <f t="shared" si="25"/>
        <v/>
      </c>
      <c r="CY43" t="str">
        <f t="shared" si="26"/>
        <v/>
      </c>
      <c r="CZ43" t="str">
        <f t="shared" si="27"/>
        <v/>
      </c>
      <c r="DB43" t="str">
        <f t="shared" si="49"/>
        <v/>
      </c>
      <c r="DE43" t="str">
        <f t="shared" si="50"/>
        <v/>
      </c>
      <c r="DF43" t="str">
        <f t="shared" si="51"/>
        <v/>
      </c>
      <c r="DG43" t="str">
        <f t="shared" si="28"/>
        <v/>
      </c>
      <c r="DH43" t="str">
        <f t="shared" si="29"/>
        <v/>
      </c>
      <c r="DI43" t="str">
        <f t="shared" si="30"/>
        <v/>
      </c>
      <c r="DJ43" t="str">
        <f t="shared" si="31"/>
        <v/>
      </c>
      <c r="DK43" t="str">
        <f t="shared" si="32"/>
        <v/>
      </c>
      <c r="DL43" t="str">
        <f t="shared" si="52"/>
        <v/>
      </c>
      <c r="DT43" t="str">
        <f t="shared" si="53"/>
        <v/>
      </c>
      <c r="DU43" t="str">
        <f t="shared" si="33"/>
        <v/>
      </c>
      <c r="DZ43" t="str">
        <f t="shared" si="34"/>
        <v/>
      </c>
      <c r="EA43" t="str">
        <f t="shared" si="35"/>
        <v/>
      </c>
      <c r="EC43" t="str">
        <f t="shared" si="54"/>
        <v/>
      </c>
      <c r="ED43" t="str">
        <f t="shared" si="55"/>
        <v/>
      </c>
    </row>
    <row r="44" spans="1:134" x14ac:dyDescent="0.3">
      <c r="A44" t="s">
        <v>514</v>
      </c>
      <c r="B44" t="s">
        <v>79</v>
      </c>
      <c r="C44" t="s">
        <v>755</v>
      </c>
      <c r="D44" t="s">
        <v>444</v>
      </c>
      <c r="E44" t="s">
        <v>79</v>
      </c>
      <c r="F44" t="s">
        <v>377</v>
      </c>
      <c r="G44" t="s">
        <v>626</v>
      </c>
      <c r="H44" t="s">
        <v>729</v>
      </c>
      <c r="K44" t="s">
        <v>834</v>
      </c>
      <c r="V44" s="6"/>
      <c r="W44" s="32"/>
      <c r="Y44" t="s">
        <v>925</v>
      </c>
      <c r="AF44" t="s">
        <v>718</v>
      </c>
      <c r="AK44" t="str">
        <f t="shared" si="36"/>
        <v>TXF_NER_ISO_CLSD_i</v>
      </c>
      <c r="AL44" t="str">
        <f t="shared" si="37"/>
        <v>TXF_NER_ISO_CLSD_i</v>
      </c>
      <c r="AM44" t="b">
        <f t="shared" si="38"/>
        <v>1</v>
      </c>
      <c r="AN44" t="b">
        <f t="shared" si="0"/>
        <v>0</v>
      </c>
      <c r="AO44" t="b">
        <f t="shared" si="1"/>
        <v>0</v>
      </c>
      <c r="AP44" t="b">
        <f t="shared" si="2"/>
        <v>0</v>
      </c>
      <c r="AQ44" t="str">
        <f t="shared" si="3"/>
        <v>[TagPrefixFull]TXF_NER_ISO_CLSD_i</v>
      </c>
      <c r="AR44" t="str">
        <f>IF($AM44,VLOOKUP(B44,DataTypeMappings!$A$2:$B$18,2,"FALSE"),"")</f>
        <v>DIGITAL</v>
      </c>
      <c r="AS44" t="str">
        <f t="shared" si="4"/>
        <v>[PLC]</v>
      </c>
      <c r="AT44" t="str">
        <f t="shared" si="5"/>
        <v>LW_SS01_TXF.NER_ISO_CLSD_i</v>
      </c>
      <c r="AU44" t="str">
        <f t="shared" si="39"/>
        <v/>
      </c>
      <c r="AV44" t="str">
        <f t="shared" si="40"/>
        <v/>
      </c>
      <c r="AW44" t="str">
        <f t="shared" si="41"/>
        <v/>
      </c>
      <c r="AX44" t="str">
        <f t="shared" si="42"/>
        <v/>
      </c>
      <c r="AY44" t="str">
        <f t="shared" si="43"/>
        <v/>
      </c>
      <c r="AZ44" t="str">
        <f t="shared" si="44"/>
        <v/>
      </c>
      <c r="BA44" t="str">
        <f t="shared" si="6"/>
        <v>[Desc] - Transformer 3.3kV NER Isolator Closed</v>
      </c>
      <c r="BJ44" t="str">
        <f t="shared" si="7"/>
        <v>[Cluster]</v>
      </c>
      <c r="BK44" t="str">
        <f t="shared" si="8"/>
        <v>[Equip]</v>
      </c>
      <c r="BL44" t="str">
        <f t="shared" si="9"/>
        <v/>
      </c>
      <c r="BM44" t="str">
        <f t="shared" si="10"/>
        <v>[Historian]</v>
      </c>
      <c r="BN44" t="str">
        <f t="shared" si="11"/>
        <v>[DigAlmName]</v>
      </c>
      <c r="BO44" t="str">
        <f t="shared" si="12"/>
        <v>[Desc]</v>
      </c>
      <c r="BP44" t="str">
        <f t="shared" si="45"/>
        <v/>
      </c>
      <c r="BQ44" t="str">
        <f t="shared" si="46"/>
        <v/>
      </c>
      <c r="BU44" t="str">
        <f t="shared" si="47"/>
        <v/>
      </c>
      <c r="BV44" t="str">
        <f t="shared" si="13"/>
        <v/>
      </c>
      <c r="BW44" t="str">
        <f t="shared" si="14"/>
        <v/>
      </c>
      <c r="BX44" t="str">
        <f t="shared" si="15"/>
        <v/>
      </c>
      <c r="BY44" t="str">
        <f t="shared" si="16"/>
        <v/>
      </c>
      <c r="BZ44" t="str">
        <f t="shared" si="17"/>
        <v/>
      </c>
      <c r="CA44" t="str">
        <f t="shared" si="48"/>
        <v/>
      </c>
      <c r="CB44" t="str">
        <f t="shared" si="18"/>
        <v/>
      </c>
      <c r="CC44" t="str">
        <f t="shared" si="19"/>
        <v/>
      </c>
      <c r="CD44" t="str">
        <f t="shared" si="20"/>
        <v/>
      </c>
      <c r="CE44" t="str">
        <f t="shared" si="21"/>
        <v/>
      </c>
      <c r="CH44" t="str">
        <f t="shared" si="22"/>
        <v/>
      </c>
      <c r="CP44" t="str">
        <f t="shared" si="23"/>
        <v/>
      </c>
      <c r="CV44" t="str">
        <f t="shared" si="24"/>
        <v/>
      </c>
      <c r="CW44" t="str">
        <f t="shared" si="25"/>
        <v/>
      </c>
      <c r="CY44" t="str">
        <f t="shared" si="26"/>
        <v/>
      </c>
      <c r="CZ44" t="str">
        <f t="shared" si="27"/>
        <v/>
      </c>
      <c r="DB44" t="str">
        <f t="shared" si="49"/>
        <v/>
      </c>
      <c r="DE44" t="str">
        <f t="shared" si="50"/>
        <v/>
      </c>
      <c r="DF44" t="str">
        <f t="shared" si="51"/>
        <v/>
      </c>
      <c r="DG44" t="str">
        <f t="shared" si="28"/>
        <v/>
      </c>
      <c r="DH44" t="str">
        <f t="shared" si="29"/>
        <v/>
      </c>
      <c r="DI44" t="str">
        <f t="shared" si="30"/>
        <v/>
      </c>
      <c r="DJ44" t="str">
        <f t="shared" si="31"/>
        <v/>
      </c>
      <c r="DK44" t="str">
        <f t="shared" si="32"/>
        <v/>
      </c>
      <c r="DL44" t="str">
        <f t="shared" si="52"/>
        <v/>
      </c>
      <c r="DT44" t="str">
        <f t="shared" si="53"/>
        <v/>
      </c>
      <c r="DU44" t="str">
        <f t="shared" si="33"/>
        <v/>
      </c>
      <c r="DZ44" t="str">
        <f t="shared" si="34"/>
        <v/>
      </c>
      <c r="EA44" t="str">
        <f t="shared" si="35"/>
        <v/>
      </c>
      <c r="EC44" t="str">
        <f t="shared" si="54"/>
        <v/>
      </c>
      <c r="ED44" t="str">
        <f t="shared" si="55"/>
        <v/>
      </c>
    </row>
    <row r="45" spans="1:134" x14ac:dyDescent="0.3">
      <c r="A45" t="s">
        <v>515</v>
      </c>
      <c r="B45" t="s">
        <v>79</v>
      </c>
      <c r="C45" t="s">
        <v>756</v>
      </c>
      <c r="D45" t="s">
        <v>445</v>
      </c>
      <c r="E45" t="s">
        <v>79</v>
      </c>
      <c r="F45" t="s">
        <v>377</v>
      </c>
      <c r="G45" t="s">
        <v>446</v>
      </c>
      <c r="H45" t="s">
        <v>729</v>
      </c>
      <c r="K45" t="s">
        <v>756</v>
      </c>
      <c r="V45" s="6"/>
      <c r="W45" s="32"/>
      <c r="Y45" t="s">
        <v>926</v>
      </c>
      <c r="AF45" t="s">
        <v>718</v>
      </c>
      <c r="AK45" t="str">
        <f t="shared" si="36"/>
        <v>TXF_ESTP_HTY_i</v>
      </c>
      <c r="AL45" t="str">
        <f t="shared" si="37"/>
        <v>TXF_ESTP_HTY_i</v>
      </c>
      <c r="AM45" t="b">
        <f t="shared" si="38"/>
        <v>1</v>
      </c>
      <c r="AN45" t="b">
        <f t="shared" si="0"/>
        <v>0</v>
      </c>
      <c r="AO45" t="b">
        <f t="shared" si="1"/>
        <v>0</v>
      </c>
      <c r="AP45" t="b">
        <f t="shared" si="2"/>
        <v>0</v>
      </c>
      <c r="AQ45" t="str">
        <f t="shared" si="3"/>
        <v>[TagPrefixFull]TXF_ESTP_HTY_i</v>
      </c>
      <c r="AR45" t="str">
        <f>IF($AM45,VLOOKUP(B45,DataTypeMappings!$A$2:$B$18,2,"FALSE"),"")</f>
        <v>DIGITAL</v>
      </c>
      <c r="AS45" t="str">
        <f t="shared" si="4"/>
        <v>[PLC]</v>
      </c>
      <c r="AT45" t="str">
        <f t="shared" si="5"/>
        <v>LW_SS01_TXF.ESTP_HTY_i</v>
      </c>
      <c r="AU45" t="str">
        <f t="shared" si="39"/>
        <v/>
      </c>
      <c r="AV45" t="str">
        <f t="shared" si="40"/>
        <v/>
      </c>
      <c r="AW45" t="str">
        <f t="shared" si="41"/>
        <v/>
      </c>
      <c r="AX45" t="str">
        <f t="shared" si="42"/>
        <v/>
      </c>
      <c r="AY45" t="str">
        <f t="shared" si="43"/>
        <v/>
      </c>
      <c r="AZ45" t="str">
        <f t="shared" si="44"/>
        <v/>
      </c>
      <c r="BA45" t="str">
        <f t="shared" si="6"/>
        <v>[Desc] - Transformer Emergency Stop Healthy</v>
      </c>
      <c r="BJ45" t="str">
        <f t="shared" si="7"/>
        <v>[Cluster]</v>
      </c>
      <c r="BK45" t="str">
        <f t="shared" si="8"/>
        <v>[Equip]</v>
      </c>
      <c r="BL45" t="str">
        <f t="shared" si="9"/>
        <v/>
      </c>
      <c r="BM45" t="str">
        <f t="shared" si="10"/>
        <v>[Historian]</v>
      </c>
      <c r="BN45" t="str">
        <f t="shared" si="11"/>
        <v>[DigAlmName]</v>
      </c>
      <c r="BO45" t="str">
        <f t="shared" si="12"/>
        <v>[Desc]</v>
      </c>
      <c r="BP45" t="str">
        <f t="shared" si="45"/>
        <v/>
      </c>
      <c r="BQ45" t="str">
        <f t="shared" si="46"/>
        <v/>
      </c>
      <c r="BU45" t="str">
        <f t="shared" si="47"/>
        <v/>
      </c>
      <c r="BV45" t="str">
        <f t="shared" si="13"/>
        <v/>
      </c>
      <c r="BW45" t="str">
        <f t="shared" si="14"/>
        <v/>
      </c>
      <c r="BX45" t="str">
        <f t="shared" si="15"/>
        <v/>
      </c>
      <c r="BY45" t="str">
        <f t="shared" si="16"/>
        <v/>
      </c>
      <c r="BZ45" t="str">
        <f t="shared" si="17"/>
        <v/>
      </c>
      <c r="CA45" t="str">
        <f t="shared" si="48"/>
        <v/>
      </c>
      <c r="CB45" t="str">
        <f t="shared" si="18"/>
        <v/>
      </c>
      <c r="CC45" t="str">
        <f t="shared" si="19"/>
        <v/>
      </c>
      <c r="CD45" t="str">
        <f t="shared" si="20"/>
        <v/>
      </c>
      <c r="CE45" t="str">
        <f t="shared" si="21"/>
        <v/>
      </c>
      <c r="CH45" t="str">
        <f t="shared" si="22"/>
        <v/>
      </c>
      <c r="CP45" t="str">
        <f t="shared" si="23"/>
        <v/>
      </c>
      <c r="CV45" t="str">
        <f t="shared" si="24"/>
        <v/>
      </c>
      <c r="CW45" t="str">
        <f t="shared" si="25"/>
        <v/>
      </c>
      <c r="CY45" t="str">
        <f t="shared" si="26"/>
        <v/>
      </c>
      <c r="CZ45" t="str">
        <f t="shared" si="27"/>
        <v/>
      </c>
      <c r="DB45" t="str">
        <f t="shared" si="49"/>
        <v/>
      </c>
      <c r="DE45" t="str">
        <f t="shared" si="50"/>
        <v/>
      </c>
      <c r="DF45" t="str">
        <f t="shared" si="51"/>
        <v/>
      </c>
      <c r="DG45" t="str">
        <f t="shared" si="28"/>
        <v/>
      </c>
      <c r="DH45" t="str">
        <f t="shared" si="29"/>
        <v/>
      </c>
      <c r="DI45" t="str">
        <f t="shared" si="30"/>
        <v/>
      </c>
      <c r="DJ45" t="str">
        <f t="shared" si="31"/>
        <v/>
      </c>
      <c r="DK45" t="str">
        <f t="shared" si="32"/>
        <v/>
      </c>
      <c r="DL45" t="str">
        <f t="shared" si="52"/>
        <v/>
      </c>
      <c r="DT45" t="str">
        <f t="shared" si="53"/>
        <v/>
      </c>
      <c r="DU45" t="str">
        <f t="shared" si="33"/>
        <v/>
      </c>
      <c r="DZ45" t="str">
        <f t="shared" si="34"/>
        <v/>
      </c>
      <c r="EA45" t="str">
        <f t="shared" si="35"/>
        <v/>
      </c>
      <c r="EC45" t="str">
        <f t="shared" si="54"/>
        <v/>
      </c>
      <c r="ED45" t="str">
        <f t="shared" si="55"/>
        <v/>
      </c>
    </row>
    <row r="46" spans="1:134" x14ac:dyDescent="0.3">
      <c r="A46" t="s">
        <v>516</v>
      </c>
      <c r="B46" t="s">
        <v>79</v>
      </c>
      <c r="C46" t="s">
        <v>757</v>
      </c>
      <c r="D46" t="s">
        <v>447</v>
      </c>
      <c r="E46" t="s">
        <v>79</v>
      </c>
      <c r="F46" t="s">
        <v>377</v>
      </c>
      <c r="G46" t="s">
        <v>501</v>
      </c>
      <c r="H46" t="s">
        <v>729</v>
      </c>
      <c r="K46" t="s">
        <v>757</v>
      </c>
      <c r="U46" t="s">
        <v>307</v>
      </c>
      <c r="V46" s="6"/>
      <c r="W46" s="32"/>
      <c r="Y46" t="s">
        <v>927</v>
      </c>
      <c r="AF46" t="s">
        <v>718</v>
      </c>
      <c r="AK46" t="str">
        <f t="shared" si="36"/>
        <v>TXF_ESTP_HT_i</v>
      </c>
      <c r="AL46" t="str">
        <f t="shared" si="37"/>
        <v>TXF_ESTP_HT_i</v>
      </c>
      <c r="AM46" t="b">
        <f t="shared" si="38"/>
        <v>1</v>
      </c>
      <c r="AN46" t="b">
        <f t="shared" si="0"/>
        <v>1</v>
      </c>
      <c r="AO46" t="b">
        <f t="shared" si="1"/>
        <v>0</v>
      </c>
      <c r="AP46" t="b">
        <f t="shared" si="2"/>
        <v>0</v>
      </c>
      <c r="AQ46" t="str">
        <f t="shared" si="3"/>
        <v>[TagPrefixFull]TXF_ESTP_HT_i</v>
      </c>
      <c r="AR46" t="str">
        <f>IF($AM46,VLOOKUP(B46,DataTypeMappings!$A$2:$B$18,2,"FALSE"),"")</f>
        <v>DIGITAL</v>
      </c>
      <c r="AS46" t="str">
        <f t="shared" si="4"/>
        <v>[PLC]</v>
      </c>
      <c r="AT46" t="str">
        <f t="shared" si="5"/>
        <v>LW_SS01_TXF.ESTP_HT_i</v>
      </c>
      <c r="AU46" t="str">
        <f t="shared" si="39"/>
        <v/>
      </c>
      <c r="AV46" t="str">
        <f t="shared" si="40"/>
        <v/>
      </c>
      <c r="AW46" t="str">
        <f t="shared" si="41"/>
        <v/>
      </c>
      <c r="AX46" t="str">
        <f t="shared" si="42"/>
        <v/>
      </c>
      <c r="AY46" t="str">
        <f t="shared" si="43"/>
        <v/>
      </c>
      <c r="AZ46" t="str">
        <f t="shared" si="44"/>
        <v/>
      </c>
      <c r="BA46" t="str">
        <f t="shared" si="6"/>
        <v>[Desc] - Transformer Emergency Stop High Tension Active</v>
      </c>
      <c r="BJ46" t="str">
        <f t="shared" si="7"/>
        <v>[Cluster]</v>
      </c>
      <c r="BK46" t="str">
        <f t="shared" si="8"/>
        <v>[Equip]</v>
      </c>
      <c r="BL46" t="str">
        <f t="shared" si="9"/>
        <v/>
      </c>
      <c r="BM46" t="str">
        <f t="shared" si="10"/>
        <v>[Historian]</v>
      </c>
      <c r="BN46" t="str">
        <f t="shared" si="11"/>
        <v>[DigAlmName]</v>
      </c>
      <c r="BO46" t="str">
        <f t="shared" si="12"/>
        <v>[Desc]</v>
      </c>
      <c r="BP46" t="str">
        <f t="shared" si="45"/>
        <v>Alm_Trip</v>
      </c>
      <c r="BQ46" t="str">
        <f t="shared" si="46"/>
        <v/>
      </c>
      <c r="BU46" t="str">
        <f t="shared" si="47"/>
        <v/>
      </c>
      <c r="BV46" t="str">
        <f t="shared" si="13"/>
        <v>[TagPrefixFull]TXF_ESTP_HT_i</v>
      </c>
      <c r="BW46" t="str">
        <f t="shared" si="14"/>
        <v>[TagPrefixFull]TXF_ESTP_HT_i</v>
      </c>
      <c r="BX46" t="str">
        <f t="shared" si="15"/>
        <v>[Desc] - Transformer Emergency Stop High Tension Active</v>
      </c>
      <c r="BY46" t="str">
        <f t="shared" si="16"/>
        <v>[TagPrefixFull]TXF_ESTP_HT_i</v>
      </c>
      <c r="BZ46" t="str">
        <f t="shared" si="17"/>
        <v>[VariableB]</v>
      </c>
      <c r="CA46" t="str">
        <f t="shared" si="48"/>
        <v>Alm_Trip</v>
      </c>
      <c r="CB46" t="str">
        <f t="shared" si="18"/>
        <v>[Help]</v>
      </c>
      <c r="CC46" t="str">
        <f t="shared" si="19"/>
        <v>Priv_Alarm</v>
      </c>
      <c r="CD46" t="str">
        <f t="shared" si="20"/>
        <v>[Area]</v>
      </c>
      <c r="CE46" t="str">
        <f t="shared" si="21"/>
        <v>[Desc] - Transformer Emergency Stop High Tension Active</v>
      </c>
      <c r="CH46" t="str">
        <f t="shared" si="22"/>
        <v>[DigAlmName]</v>
      </c>
      <c r="CP46" t="str">
        <f t="shared" si="23"/>
        <v>[Cluster]</v>
      </c>
      <c r="CV46" t="str">
        <f t="shared" si="24"/>
        <v>[Equip]</v>
      </c>
      <c r="CW46" t="e">
        <f t="shared" si="25"/>
        <v>#VALUE!</v>
      </c>
      <c r="CY46" t="str">
        <f t="shared" si="26"/>
        <v/>
      </c>
      <c r="CZ46" t="str">
        <f t="shared" si="27"/>
        <v/>
      </c>
      <c r="DB46" t="str">
        <f t="shared" si="49"/>
        <v/>
      </c>
      <c r="DE46" t="str">
        <f t="shared" si="50"/>
        <v/>
      </c>
      <c r="DF46" t="str">
        <f t="shared" si="51"/>
        <v/>
      </c>
      <c r="DG46" t="str">
        <f t="shared" si="28"/>
        <v/>
      </c>
      <c r="DH46" t="str">
        <f t="shared" si="29"/>
        <v/>
      </c>
      <c r="DI46" t="str">
        <f t="shared" si="30"/>
        <v/>
      </c>
      <c r="DJ46" t="str">
        <f t="shared" si="31"/>
        <v/>
      </c>
      <c r="DK46" t="str">
        <f t="shared" si="32"/>
        <v/>
      </c>
      <c r="DL46" t="str">
        <f t="shared" si="52"/>
        <v/>
      </c>
      <c r="DT46" t="str">
        <f t="shared" si="53"/>
        <v/>
      </c>
      <c r="DU46" t="str">
        <f t="shared" si="33"/>
        <v/>
      </c>
      <c r="DZ46" t="str">
        <f t="shared" si="34"/>
        <v/>
      </c>
      <c r="EA46" t="str">
        <f t="shared" si="35"/>
        <v/>
      </c>
      <c r="EC46" t="str">
        <f t="shared" si="54"/>
        <v/>
      </c>
      <c r="ED46" t="str">
        <f t="shared" si="55"/>
        <v/>
      </c>
    </row>
    <row r="47" spans="1:134" x14ac:dyDescent="0.3">
      <c r="A47" t="s">
        <v>517</v>
      </c>
      <c r="B47" t="s">
        <v>79</v>
      </c>
      <c r="C47" t="s">
        <v>758</v>
      </c>
      <c r="D47" t="s">
        <v>448</v>
      </c>
      <c r="E47" t="s">
        <v>79</v>
      </c>
      <c r="F47" t="s">
        <v>377</v>
      </c>
      <c r="G47" t="s">
        <v>502</v>
      </c>
      <c r="H47" t="s">
        <v>729</v>
      </c>
      <c r="K47" t="s">
        <v>758</v>
      </c>
      <c r="U47" t="s">
        <v>307</v>
      </c>
      <c r="V47" s="6"/>
      <c r="W47" s="32"/>
      <c r="Y47" t="s">
        <v>928</v>
      </c>
      <c r="AF47" t="s">
        <v>718</v>
      </c>
      <c r="AK47" t="str">
        <f t="shared" si="36"/>
        <v>TXF_ESTP_LT1_i</v>
      </c>
      <c r="AL47" t="str">
        <f t="shared" si="37"/>
        <v>TXF_ESTP_LT1_i</v>
      </c>
      <c r="AM47" t="b">
        <f t="shared" si="38"/>
        <v>1</v>
      </c>
      <c r="AN47" t="b">
        <f t="shared" si="0"/>
        <v>1</v>
      </c>
      <c r="AO47" t="b">
        <f t="shared" si="1"/>
        <v>0</v>
      </c>
      <c r="AP47" t="b">
        <f t="shared" si="2"/>
        <v>0</v>
      </c>
      <c r="AQ47" t="str">
        <f t="shared" si="3"/>
        <v>[TagPrefixFull]TXF_ESTP_LT1_i</v>
      </c>
      <c r="AR47" t="str">
        <f>IF($AM47,VLOOKUP(B47,DataTypeMappings!$A$2:$B$18,2,"FALSE"),"")</f>
        <v>DIGITAL</v>
      </c>
      <c r="AS47" t="str">
        <f t="shared" si="4"/>
        <v>[PLC]</v>
      </c>
      <c r="AT47" t="str">
        <f t="shared" si="5"/>
        <v>LW_SS01_TXF.ESTP_LT1_i</v>
      </c>
      <c r="AU47" t="str">
        <f t="shared" si="39"/>
        <v/>
      </c>
      <c r="AV47" t="str">
        <f t="shared" si="40"/>
        <v/>
      </c>
      <c r="AW47" t="str">
        <f t="shared" si="41"/>
        <v/>
      </c>
      <c r="AX47" t="str">
        <f t="shared" si="42"/>
        <v/>
      </c>
      <c r="AY47" t="str">
        <f t="shared" si="43"/>
        <v/>
      </c>
      <c r="AZ47" t="str">
        <f t="shared" si="44"/>
        <v/>
      </c>
      <c r="BA47" t="str">
        <f t="shared" si="6"/>
        <v>[Desc] - Transformer Emergency Stop Low Tension 1 Active</v>
      </c>
      <c r="BJ47" t="str">
        <f t="shared" si="7"/>
        <v>[Cluster]</v>
      </c>
      <c r="BK47" t="str">
        <f t="shared" si="8"/>
        <v>[Equip]</v>
      </c>
      <c r="BL47" t="str">
        <f t="shared" si="9"/>
        <v/>
      </c>
      <c r="BM47" t="str">
        <f t="shared" si="10"/>
        <v>[Historian]</v>
      </c>
      <c r="BN47" t="str">
        <f t="shared" si="11"/>
        <v>[DigAlmName]</v>
      </c>
      <c r="BO47" t="str">
        <f t="shared" si="12"/>
        <v>[Desc]</v>
      </c>
      <c r="BP47" t="str">
        <f t="shared" si="45"/>
        <v>Alm_Trip</v>
      </c>
      <c r="BQ47" t="str">
        <f t="shared" si="46"/>
        <v/>
      </c>
      <c r="BU47" t="str">
        <f t="shared" si="47"/>
        <v/>
      </c>
      <c r="BV47" t="str">
        <f t="shared" si="13"/>
        <v>[TagPrefixFull]TXF_ESTP_LT1_i</v>
      </c>
      <c r="BW47" t="str">
        <f t="shared" si="14"/>
        <v>[TagPrefixFull]TXF_ESTP_LT1_i</v>
      </c>
      <c r="BX47" t="str">
        <f t="shared" si="15"/>
        <v>[Desc] - Transformer Emergency Stop Low Tension 1 Active</v>
      </c>
      <c r="BY47" t="str">
        <f t="shared" si="16"/>
        <v>[TagPrefixFull]TXF_ESTP_LT1_i</v>
      </c>
      <c r="BZ47" t="str">
        <f t="shared" si="17"/>
        <v>[VariableB]</v>
      </c>
      <c r="CA47" t="str">
        <f t="shared" si="48"/>
        <v>Alm_Trip</v>
      </c>
      <c r="CB47" t="str">
        <f t="shared" si="18"/>
        <v>[Help]</v>
      </c>
      <c r="CC47" t="str">
        <f t="shared" si="19"/>
        <v>Priv_Alarm</v>
      </c>
      <c r="CD47" t="str">
        <f t="shared" si="20"/>
        <v>[Area]</v>
      </c>
      <c r="CE47" t="str">
        <f t="shared" si="21"/>
        <v>[Desc] - Transformer Emergency Stop Low Tension 1 Active</v>
      </c>
      <c r="CH47" t="str">
        <f t="shared" si="22"/>
        <v>[DigAlmName]</v>
      </c>
      <c r="CP47" t="str">
        <f t="shared" si="23"/>
        <v>[Cluster]</v>
      </c>
      <c r="CV47" t="str">
        <f t="shared" si="24"/>
        <v>[Equip]</v>
      </c>
      <c r="CW47" t="e">
        <f t="shared" si="25"/>
        <v>#VALUE!</v>
      </c>
      <c r="CY47" t="str">
        <f t="shared" si="26"/>
        <v/>
      </c>
      <c r="CZ47" t="str">
        <f t="shared" si="27"/>
        <v/>
      </c>
      <c r="DB47" t="str">
        <f t="shared" si="49"/>
        <v/>
      </c>
      <c r="DE47" t="str">
        <f t="shared" si="50"/>
        <v/>
      </c>
      <c r="DF47" t="str">
        <f t="shared" si="51"/>
        <v/>
      </c>
      <c r="DG47" t="str">
        <f t="shared" si="28"/>
        <v/>
      </c>
      <c r="DH47" t="str">
        <f t="shared" si="29"/>
        <v/>
      </c>
      <c r="DI47" t="str">
        <f t="shared" si="30"/>
        <v/>
      </c>
      <c r="DJ47" t="str">
        <f t="shared" si="31"/>
        <v/>
      </c>
      <c r="DK47" t="str">
        <f t="shared" si="32"/>
        <v/>
      </c>
      <c r="DL47" t="str">
        <f t="shared" si="52"/>
        <v/>
      </c>
      <c r="DT47" t="str">
        <f t="shared" si="53"/>
        <v/>
      </c>
      <c r="DU47" t="str">
        <f t="shared" si="33"/>
        <v/>
      </c>
      <c r="DZ47" t="str">
        <f t="shared" si="34"/>
        <v/>
      </c>
      <c r="EA47" t="str">
        <f t="shared" si="35"/>
        <v/>
      </c>
      <c r="EC47" t="str">
        <f t="shared" si="54"/>
        <v/>
      </c>
      <c r="ED47" t="str">
        <f t="shared" si="55"/>
        <v/>
      </c>
    </row>
    <row r="48" spans="1:134" x14ac:dyDescent="0.3">
      <c r="A48" t="s">
        <v>518</v>
      </c>
      <c r="B48" t="s">
        <v>79</v>
      </c>
      <c r="C48" t="s">
        <v>759</v>
      </c>
      <c r="D48" t="s">
        <v>449</v>
      </c>
      <c r="E48" s="99" t="s">
        <v>79</v>
      </c>
      <c r="F48" t="s">
        <v>377</v>
      </c>
      <c r="G48" t="s">
        <v>502</v>
      </c>
      <c r="H48" t="s">
        <v>729</v>
      </c>
      <c r="K48" t="s">
        <v>759</v>
      </c>
      <c r="U48" t="s">
        <v>307</v>
      </c>
      <c r="V48" s="6"/>
      <c r="W48" s="32"/>
      <c r="Y48" t="s">
        <v>929</v>
      </c>
      <c r="AF48" t="s">
        <v>718</v>
      </c>
      <c r="AK48" t="str">
        <f t="shared" si="36"/>
        <v>TXF_ESTP_LT2_i</v>
      </c>
      <c r="AL48" t="str">
        <f t="shared" si="37"/>
        <v>TXF_ESTP_LT2_i</v>
      </c>
      <c r="AM48" t="b">
        <f t="shared" si="38"/>
        <v>1</v>
      </c>
      <c r="AN48" t="b">
        <f t="shared" si="0"/>
        <v>1</v>
      </c>
      <c r="AO48" t="b">
        <f t="shared" si="1"/>
        <v>0</v>
      </c>
      <c r="AP48" t="b">
        <f t="shared" si="2"/>
        <v>0</v>
      </c>
      <c r="AQ48" t="str">
        <f t="shared" si="3"/>
        <v>[TagPrefixFull]TXF_ESTP_LT2_i</v>
      </c>
      <c r="AR48" t="str">
        <f>IF($AM48,VLOOKUP(B48,DataTypeMappings!$A$2:$B$18,2,"FALSE"),"")</f>
        <v>DIGITAL</v>
      </c>
      <c r="AS48" t="str">
        <f t="shared" si="4"/>
        <v>[PLC]</v>
      </c>
      <c r="AT48" t="str">
        <f t="shared" si="5"/>
        <v>LW_SS01_TXF.ESTP_LT2_i</v>
      </c>
      <c r="AU48" t="str">
        <f t="shared" si="39"/>
        <v/>
      </c>
      <c r="AV48" t="str">
        <f t="shared" si="40"/>
        <v/>
      </c>
      <c r="AW48" t="str">
        <f t="shared" si="41"/>
        <v/>
      </c>
      <c r="AX48" t="str">
        <f t="shared" si="42"/>
        <v/>
      </c>
      <c r="AY48" t="str">
        <f t="shared" si="43"/>
        <v/>
      </c>
      <c r="AZ48" t="str">
        <f t="shared" si="44"/>
        <v/>
      </c>
      <c r="BA48" t="str">
        <f t="shared" si="6"/>
        <v>[Desc] - Transformer Emergency Stop Low Tension 2 Active</v>
      </c>
      <c r="BJ48" t="str">
        <f t="shared" si="7"/>
        <v>[Cluster]</v>
      </c>
      <c r="BK48" t="str">
        <f t="shared" si="8"/>
        <v>[Equip]</v>
      </c>
      <c r="BL48" t="str">
        <f t="shared" si="9"/>
        <v/>
      </c>
      <c r="BM48" t="str">
        <f t="shared" si="10"/>
        <v>[Historian]</v>
      </c>
      <c r="BN48" t="str">
        <f t="shared" si="11"/>
        <v>[DigAlmName]</v>
      </c>
      <c r="BO48" t="str">
        <f t="shared" si="12"/>
        <v>[Desc]</v>
      </c>
      <c r="BP48" t="str">
        <f t="shared" si="45"/>
        <v>Alm_Trip</v>
      </c>
      <c r="BQ48" t="str">
        <f t="shared" si="46"/>
        <v/>
      </c>
      <c r="BU48" t="str">
        <f t="shared" si="47"/>
        <v/>
      </c>
      <c r="BV48" t="str">
        <f t="shared" si="13"/>
        <v>[TagPrefixFull]TXF_ESTP_LT2_i</v>
      </c>
      <c r="BW48" t="str">
        <f t="shared" si="14"/>
        <v>[TagPrefixFull]TXF_ESTP_LT2_i</v>
      </c>
      <c r="BX48" t="str">
        <f t="shared" si="15"/>
        <v>[Desc] - Transformer Emergency Stop Low Tension 2 Active</v>
      </c>
      <c r="BY48" t="str">
        <f t="shared" si="16"/>
        <v>[TagPrefixFull]TXF_ESTP_LT2_i</v>
      </c>
      <c r="BZ48" t="str">
        <f t="shared" si="17"/>
        <v>[VariableB]</v>
      </c>
      <c r="CA48" t="str">
        <f t="shared" si="48"/>
        <v>Alm_Trip</v>
      </c>
      <c r="CB48" t="str">
        <f t="shared" si="18"/>
        <v>[Help]</v>
      </c>
      <c r="CC48" t="str">
        <f t="shared" si="19"/>
        <v>Priv_Alarm</v>
      </c>
      <c r="CD48" t="str">
        <f t="shared" si="20"/>
        <v>[Area]</v>
      </c>
      <c r="CE48" t="str">
        <f t="shared" si="21"/>
        <v>[Desc] - Transformer Emergency Stop Low Tension 2 Active</v>
      </c>
      <c r="CH48" t="str">
        <f t="shared" si="22"/>
        <v>[DigAlmName]</v>
      </c>
      <c r="CP48" t="str">
        <f t="shared" si="23"/>
        <v>[Cluster]</v>
      </c>
      <c r="CV48" t="str">
        <f t="shared" si="24"/>
        <v>[Equip]</v>
      </c>
      <c r="CW48" t="e">
        <f t="shared" si="25"/>
        <v>#VALUE!</v>
      </c>
      <c r="CY48" t="str">
        <f t="shared" si="26"/>
        <v/>
      </c>
      <c r="CZ48" t="str">
        <f t="shared" si="27"/>
        <v/>
      </c>
      <c r="DB48" t="str">
        <f t="shared" si="49"/>
        <v/>
      </c>
      <c r="DE48" t="str">
        <f t="shared" si="50"/>
        <v/>
      </c>
      <c r="DF48" t="str">
        <f t="shared" si="51"/>
        <v/>
      </c>
      <c r="DG48" t="str">
        <f t="shared" si="28"/>
        <v/>
      </c>
      <c r="DH48" t="str">
        <f t="shared" si="29"/>
        <v/>
      </c>
      <c r="DI48" t="str">
        <f t="shared" si="30"/>
        <v/>
      </c>
      <c r="DJ48" t="str">
        <f t="shared" si="31"/>
        <v/>
      </c>
      <c r="DK48" t="str">
        <f t="shared" si="32"/>
        <v/>
      </c>
      <c r="DL48" t="str">
        <f t="shared" si="52"/>
        <v/>
      </c>
      <c r="DT48" t="str">
        <f t="shared" si="53"/>
        <v/>
      </c>
      <c r="DU48" t="str">
        <f t="shared" si="33"/>
        <v/>
      </c>
      <c r="DZ48" t="str">
        <f t="shared" si="34"/>
        <v/>
      </c>
      <c r="EA48" t="str">
        <f t="shared" si="35"/>
        <v/>
      </c>
      <c r="EC48" t="str">
        <f t="shared" si="54"/>
        <v/>
      </c>
      <c r="ED48" t="str">
        <f t="shared" si="55"/>
        <v/>
      </c>
    </row>
    <row r="49" spans="1:134" x14ac:dyDescent="0.3">
      <c r="A49" t="s">
        <v>519</v>
      </c>
      <c r="B49" t="s">
        <v>79</v>
      </c>
      <c r="C49" t="s">
        <v>760</v>
      </c>
      <c r="D49" t="s">
        <v>450</v>
      </c>
      <c r="E49" s="99" t="s">
        <v>79</v>
      </c>
      <c r="F49" t="s">
        <v>377</v>
      </c>
      <c r="G49" t="s">
        <v>503</v>
      </c>
      <c r="H49" t="s">
        <v>729</v>
      </c>
      <c r="K49" t="s">
        <v>760</v>
      </c>
      <c r="U49" t="s">
        <v>307</v>
      </c>
      <c r="V49" s="6"/>
      <c r="W49" s="32"/>
      <c r="Y49" t="s">
        <v>930</v>
      </c>
      <c r="AF49" t="s">
        <v>718</v>
      </c>
      <c r="AK49" t="str">
        <f t="shared" si="36"/>
        <v>TXF_ESTP_PEND_i</v>
      </c>
      <c r="AL49" t="str">
        <f t="shared" si="37"/>
        <v>TXF_ESTP_PEND_i</v>
      </c>
      <c r="AM49" t="b">
        <f t="shared" si="38"/>
        <v>1</v>
      </c>
      <c r="AN49" t="b">
        <f t="shared" si="0"/>
        <v>1</v>
      </c>
      <c r="AO49" t="b">
        <f t="shared" si="1"/>
        <v>0</v>
      </c>
      <c r="AP49" t="b">
        <f t="shared" si="2"/>
        <v>0</v>
      </c>
      <c r="AQ49" t="str">
        <f t="shared" si="3"/>
        <v>[TagPrefixFull]TXF_ESTP_PEND_i</v>
      </c>
      <c r="AR49" t="str">
        <f>IF($AM49,VLOOKUP(B49,DataTypeMappings!$A$2:$B$18,2,"FALSE"),"")</f>
        <v>DIGITAL</v>
      </c>
      <c r="AS49" t="str">
        <f t="shared" si="4"/>
        <v>[PLC]</v>
      </c>
      <c r="AT49" t="str">
        <f t="shared" si="5"/>
        <v>LW_SS01_TXF.ESTP_PEND_i</v>
      </c>
      <c r="AU49" t="str">
        <f t="shared" si="39"/>
        <v/>
      </c>
      <c r="AV49" t="str">
        <f t="shared" si="40"/>
        <v/>
      </c>
      <c r="AW49" t="str">
        <f t="shared" si="41"/>
        <v/>
      </c>
      <c r="AX49" t="str">
        <f t="shared" si="42"/>
        <v/>
      </c>
      <c r="AY49" t="str">
        <f t="shared" si="43"/>
        <v/>
      </c>
      <c r="AZ49" t="str">
        <f t="shared" si="44"/>
        <v/>
      </c>
      <c r="BA49" t="str">
        <f t="shared" si="6"/>
        <v>[Desc] - Transformer Emergency Stop Pendant Active</v>
      </c>
      <c r="BJ49" t="str">
        <f t="shared" si="7"/>
        <v>[Cluster]</v>
      </c>
      <c r="BK49" t="str">
        <f t="shared" si="8"/>
        <v>[Equip]</v>
      </c>
      <c r="BL49" t="str">
        <f t="shared" si="9"/>
        <v/>
      </c>
      <c r="BM49" t="str">
        <f t="shared" si="10"/>
        <v>[Historian]</v>
      </c>
      <c r="BN49" t="str">
        <f t="shared" si="11"/>
        <v>[DigAlmName]</v>
      </c>
      <c r="BO49" t="str">
        <f t="shared" si="12"/>
        <v>[Desc]</v>
      </c>
      <c r="BP49" t="str">
        <f t="shared" si="45"/>
        <v>Alm_Trip</v>
      </c>
      <c r="BQ49" t="str">
        <f t="shared" si="46"/>
        <v/>
      </c>
      <c r="BU49" t="str">
        <f t="shared" si="47"/>
        <v/>
      </c>
      <c r="BV49" t="str">
        <f t="shared" si="13"/>
        <v>[TagPrefixFull]TXF_ESTP_PEND_i</v>
      </c>
      <c r="BW49" t="str">
        <f t="shared" si="14"/>
        <v>[TagPrefixFull]TXF_ESTP_PEND_i</v>
      </c>
      <c r="BX49" t="str">
        <f t="shared" si="15"/>
        <v>[Desc] - Transformer Emergency Stop Pendant Active</v>
      </c>
      <c r="BY49" t="str">
        <f t="shared" si="16"/>
        <v>[TagPrefixFull]TXF_ESTP_PEND_i</v>
      </c>
      <c r="BZ49" t="str">
        <f t="shared" si="17"/>
        <v>[VariableB]</v>
      </c>
      <c r="CA49" t="str">
        <f t="shared" si="48"/>
        <v>Alm_Trip</v>
      </c>
      <c r="CB49" t="str">
        <f t="shared" si="18"/>
        <v>[Help]</v>
      </c>
      <c r="CC49" t="str">
        <f t="shared" si="19"/>
        <v>Priv_Alarm</v>
      </c>
      <c r="CD49" t="str">
        <f t="shared" si="20"/>
        <v>[Area]</v>
      </c>
      <c r="CE49" t="str">
        <f t="shared" si="21"/>
        <v>[Desc] - Transformer Emergency Stop Pendant Active</v>
      </c>
      <c r="CH49" t="str">
        <f t="shared" si="22"/>
        <v>[DigAlmName]</v>
      </c>
      <c r="CP49" t="str">
        <f t="shared" si="23"/>
        <v>[Cluster]</v>
      </c>
      <c r="CV49" t="str">
        <f t="shared" si="24"/>
        <v>[Equip]</v>
      </c>
      <c r="CW49" t="e">
        <f t="shared" si="25"/>
        <v>#VALUE!</v>
      </c>
      <c r="CY49" t="str">
        <f t="shared" si="26"/>
        <v/>
      </c>
      <c r="CZ49" t="str">
        <f t="shared" si="27"/>
        <v/>
      </c>
      <c r="DB49" t="str">
        <f t="shared" si="49"/>
        <v/>
      </c>
      <c r="DE49" t="str">
        <f t="shared" si="50"/>
        <v/>
      </c>
      <c r="DF49" t="str">
        <f t="shared" si="51"/>
        <v/>
      </c>
      <c r="DG49" t="str">
        <f t="shared" si="28"/>
        <v/>
      </c>
      <c r="DH49" t="str">
        <f t="shared" si="29"/>
        <v/>
      </c>
      <c r="DI49" t="str">
        <f t="shared" si="30"/>
        <v/>
      </c>
      <c r="DJ49" t="str">
        <f t="shared" si="31"/>
        <v/>
      </c>
      <c r="DK49" t="str">
        <f t="shared" si="32"/>
        <v/>
      </c>
      <c r="DL49" t="str">
        <f t="shared" si="52"/>
        <v/>
      </c>
      <c r="DT49" t="str">
        <f t="shared" si="53"/>
        <v/>
      </c>
      <c r="DU49" t="str">
        <f t="shared" si="33"/>
        <v/>
      </c>
      <c r="DZ49" t="str">
        <f t="shared" si="34"/>
        <v/>
      </c>
      <c r="EA49" t="str">
        <f t="shared" si="35"/>
        <v/>
      </c>
      <c r="EC49" t="str">
        <f t="shared" si="54"/>
        <v/>
      </c>
      <c r="ED49" t="str">
        <f t="shared" si="55"/>
        <v/>
      </c>
    </row>
    <row r="50" spans="1:134" x14ac:dyDescent="0.3">
      <c r="A50" t="s">
        <v>520</v>
      </c>
      <c r="B50" t="s">
        <v>79</v>
      </c>
      <c r="C50" t="s">
        <v>761</v>
      </c>
      <c r="D50" t="s">
        <v>451</v>
      </c>
      <c r="E50" t="s">
        <v>79</v>
      </c>
      <c r="F50" t="s">
        <v>377</v>
      </c>
      <c r="G50" t="s">
        <v>452</v>
      </c>
      <c r="H50" t="s">
        <v>729</v>
      </c>
      <c r="K50" t="s">
        <v>761</v>
      </c>
      <c r="V50" s="6"/>
      <c r="W50" s="32"/>
      <c r="Y50" t="s">
        <v>931</v>
      </c>
      <c r="AF50" t="s">
        <v>718</v>
      </c>
      <c r="AK50" t="str">
        <f t="shared" si="36"/>
        <v>TXF_LT_DR_LIM_i</v>
      </c>
      <c r="AL50" t="str">
        <f t="shared" si="37"/>
        <v>TXF_LT_DR_LIM_i</v>
      </c>
      <c r="AM50" t="b">
        <f t="shared" si="38"/>
        <v>1</v>
      </c>
      <c r="AN50" t="b">
        <f t="shared" si="0"/>
        <v>0</v>
      </c>
      <c r="AO50" t="b">
        <f t="shared" si="1"/>
        <v>0</v>
      </c>
      <c r="AP50" t="b">
        <f t="shared" si="2"/>
        <v>0</v>
      </c>
      <c r="AQ50" t="str">
        <f t="shared" si="3"/>
        <v>[TagPrefixFull]TXF_LT_DR_LIM_i</v>
      </c>
      <c r="AR50" t="str">
        <f>IF($AM50,VLOOKUP(B50,DataTypeMappings!$A$2:$B$18,2,"FALSE"),"")</f>
        <v>DIGITAL</v>
      </c>
      <c r="AS50" t="str">
        <f t="shared" si="4"/>
        <v>[PLC]</v>
      </c>
      <c r="AT50" t="str">
        <f t="shared" si="5"/>
        <v>LW_SS01_TXF.LT_DR_LIM_i</v>
      </c>
      <c r="AU50" t="str">
        <f t="shared" si="39"/>
        <v/>
      </c>
      <c r="AV50" t="str">
        <f t="shared" si="40"/>
        <v/>
      </c>
      <c r="AW50" t="str">
        <f t="shared" si="41"/>
        <v/>
      </c>
      <c r="AX50" t="str">
        <f t="shared" si="42"/>
        <v/>
      </c>
      <c r="AY50" t="str">
        <f t="shared" si="43"/>
        <v/>
      </c>
      <c r="AZ50" t="str">
        <f t="shared" si="44"/>
        <v/>
      </c>
      <c r="BA50" t="str">
        <f t="shared" si="6"/>
        <v>[Desc] - Transformer LT Door Limits Healthy</v>
      </c>
      <c r="BJ50" t="str">
        <f t="shared" si="7"/>
        <v>[Cluster]</v>
      </c>
      <c r="BK50" t="str">
        <f t="shared" si="8"/>
        <v>[Equip]</v>
      </c>
      <c r="BL50" t="str">
        <f t="shared" si="9"/>
        <v/>
      </c>
      <c r="BM50" t="str">
        <f t="shared" si="10"/>
        <v>[Historian]</v>
      </c>
      <c r="BN50" t="str">
        <f t="shared" si="11"/>
        <v>[DigAlmName]</v>
      </c>
      <c r="BO50" t="str">
        <f t="shared" si="12"/>
        <v>[Desc]</v>
      </c>
      <c r="BP50" t="str">
        <f t="shared" si="45"/>
        <v/>
      </c>
      <c r="BQ50" t="str">
        <f t="shared" si="46"/>
        <v/>
      </c>
      <c r="BU50" t="str">
        <f t="shared" si="47"/>
        <v/>
      </c>
      <c r="BV50" t="str">
        <f t="shared" si="13"/>
        <v/>
      </c>
      <c r="BW50" t="str">
        <f t="shared" si="14"/>
        <v/>
      </c>
      <c r="BX50" t="str">
        <f t="shared" si="15"/>
        <v/>
      </c>
      <c r="BY50" t="str">
        <f t="shared" si="16"/>
        <v/>
      </c>
      <c r="BZ50" t="str">
        <f t="shared" si="17"/>
        <v/>
      </c>
      <c r="CA50" t="str">
        <f t="shared" si="48"/>
        <v/>
      </c>
      <c r="CB50" t="str">
        <f t="shared" si="18"/>
        <v/>
      </c>
      <c r="CC50" t="str">
        <f t="shared" si="19"/>
        <v/>
      </c>
      <c r="CD50" t="str">
        <f t="shared" si="20"/>
        <v/>
      </c>
      <c r="CE50" t="str">
        <f t="shared" si="21"/>
        <v/>
      </c>
      <c r="CH50" t="str">
        <f t="shared" si="22"/>
        <v/>
      </c>
      <c r="CP50" t="str">
        <f t="shared" si="23"/>
        <v/>
      </c>
      <c r="CV50" t="str">
        <f t="shared" si="24"/>
        <v/>
      </c>
      <c r="CW50" t="str">
        <f t="shared" si="25"/>
        <v/>
      </c>
      <c r="CY50" t="str">
        <f t="shared" si="26"/>
        <v/>
      </c>
      <c r="CZ50" t="str">
        <f t="shared" si="27"/>
        <v/>
      </c>
      <c r="DB50" t="str">
        <f t="shared" si="49"/>
        <v/>
      </c>
      <c r="DE50" t="str">
        <f t="shared" si="50"/>
        <v/>
      </c>
      <c r="DF50" t="str">
        <f t="shared" si="51"/>
        <v/>
      </c>
      <c r="DG50" t="str">
        <f t="shared" si="28"/>
        <v/>
      </c>
      <c r="DH50" t="str">
        <f t="shared" si="29"/>
        <v/>
      </c>
      <c r="DI50" t="str">
        <f t="shared" si="30"/>
        <v/>
      </c>
      <c r="DJ50" t="str">
        <f t="shared" si="31"/>
        <v/>
      </c>
      <c r="DK50" t="str">
        <f t="shared" si="32"/>
        <v/>
      </c>
      <c r="DL50" t="str">
        <f t="shared" si="52"/>
        <v/>
      </c>
      <c r="DT50" t="str">
        <f t="shared" si="53"/>
        <v/>
      </c>
      <c r="DU50" t="str">
        <f t="shared" si="33"/>
        <v/>
      </c>
      <c r="DZ50" t="str">
        <f t="shared" si="34"/>
        <v/>
      </c>
      <c r="EA50" t="str">
        <f t="shared" si="35"/>
        <v/>
      </c>
      <c r="EC50" t="str">
        <f t="shared" si="54"/>
        <v/>
      </c>
      <c r="ED50" t="str">
        <f t="shared" si="55"/>
        <v/>
      </c>
    </row>
    <row r="51" spans="1:134" x14ac:dyDescent="0.3">
      <c r="A51" t="s">
        <v>521</v>
      </c>
      <c r="B51" t="s">
        <v>79</v>
      </c>
      <c r="C51" t="s">
        <v>792</v>
      </c>
      <c r="D51" t="s">
        <v>453</v>
      </c>
      <c r="E51" t="s">
        <v>79</v>
      </c>
      <c r="F51" t="s">
        <v>377</v>
      </c>
      <c r="G51" t="s">
        <v>793</v>
      </c>
      <c r="H51" t="s">
        <v>729</v>
      </c>
      <c r="K51" t="s">
        <v>792</v>
      </c>
      <c r="V51" s="6"/>
      <c r="W51" s="32"/>
      <c r="Y51" t="s">
        <v>932</v>
      </c>
      <c r="AF51" t="s">
        <v>718</v>
      </c>
      <c r="AK51" t="str">
        <f t="shared" si="36"/>
        <v>TXF_NER_RES_FLT_i</v>
      </c>
      <c r="AL51" t="str">
        <f t="shared" si="37"/>
        <v>TXF_NER_RES_FLT_i</v>
      </c>
      <c r="AM51" t="b">
        <f t="shared" si="38"/>
        <v>1</v>
      </c>
      <c r="AN51" t="b">
        <f t="shared" si="0"/>
        <v>0</v>
      </c>
      <c r="AO51" t="b">
        <f t="shared" si="1"/>
        <v>0</v>
      </c>
      <c r="AP51" t="b">
        <f t="shared" si="2"/>
        <v>0</v>
      </c>
      <c r="AQ51" t="str">
        <f t="shared" si="3"/>
        <v>[TagPrefixFull]TXF_NER_RES_FLT_i</v>
      </c>
      <c r="AR51" t="str">
        <f>IF($AM51,VLOOKUP(B51,DataTypeMappings!$A$2:$B$18,2,"FALSE"),"")</f>
        <v>DIGITAL</v>
      </c>
      <c r="AS51" t="str">
        <f t="shared" si="4"/>
        <v>[PLC]</v>
      </c>
      <c r="AT51" t="str">
        <f t="shared" si="5"/>
        <v>LW_SS01_TXF.NER_RES_FLT_i</v>
      </c>
      <c r="AU51" t="str">
        <f t="shared" si="39"/>
        <v/>
      </c>
      <c r="AV51" t="str">
        <f t="shared" si="40"/>
        <v/>
      </c>
      <c r="AW51" t="str">
        <f t="shared" si="41"/>
        <v/>
      </c>
      <c r="AX51" t="str">
        <f t="shared" si="42"/>
        <v/>
      </c>
      <c r="AY51" t="str">
        <f t="shared" si="43"/>
        <v/>
      </c>
      <c r="AZ51" t="str">
        <f t="shared" si="44"/>
        <v/>
      </c>
      <c r="BA51" t="str">
        <f t="shared" si="6"/>
        <v>[Desc] - Transformer Neutral Earthing Resistor Fault</v>
      </c>
      <c r="BJ51" t="str">
        <f t="shared" si="7"/>
        <v>[Cluster]</v>
      </c>
      <c r="BK51" t="str">
        <f t="shared" si="8"/>
        <v>[Equip]</v>
      </c>
      <c r="BL51" t="str">
        <f t="shared" si="9"/>
        <v/>
      </c>
      <c r="BM51" t="str">
        <f t="shared" si="10"/>
        <v>[Historian]</v>
      </c>
      <c r="BN51" t="str">
        <f t="shared" si="11"/>
        <v>[DigAlmName]</v>
      </c>
      <c r="BO51" t="str">
        <f t="shared" si="12"/>
        <v>[Desc]</v>
      </c>
      <c r="BP51" t="str">
        <f t="shared" si="45"/>
        <v/>
      </c>
      <c r="BQ51" t="str">
        <f t="shared" si="46"/>
        <v/>
      </c>
      <c r="BU51" t="str">
        <f t="shared" si="47"/>
        <v/>
      </c>
      <c r="BV51" t="str">
        <f t="shared" si="13"/>
        <v/>
      </c>
      <c r="BW51" t="str">
        <f t="shared" si="14"/>
        <v/>
      </c>
      <c r="BX51" t="str">
        <f t="shared" si="15"/>
        <v/>
      </c>
      <c r="BY51" t="str">
        <f t="shared" si="16"/>
        <v/>
      </c>
      <c r="BZ51" t="str">
        <f t="shared" si="17"/>
        <v/>
      </c>
      <c r="CA51" t="str">
        <f t="shared" si="48"/>
        <v/>
      </c>
      <c r="CB51" t="str">
        <f t="shared" si="18"/>
        <v/>
      </c>
      <c r="CC51" t="str">
        <f t="shared" si="19"/>
        <v/>
      </c>
      <c r="CD51" t="str">
        <f t="shared" si="20"/>
        <v/>
      </c>
      <c r="CE51" t="str">
        <f t="shared" si="21"/>
        <v/>
      </c>
      <c r="CH51" t="str">
        <f t="shared" si="22"/>
        <v/>
      </c>
      <c r="CP51" t="str">
        <f t="shared" si="23"/>
        <v/>
      </c>
      <c r="CV51" t="str">
        <f t="shared" si="24"/>
        <v/>
      </c>
      <c r="CW51" t="str">
        <f t="shared" si="25"/>
        <v/>
      </c>
      <c r="CY51" t="str">
        <f t="shared" si="26"/>
        <v/>
      </c>
      <c r="CZ51" t="str">
        <f t="shared" si="27"/>
        <v/>
      </c>
      <c r="DB51" t="str">
        <f t="shared" si="49"/>
        <v/>
      </c>
      <c r="DE51" t="str">
        <f t="shared" si="50"/>
        <v/>
      </c>
      <c r="DF51" t="str">
        <f t="shared" si="51"/>
        <v/>
      </c>
      <c r="DG51" t="str">
        <f t="shared" si="28"/>
        <v/>
      </c>
      <c r="DH51" t="str">
        <f t="shared" si="29"/>
        <v/>
      </c>
      <c r="DI51" t="str">
        <f t="shared" si="30"/>
        <v/>
      </c>
      <c r="DJ51" t="str">
        <f t="shared" si="31"/>
        <v/>
      </c>
      <c r="DK51" t="str">
        <f t="shared" si="32"/>
        <v/>
      </c>
      <c r="DL51" t="str">
        <f t="shared" si="52"/>
        <v/>
      </c>
      <c r="DT51" t="str">
        <f t="shared" si="53"/>
        <v/>
      </c>
      <c r="DU51" t="str">
        <f t="shared" si="33"/>
        <v/>
      </c>
      <c r="DZ51" t="str">
        <f t="shared" si="34"/>
        <v/>
      </c>
      <c r="EA51" t="str">
        <f t="shared" si="35"/>
        <v/>
      </c>
      <c r="EC51" t="str">
        <f t="shared" si="54"/>
        <v/>
      </c>
      <c r="ED51" t="str">
        <f t="shared" si="55"/>
        <v/>
      </c>
    </row>
    <row r="52" spans="1:134" x14ac:dyDescent="0.3">
      <c r="A52" t="s">
        <v>522</v>
      </c>
      <c r="B52" t="s">
        <v>79</v>
      </c>
      <c r="C52" t="s">
        <v>794</v>
      </c>
      <c r="D52" t="s">
        <v>454</v>
      </c>
      <c r="E52" t="s">
        <v>79</v>
      </c>
      <c r="F52" t="s">
        <v>377</v>
      </c>
      <c r="G52" t="s">
        <v>795</v>
      </c>
      <c r="H52" t="s">
        <v>729</v>
      </c>
      <c r="K52" t="s">
        <v>794</v>
      </c>
      <c r="V52" s="6"/>
      <c r="W52" s="32"/>
      <c r="Y52" t="s">
        <v>933</v>
      </c>
      <c r="AF52" t="s">
        <v>718</v>
      </c>
      <c r="AK52" t="str">
        <f t="shared" si="36"/>
        <v>TXF_NER_MON_HTY_i</v>
      </c>
      <c r="AL52" t="str">
        <f t="shared" si="37"/>
        <v>TXF_NER_MON_HTY_i</v>
      </c>
      <c r="AM52" t="b">
        <f t="shared" si="38"/>
        <v>1</v>
      </c>
      <c r="AN52" t="b">
        <f t="shared" si="0"/>
        <v>0</v>
      </c>
      <c r="AO52" t="b">
        <f t="shared" si="1"/>
        <v>0</v>
      </c>
      <c r="AP52" t="b">
        <f t="shared" si="2"/>
        <v>0</v>
      </c>
      <c r="AQ52" t="str">
        <f t="shared" si="3"/>
        <v>[TagPrefixFull]TXF_NER_MON_HTY_i</v>
      </c>
      <c r="AR52" t="str">
        <f>IF($AM52,VLOOKUP(B52,DataTypeMappings!$A$2:$B$18,2,"FALSE"),"")</f>
        <v>DIGITAL</v>
      </c>
      <c r="AS52" t="str">
        <f t="shared" si="4"/>
        <v>[PLC]</v>
      </c>
      <c r="AT52" t="str">
        <f t="shared" si="5"/>
        <v>LW_SS01_TXF.NER_MON_HTY_i</v>
      </c>
      <c r="AU52" t="str">
        <f t="shared" si="39"/>
        <v/>
      </c>
      <c r="AV52" t="str">
        <f t="shared" si="40"/>
        <v/>
      </c>
      <c r="AW52" t="str">
        <f t="shared" si="41"/>
        <v/>
      </c>
      <c r="AX52" t="str">
        <f t="shared" si="42"/>
        <v/>
      </c>
      <c r="AY52" t="str">
        <f t="shared" si="43"/>
        <v/>
      </c>
      <c r="AZ52" t="str">
        <f t="shared" si="44"/>
        <v/>
      </c>
      <c r="BA52" t="str">
        <f t="shared" si="6"/>
        <v>[Desc] - Transformer Neutral Earthing Monitor Healthy</v>
      </c>
      <c r="BJ52" t="str">
        <f t="shared" si="7"/>
        <v>[Cluster]</v>
      </c>
      <c r="BK52" t="str">
        <f t="shared" si="8"/>
        <v>[Equip]</v>
      </c>
      <c r="BL52" t="str">
        <f t="shared" si="9"/>
        <v/>
      </c>
      <c r="BM52" t="str">
        <f t="shared" si="10"/>
        <v>[Historian]</v>
      </c>
      <c r="BN52" t="str">
        <f t="shared" si="11"/>
        <v>[DigAlmName]</v>
      </c>
      <c r="BO52" t="str">
        <f t="shared" si="12"/>
        <v>[Desc]</v>
      </c>
      <c r="BP52" t="str">
        <f t="shared" si="45"/>
        <v/>
      </c>
      <c r="BQ52" t="str">
        <f t="shared" si="46"/>
        <v/>
      </c>
      <c r="BU52" t="str">
        <f t="shared" si="47"/>
        <v/>
      </c>
      <c r="BV52" t="str">
        <f t="shared" si="13"/>
        <v/>
      </c>
      <c r="BW52" t="str">
        <f t="shared" si="14"/>
        <v/>
      </c>
      <c r="BX52" t="str">
        <f t="shared" si="15"/>
        <v/>
      </c>
      <c r="BY52" t="str">
        <f t="shared" si="16"/>
        <v/>
      </c>
      <c r="BZ52" t="str">
        <f t="shared" si="17"/>
        <v/>
      </c>
      <c r="CA52" t="str">
        <f t="shared" si="48"/>
        <v/>
      </c>
      <c r="CB52" t="str">
        <f t="shared" si="18"/>
        <v/>
      </c>
      <c r="CC52" t="str">
        <f t="shared" si="19"/>
        <v/>
      </c>
      <c r="CD52" t="str">
        <f t="shared" si="20"/>
        <v/>
      </c>
      <c r="CE52" t="str">
        <f t="shared" si="21"/>
        <v/>
      </c>
      <c r="CH52" t="str">
        <f t="shared" si="22"/>
        <v/>
      </c>
      <c r="CP52" t="str">
        <f t="shared" si="23"/>
        <v/>
      </c>
      <c r="CV52" t="str">
        <f t="shared" si="24"/>
        <v/>
      </c>
      <c r="CW52" t="str">
        <f t="shared" si="25"/>
        <v/>
      </c>
      <c r="CY52" t="str">
        <f t="shared" si="26"/>
        <v/>
      </c>
      <c r="CZ52" t="str">
        <f t="shared" si="27"/>
        <v/>
      </c>
      <c r="DB52" t="str">
        <f t="shared" si="49"/>
        <v/>
      </c>
      <c r="DE52" t="str">
        <f t="shared" si="50"/>
        <v/>
      </c>
      <c r="DF52" t="str">
        <f t="shared" si="51"/>
        <v/>
      </c>
      <c r="DG52" t="str">
        <f t="shared" si="28"/>
        <v/>
      </c>
      <c r="DH52" t="str">
        <f t="shared" si="29"/>
        <v/>
      </c>
      <c r="DI52" t="str">
        <f t="shared" si="30"/>
        <v/>
      </c>
      <c r="DJ52" t="str">
        <f t="shared" si="31"/>
        <v/>
      </c>
      <c r="DK52" t="str">
        <f t="shared" si="32"/>
        <v/>
      </c>
      <c r="DL52" t="str">
        <f t="shared" si="52"/>
        <v/>
      </c>
      <c r="DT52" t="str">
        <f t="shared" si="53"/>
        <v/>
      </c>
      <c r="DU52" t="str">
        <f t="shared" si="33"/>
        <v/>
      </c>
      <c r="DZ52" t="str">
        <f t="shared" si="34"/>
        <v/>
      </c>
      <c r="EA52" t="str">
        <f t="shared" si="35"/>
        <v/>
      </c>
      <c r="EC52" t="str">
        <f t="shared" si="54"/>
        <v/>
      </c>
      <c r="ED52" t="str">
        <f t="shared" si="55"/>
        <v/>
      </c>
    </row>
    <row r="53" spans="1:134" x14ac:dyDescent="0.3">
      <c r="A53" t="s">
        <v>523</v>
      </c>
      <c r="B53" t="s">
        <v>79</v>
      </c>
      <c r="C53" t="s">
        <v>762</v>
      </c>
      <c r="D53" t="s">
        <v>455</v>
      </c>
      <c r="E53" t="s">
        <v>79</v>
      </c>
      <c r="F53" t="s">
        <v>377</v>
      </c>
      <c r="G53" t="s">
        <v>456</v>
      </c>
      <c r="H53" t="s">
        <v>729</v>
      </c>
      <c r="K53" t="s">
        <v>762</v>
      </c>
      <c r="V53" s="6"/>
      <c r="W53" s="32"/>
      <c r="Y53" t="s">
        <v>934</v>
      </c>
      <c r="AF53" t="s">
        <v>718</v>
      </c>
      <c r="AK53" t="str">
        <f t="shared" si="36"/>
        <v>TXF_REM_MD_i</v>
      </c>
      <c r="AL53" t="str">
        <f t="shared" si="37"/>
        <v>TXF_REM_MD_i</v>
      </c>
      <c r="AM53" t="b">
        <f t="shared" si="38"/>
        <v>1</v>
      </c>
      <c r="AN53" t="b">
        <f t="shared" si="0"/>
        <v>0</v>
      </c>
      <c r="AO53" t="b">
        <f t="shared" si="1"/>
        <v>0</v>
      </c>
      <c r="AP53" t="b">
        <f t="shared" si="2"/>
        <v>0</v>
      </c>
      <c r="AQ53" t="str">
        <f t="shared" si="3"/>
        <v>[TagPrefixFull]TXF_REM_MD_i</v>
      </c>
      <c r="AR53" t="str">
        <f>IF($AM53,VLOOKUP(B53,DataTypeMappings!$A$2:$B$18,2,"FALSE"),"")</f>
        <v>DIGITAL</v>
      </c>
      <c r="AS53" t="str">
        <f t="shared" si="4"/>
        <v>[PLC]</v>
      </c>
      <c r="AT53" t="str">
        <f t="shared" si="5"/>
        <v>LW_SS01_TXF.REM_MD_i</v>
      </c>
      <c r="AU53" t="str">
        <f t="shared" si="39"/>
        <v/>
      </c>
      <c r="AV53" t="str">
        <f t="shared" si="40"/>
        <v/>
      </c>
      <c r="AW53" t="str">
        <f t="shared" si="41"/>
        <v/>
      </c>
      <c r="AX53" t="str">
        <f t="shared" si="42"/>
        <v/>
      </c>
      <c r="AY53" t="str">
        <f t="shared" si="43"/>
        <v/>
      </c>
      <c r="AZ53" t="str">
        <f t="shared" si="44"/>
        <v/>
      </c>
      <c r="BA53" t="str">
        <f t="shared" si="6"/>
        <v>[Desc] - Transformer Pendant/HMI Switch in Pendant Mode</v>
      </c>
      <c r="BJ53" t="str">
        <f t="shared" si="7"/>
        <v>[Cluster]</v>
      </c>
      <c r="BK53" t="str">
        <f t="shared" si="8"/>
        <v>[Equip]</v>
      </c>
      <c r="BL53" t="str">
        <f t="shared" si="9"/>
        <v/>
      </c>
      <c r="BM53" t="str">
        <f t="shared" si="10"/>
        <v>[Historian]</v>
      </c>
      <c r="BN53" t="str">
        <f t="shared" si="11"/>
        <v>[DigAlmName]</v>
      </c>
      <c r="BO53" t="str">
        <f t="shared" si="12"/>
        <v>[Desc]</v>
      </c>
      <c r="BP53" t="str">
        <f t="shared" si="45"/>
        <v/>
      </c>
      <c r="BQ53" t="str">
        <f t="shared" si="46"/>
        <v/>
      </c>
      <c r="BU53" t="str">
        <f t="shared" si="47"/>
        <v/>
      </c>
      <c r="BV53" t="str">
        <f t="shared" si="13"/>
        <v/>
      </c>
      <c r="BW53" t="str">
        <f t="shared" si="14"/>
        <v/>
      </c>
      <c r="BX53" t="str">
        <f t="shared" si="15"/>
        <v/>
      </c>
      <c r="BY53" t="str">
        <f t="shared" si="16"/>
        <v/>
      </c>
      <c r="BZ53" t="str">
        <f t="shared" si="17"/>
        <v/>
      </c>
      <c r="CA53" t="str">
        <f t="shared" si="48"/>
        <v/>
      </c>
      <c r="CB53" t="str">
        <f t="shared" si="18"/>
        <v/>
      </c>
      <c r="CC53" t="str">
        <f t="shared" si="19"/>
        <v/>
      </c>
      <c r="CD53" t="str">
        <f t="shared" si="20"/>
        <v/>
      </c>
      <c r="CE53" t="str">
        <f t="shared" si="21"/>
        <v/>
      </c>
      <c r="CH53" t="str">
        <f t="shared" si="22"/>
        <v/>
      </c>
      <c r="CP53" t="str">
        <f t="shared" si="23"/>
        <v/>
      </c>
      <c r="CV53" t="str">
        <f t="shared" si="24"/>
        <v/>
      </c>
      <c r="CW53" t="str">
        <f t="shared" si="25"/>
        <v/>
      </c>
      <c r="CY53" t="str">
        <f t="shared" si="26"/>
        <v/>
      </c>
      <c r="CZ53" t="str">
        <f t="shared" si="27"/>
        <v/>
      </c>
      <c r="DB53" t="str">
        <f t="shared" si="49"/>
        <v/>
      </c>
      <c r="DE53" t="str">
        <f t="shared" si="50"/>
        <v/>
      </c>
      <c r="DF53" t="str">
        <f t="shared" si="51"/>
        <v/>
      </c>
      <c r="DG53" t="str">
        <f t="shared" si="28"/>
        <v/>
      </c>
      <c r="DH53" t="str">
        <f t="shared" si="29"/>
        <v/>
      </c>
      <c r="DI53" t="str">
        <f t="shared" si="30"/>
        <v/>
      </c>
      <c r="DJ53" t="str">
        <f t="shared" si="31"/>
        <v/>
      </c>
      <c r="DK53" t="str">
        <f t="shared" si="32"/>
        <v/>
      </c>
      <c r="DL53" t="str">
        <f t="shared" si="52"/>
        <v/>
      </c>
      <c r="DT53" t="str">
        <f t="shared" si="53"/>
        <v/>
      </c>
      <c r="DU53" t="str">
        <f t="shared" si="33"/>
        <v/>
      </c>
      <c r="DZ53" t="str">
        <f t="shared" si="34"/>
        <v/>
      </c>
      <c r="EA53" t="str">
        <f t="shared" si="35"/>
        <v/>
      </c>
      <c r="EC53" t="str">
        <f t="shared" si="54"/>
        <v/>
      </c>
      <c r="ED53" t="str">
        <f t="shared" si="55"/>
        <v/>
      </c>
    </row>
    <row r="54" spans="1:134" x14ac:dyDescent="0.3">
      <c r="A54" t="s">
        <v>524</v>
      </c>
      <c r="B54" t="s">
        <v>79</v>
      </c>
      <c r="C54" t="s">
        <v>763</v>
      </c>
      <c r="D54" t="s">
        <v>457</v>
      </c>
      <c r="E54" t="s">
        <v>79</v>
      </c>
      <c r="F54" t="s">
        <v>377</v>
      </c>
      <c r="G54" t="s">
        <v>458</v>
      </c>
      <c r="H54" t="s">
        <v>729</v>
      </c>
      <c r="K54" t="s">
        <v>763</v>
      </c>
      <c r="V54" s="6"/>
      <c r="W54" s="32"/>
      <c r="Y54" t="s">
        <v>935</v>
      </c>
      <c r="AF54" t="s">
        <v>718</v>
      </c>
      <c r="AK54" t="str">
        <f t="shared" si="36"/>
        <v>TXF_CB_UV_TRP_RLY_HTY_i</v>
      </c>
      <c r="AL54" t="str">
        <f t="shared" si="37"/>
        <v>TXF_CB_UV_TRP_RLY_HTY_i</v>
      </c>
      <c r="AM54" t="b">
        <f t="shared" si="38"/>
        <v>1</v>
      </c>
      <c r="AN54" t="b">
        <f t="shared" si="0"/>
        <v>0</v>
      </c>
      <c r="AO54" t="b">
        <f t="shared" si="1"/>
        <v>0</v>
      </c>
      <c r="AP54" t="b">
        <f t="shared" si="2"/>
        <v>0</v>
      </c>
      <c r="AQ54" t="str">
        <f t="shared" si="3"/>
        <v>[TagPrefixFull]TXF_CB_UV_TRP_RLY_HTY_i</v>
      </c>
      <c r="AR54" t="str">
        <f>IF($AM54,VLOOKUP(B54,DataTypeMappings!$A$2:$B$18,2,"FALSE"),"")</f>
        <v>DIGITAL</v>
      </c>
      <c r="AS54" t="str">
        <f t="shared" si="4"/>
        <v>[PLC]</v>
      </c>
      <c r="AT54" t="str">
        <f t="shared" si="5"/>
        <v>LW_SS01_TXF.CB_UV_TRP_RLY_HTY_i</v>
      </c>
      <c r="AU54" t="str">
        <f t="shared" si="39"/>
        <v/>
      </c>
      <c r="AV54" t="str">
        <f t="shared" si="40"/>
        <v/>
      </c>
      <c r="AW54" t="str">
        <f t="shared" si="41"/>
        <v/>
      </c>
      <c r="AX54" t="str">
        <f t="shared" si="42"/>
        <v/>
      </c>
      <c r="AY54" t="str">
        <f t="shared" si="43"/>
        <v/>
      </c>
      <c r="AZ54" t="str">
        <f t="shared" si="44"/>
        <v/>
      </c>
      <c r="BA54" t="str">
        <f t="shared" si="6"/>
        <v>[Desc] - Transformer CB Trip Relay 1 (UV) Healthy</v>
      </c>
      <c r="BJ54" t="str">
        <f t="shared" si="7"/>
        <v>[Cluster]</v>
      </c>
      <c r="BK54" t="str">
        <f t="shared" si="8"/>
        <v>[Equip]</v>
      </c>
      <c r="BL54" t="str">
        <f t="shared" si="9"/>
        <v/>
      </c>
      <c r="BM54" t="str">
        <f t="shared" si="10"/>
        <v>[Historian]</v>
      </c>
      <c r="BN54" t="str">
        <f t="shared" si="11"/>
        <v>[DigAlmName]</v>
      </c>
      <c r="BO54" t="str">
        <f t="shared" si="12"/>
        <v>[Desc]</v>
      </c>
      <c r="BP54" t="str">
        <f t="shared" si="45"/>
        <v/>
      </c>
      <c r="BQ54" t="str">
        <f t="shared" si="46"/>
        <v/>
      </c>
      <c r="BU54" t="str">
        <f t="shared" si="47"/>
        <v/>
      </c>
      <c r="BV54" t="str">
        <f t="shared" si="13"/>
        <v/>
      </c>
      <c r="BW54" t="str">
        <f t="shared" si="14"/>
        <v/>
      </c>
      <c r="BX54" t="str">
        <f t="shared" si="15"/>
        <v/>
      </c>
      <c r="BY54" t="str">
        <f t="shared" si="16"/>
        <v/>
      </c>
      <c r="BZ54" t="str">
        <f t="shared" si="17"/>
        <v/>
      </c>
      <c r="CA54" t="str">
        <f t="shared" si="48"/>
        <v/>
      </c>
      <c r="CB54" t="str">
        <f t="shared" si="18"/>
        <v/>
      </c>
      <c r="CC54" t="str">
        <f t="shared" si="19"/>
        <v/>
      </c>
      <c r="CD54" t="str">
        <f t="shared" si="20"/>
        <v/>
      </c>
      <c r="CE54" t="str">
        <f t="shared" si="21"/>
        <v/>
      </c>
      <c r="CH54" t="str">
        <f t="shared" si="22"/>
        <v/>
      </c>
      <c r="CP54" t="str">
        <f t="shared" si="23"/>
        <v/>
      </c>
      <c r="CV54" t="str">
        <f t="shared" si="24"/>
        <v/>
      </c>
      <c r="CW54" t="str">
        <f t="shared" si="25"/>
        <v/>
      </c>
      <c r="CY54" t="str">
        <f t="shared" si="26"/>
        <v/>
      </c>
      <c r="CZ54" t="str">
        <f t="shared" si="27"/>
        <v/>
      </c>
      <c r="DB54" t="str">
        <f t="shared" si="49"/>
        <v/>
      </c>
      <c r="DE54" t="str">
        <f t="shared" si="50"/>
        <v/>
      </c>
      <c r="DF54" t="str">
        <f t="shared" si="51"/>
        <v/>
      </c>
      <c r="DG54" t="str">
        <f t="shared" si="28"/>
        <v/>
      </c>
      <c r="DH54" t="str">
        <f t="shared" si="29"/>
        <v/>
      </c>
      <c r="DI54" t="str">
        <f t="shared" si="30"/>
        <v/>
      </c>
      <c r="DJ54" t="str">
        <f t="shared" si="31"/>
        <v/>
      </c>
      <c r="DK54" t="str">
        <f t="shared" si="32"/>
        <v/>
      </c>
      <c r="DL54" t="str">
        <f t="shared" si="52"/>
        <v/>
      </c>
      <c r="DT54" t="str">
        <f t="shared" si="53"/>
        <v/>
      </c>
      <c r="DU54" t="str">
        <f t="shared" si="33"/>
        <v/>
      </c>
      <c r="DZ54" t="str">
        <f t="shared" si="34"/>
        <v/>
      </c>
      <c r="EA54" t="str">
        <f t="shared" si="35"/>
        <v/>
      </c>
      <c r="EC54" t="str">
        <f t="shared" si="54"/>
        <v/>
      </c>
      <c r="ED54" t="str">
        <f t="shared" si="55"/>
        <v/>
      </c>
    </row>
    <row r="55" spans="1:134" x14ac:dyDescent="0.3">
      <c r="A55" t="s">
        <v>525</v>
      </c>
      <c r="B55" t="s">
        <v>79</v>
      </c>
      <c r="C55" t="s">
        <v>764</v>
      </c>
      <c r="D55" t="s">
        <v>459</v>
      </c>
      <c r="E55" t="s">
        <v>79</v>
      </c>
      <c r="F55" t="s">
        <v>377</v>
      </c>
      <c r="G55" t="s">
        <v>460</v>
      </c>
      <c r="H55" t="s">
        <v>729</v>
      </c>
      <c r="K55" t="s">
        <v>764</v>
      </c>
      <c r="V55" s="6"/>
      <c r="W55" s="32"/>
      <c r="Y55" t="s">
        <v>936</v>
      </c>
      <c r="AF55" t="s">
        <v>718</v>
      </c>
      <c r="AK55" t="str">
        <f t="shared" si="36"/>
        <v>TXF_CB_ST_TRP_RLY_HTY_i</v>
      </c>
      <c r="AL55" t="str">
        <f t="shared" si="37"/>
        <v>TXF_CB_ST_TRP_RLY_HTY_i</v>
      </c>
      <c r="AM55" t="b">
        <f t="shared" si="38"/>
        <v>1</v>
      </c>
      <c r="AN55" t="b">
        <f t="shared" si="0"/>
        <v>0</v>
      </c>
      <c r="AO55" t="b">
        <f t="shared" si="1"/>
        <v>0</v>
      </c>
      <c r="AP55" t="b">
        <f t="shared" si="2"/>
        <v>0</v>
      </c>
      <c r="AQ55" t="str">
        <f t="shared" si="3"/>
        <v>[TagPrefixFull]TXF_CB_ST_TRP_RLY_HTY_i</v>
      </c>
      <c r="AR55" t="str">
        <f>IF($AM55,VLOOKUP(B55,DataTypeMappings!$A$2:$B$18,2,"FALSE"),"")</f>
        <v>DIGITAL</v>
      </c>
      <c r="AS55" t="str">
        <f t="shared" si="4"/>
        <v>[PLC]</v>
      </c>
      <c r="AT55" t="str">
        <f t="shared" si="5"/>
        <v>LW_SS01_TXF.CB_ST_TRP_RLY_HTY_i</v>
      </c>
      <c r="AU55" t="str">
        <f t="shared" si="39"/>
        <v/>
      </c>
      <c r="AV55" t="str">
        <f t="shared" si="40"/>
        <v/>
      </c>
      <c r="AW55" t="str">
        <f t="shared" si="41"/>
        <v/>
      </c>
      <c r="AX55" t="str">
        <f t="shared" si="42"/>
        <v/>
      </c>
      <c r="AY55" t="str">
        <f t="shared" si="43"/>
        <v/>
      </c>
      <c r="AZ55" t="str">
        <f t="shared" si="44"/>
        <v/>
      </c>
      <c r="BA55" t="str">
        <f t="shared" si="6"/>
        <v>[Desc] - Transformer CB Trip Relay 2 (ST) Healthy</v>
      </c>
      <c r="BJ55" t="str">
        <f t="shared" si="7"/>
        <v>[Cluster]</v>
      </c>
      <c r="BK55" t="str">
        <f t="shared" si="8"/>
        <v>[Equip]</v>
      </c>
      <c r="BL55" t="str">
        <f t="shared" si="9"/>
        <v/>
      </c>
      <c r="BM55" t="str">
        <f t="shared" si="10"/>
        <v>[Historian]</v>
      </c>
      <c r="BN55" t="str">
        <f t="shared" si="11"/>
        <v>[DigAlmName]</v>
      </c>
      <c r="BO55" t="str">
        <f t="shared" si="12"/>
        <v>[Desc]</v>
      </c>
      <c r="BP55" t="str">
        <f t="shared" si="45"/>
        <v/>
      </c>
      <c r="BQ55" t="str">
        <f t="shared" si="46"/>
        <v/>
      </c>
      <c r="BU55" t="str">
        <f t="shared" si="47"/>
        <v/>
      </c>
      <c r="BV55" t="str">
        <f t="shared" si="13"/>
        <v/>
      </c>
      <c r="BW55" t="str">
        <f t="shared" si="14"/>
        <v/>
      </c>
      <c r="BX55" t="str">
        <f t="shared" si="15"/>
        <v/>
      </c>
      <c r="BY55" t="str">
        <f t="shared" si="16"/>
        <v/>
      </c>
      <c r="BZ55" t="str">
        <f t="shared" si="17"/>
        <v/>
      </c>
      <c r="CA55" t="str">
        <f t="shared" si="48"/>
        <v/>
      </c>
      <c r="CB55" t="str">
        <f t="shared" si="18"/>
        <v/>
      </c>
      <c r="CC55" t="str">
        <f t="shared" si="19"/>
        <v/>
      </c>
      <c r="CD55" t="str">
        <f t="shared" si="20"/>
        <v/>
      </c>
      <c r="CE55" t="str">
        <f t="shared" si="21"/>
        <v/>
      </c>
      <c r="CH55" t="str">
        <f t="shared" si="22"/>
        <v/>
      </c>
      <c r="CP55" t="str">
        <f t="shared" si="23"/>
        <v/>
      </c>
      <c r="CV55" t="str">
        <f t="shared" si="24"/>
        <v/>
      </c>
      <c r="CW55" t="str">
        <f t="shared" si="25"/>
        <v/>
      </c>
      <c r="CY55" t="str">
        <f t="shared" si="26"/>
        <v/>
      </c>
      <c r="CZ55" t="str">
        <f t="shared" si="27"/>
        <v/>
      </c>
      <c r="DB55" t="str">
        <f t="shared" si="49"/>
        <v/>
      </c>
      <c r="DE55" t="str">
        <f t="shared" si="50"/>
        <v/>
      </c>
      <c r="DF55" t="str">
        <f t="shared" si="51"/>
        <v/>
      </c>
      <c r="DG55" t="str">
        <f t="shared" si="28"/>
        <v/>
      </c>
      <c r="DH55" t="str">
        <f t="shared" si="29"/>
        <v/>
      </c>
      <c r="DI55" t="str">
        <f t="shared" si="30"/>
        <v/>
      </c>
      <c r="DJ55" t="str">
        <f t="shared" si="31"/>
        <v/>
      </c>
      <c r="DK55" t="str">
        <f t="shared" si="32"/>
        <v/>
      </c>
      <c r="DL55" t="str">
        <f t="shared" si="52"/>
        <v/>
      </c>
      <c r="DT55" t="str">
        <f t="shared" si="53"/>
        <v/>
      </c>
      <c r="DU55" t="str">
        <f t="shared" si="33"/>
        <v/>
      </c>
      <c r="DZ55" t="str">
        <f t="shared" si="34"/>
        <v/>
      </c>
      <c r="EA55" t="str">
        <f t="shared" si="35"/>
        <v/>
      </c>
      <c r="EC55" t="str">
        <f t="shared" si="54"/>
        <v/>
      </c>
      <c r="ED55" t="str">
        <f t="shared" si="55"/>
        <v/>
      </c>
    </row>
    <row r="56" spans="1:134" x14ac:dyDescent="0.3">
      <c r="A56" t="s">
        <v>573</v>
      </c>
      <c r="B56" t="s">
        <v>79</v>
      </c>
      <c r="C56" t="s">
        <v>765</v>
      </c>
      <c r="D56" t="s">
        <v>461</v>
      </c>
      <c r="E56" t="s">
        <v>79</v>
      </c>
      <c r="F56" t="s">
        <v>377</v>
      </c>
      <c r="G56" t="s">
        <v>765</v>
      </c>
      <c r="H56" t="s">
        <v>729</v>
      </c>
      <c r="K56" t="s">
        <v>765</v>
      </c>
      <c r="V56" s="6"/>
      <c r="W56" s="32"/>
      <c r="Y56" t="s">
        <v>937</v>
      </c>
      <c r="AF56" t="s">
        <v>718</v>
      </c>
      <c r="AK56" t="str">
        <f t="shared" si="36"/>
        <v>TXF_Tank_Under_Press_i</v>
      </c>
      <c r="AL56" t="str">
        <f t="shared" si="37"/>
        <v>TXF_Tank_Under_Press_i</v>
      </c>
      <c r="AM56" t="b">
        <f t="shared" si="38"/>
        <v>1</v>
      </c>
      <c r="AN56" t="b">
        <f t="shared" si="0"/>
        <v>0</v>
      </c>
      <c r="AO56" t="b">
        <f t="shared" si="1"/>
        <v>0</v>
      </c>
      <c r="AP56" t="b">
        <f t="shared" si="2"/>
        <v>0</v>
      </c>
      <c r="AQ56" t="str">
        <f t="shared" si="3"/>
        <v>[TagPrefixFull]TXF_Tank_Under_Press_i</v>
      </c>
      <c r="AR56" t="str">
        <f>IF($AM56,VLOOKUP(B56,DataTypeMappings!$A$2:$B$18,2,"FALSE"),"")</f>
        <v>DIGITAL</v>
      </c>
      <c r="AS56" t="str">
        <f t="shared" si="4"/>
        <v>[PLC]</v>
      </c>
      <c r="AT56" t="str">
        <f t="shared" si="5"/>
        <v>LW_SS01_TXF.TANK_UNDER_PRESS_i</v>
      </c>
      <c r="AU56" t="str">
        <f t="shared" si="39"/>
        <v/>
      </c>
      <c r="AV56" t="str">
        <f t="shared" si="40"/>
        <v/>
      </c>
      <c r="AW56" t="str">
        <f t="shared" si="41"/>
        <v/>
      </c>
      <c r="AX56" t="str">
        <f t="shared" si="42"/>
        <v/>
      </c>
      <c r="AY56" t="str">
        <f t="shared" si="43"/>
        <v/>
      </c>
      <c r="AZ56" t="str">
        <f t="shared" si="44"/>
        <v/>
      </c>
      <c r="BA56" t="str">
        <f t="shared" si="6"/>
        <v>[Desc] - Transformer Underpresssure (&lt;2kPA) Trip Input</v>
      </c>
      <c r="BJ56" t="str">
        <f t="shared" si="7"/>
        <v>[Cluster]</v>
      </c>
      <c r="BK56" t="str">
        <f t="shared" si="8"/>
        <v>[Equip]</v>
      </c>
      <c r="BL56" t="str">
        <f t="shared" si="9"/>
        <v/>
      </c>
      <c r="BM56" t="str">
        <f t="shared" si="10"/>
        <v>[Historian]</v>
      </c>
      <c r="BN56" t="str">
        <f t="shared" si="11"/>
        <v>[DigAlmName]</v>
      </c>
      <c r="BO56" t="str">
        <f t="shared" si="12"/>
        <v>[Desc]</v>
      </c>
      <c r="BP56" t="str">
        <f t="shared" si="45"/>
        <v/>
      </c>
      <c r="BQ56" t="str">
        <f t="shared" si="46"/>
        <v/>
      </c>
      <c r="BU56" t="str">
        <f t="shared" si="47"/>
        <v/>
      </c>
      <c r="BV56" t="str">
        <f t="shared" si="13"/>
        <v/>
      </c>
      <c r="BW56" t="str">
        <f t="shared" si="14"/>
        <v/>
      </c>
      <c r="BX56" t="str">
        <f t="shared" si="15"/>
        <v/>
      </c>
      <c r="BY56" t="str">
        <f t="shared" si="16"/>
        <v/>
      </c>
      <c r="BZ56" t="str">
        <f t="shared" si="17"/>
        <v/>
      </c>
      <c r="CA56" t="str">
        <f t="shared" si="48"/>
        <v/>
      </c>
      <c r="CB56" t="str">
        <f t="shared" si="18"/>
        <v/>
      </c>
      <c r="CC56" t="str">
        <f t="shared" si="19"/>
        <v/>
      </c>
      <c r="CD56" t="str">
        <f t="shared" si="20"/>
        <v/>
      </c>
      <c r="CE56" t="str">
        <f t="shared" si="21"/>
        <v/>
      </c>
      <c r="CH56" t="str">
        <f t="shared" si="22"/>
        <v/>
      </c>
      <c r="CP56" t="str">
        <f t="shared" si="23"/>
        <v/>
      </c>
      <c r="CV56" t="str">
        <f t="shared" si="24"/>
        <v/>
      </c>
      <c r="CW56" t="str">
        <f t="shared" si="25"/>
        <v/>
      </c>
      <c r="CY56" t="str">
        <f t="shared" si="26"/>
        <v/>
      </c>
      <c r="CZ56" t="str">
        <f t="shared" si="27"/>
        <v/>
      </c>
      <c r="DB56" t="str">
        <f t="shared" si="49"/>
        <v/>
      </c>
      <c r="DE56" t="str">
        <f t="shared" si="50"/>
        <v/>
      </c>
      <c r="DF56" t="str">
        <f t="shared" si="51"/>
        <v/>
      </c>
      <c r="DG56" t="str">
        <f t="shared" si="28"/>
        <v/>
      </c>
      <c r="DH56" t="str">
        <f t="shared" si="29"/>
        <v/>
      </c>
      <c r="DI56" t="str">
        <f t="shared" si="30"/>
        <v/>
      </c>
      <c r="DJ56" t="str">
        <f t="shared" si="31"/>
        <v/>
      </c>
      <c r="DK56" t="str">
        <f t="shared" si="32"/>
        <v/>
      </c>
      <c r="DL56" t="str">
        <f t="shared" si="52"/>
        <v/>
      </c>
      <c r="DT56" t="str">
        <f t="shared" si="53"/>
        <v/>
      </c>
      <c r="DU56" t="str">
        <f t="shared" si="33"/>
        <v/>
      </c>
      <c r="DZ56" t="str">
        <f t="shared" si="34"/>
        <v/>
      </c>
      <c r="EA56" t="str">
        <f t="shared" si="35"/>
        <v/>
      </c>
      <c r="EC56" t="str">
        <f t="shared" si="54"/>
        <v/>
      </c>
      <c r="ED56" t="str">
        <f t="shared" si="55"/>
        <v/>
      </c>
    </row>
    <row r="57" spans="1:134" x14ac:dyDescent="0.3">
      <c r="A57" t="s">
        <v>574</v>
      </c>
      <c r="B57" t="s">
        <v>79</v>
      </c>
      <c r="C57" t="s">
        <v>766</v>
      </c>
      <c r="D57" t="s">
        <v>462</v>
      </c>
      <c r="E57" t="s">
        <v>79</v>
      </c>
      <c r="F57" t="s">
        <v>377</v>
      </c>
      <c r="G57" t="s">
        <v>766</v>
      </c>
      <c r="H57" t="s">
        <v>729</v>
      </c>
      <c r="K57" t="s">
        <v>766</v>
      </c>
      <c r="V57" s="6"/>
      <c r="W57" s="32"/>
      <c r="Y57" t="s">
        <v>938</v>
      </c>
      <c r="AF57" t="s">
        <v>718</v>
      </c>
      <c r="AK57" t="str">
        <f t="shared" si="36"/>
        <v>TXF_Tank_Over_Press_i</v>
      </c>
      <c r="AL57" t="str">
        <f t="shared" si="37"/>
        <v>TXF_Tank_Over_Press_i</v>
      </c>
      <c r="AM57" t="b">
        <f t="shared" si="38"/>
        <v>1</v>
      </c>
      <c r="AN57" t="b">
        <f t="shared" si="0"/>
        <v>0</v>
      </c>
      <c r="AO57" t="b">
        <f t="shared" si="1"/>
        <v>0</v>
      </c>
      <c r="AP57" t="b">
        <f t="shared" si="2"/>
        <v>0</v>
      </c>
      <c r="AQ57" t="str">
        <f t="shared" si="3"/>
        <v>[TagPrefixFull]TXF_Tank_Over_Press_i</v>
      </c>
      <c r="AR57" t="str">
        <f>IF($AM57,VLOOKUP(B57,DataTypeMappings!$A$2:$B$18,2,"FALSE"),"")</f>
        <v>DIGITAL</v>
      </c>
      <c r="AS57" t="str">
        <f t="shared" si="4"/>
        <v>[PLC]</v>
      </c>
      <c r="AT57" t="str">
        <f t="shared" si="5"/>
        <v>LW_SS01_TXF.TANK_OVER_PRESS_i</v>
      </c>
      <c r="AU57" t="str">
        <f t="shared" si="39"/>
        <v/>
      </c>
      <c r="AV57" t="str">
        <f t="shared" si="40"/>
        <v/>
      </c>
      <c r="AW57" t="str">
        <f t="shared" si="41"/>
        <v/>
      </c>
      <c r="AX57" t="str">
        <f t="shared" si="42"/>
        <v/>
      </c>
      <c r="AY57" t="str">
        <f t="shared" si="43"/>
        <v/>
      </c>
      <c r="AZ57" t="str">
        <f t="shared" si="44"/>
        <v/>
      </c>
      <c r="BA57" t="str">
        <f t="shared" si="6"/>
        <v>[Desc] - Transformer Overpresssure (&gt;51kPA) Trip Input</v>
      </c>
      <c r="BJ57" t="str">
        <f t="shared" si="7"/>
        <v>[Cluster]</v>
      </c>
      <c r="BK57" t="str">
        <f t="shared" si="8"/>
        <v>[Equip]</v>
      </c>
      <c r="BL57" t="str">
        <f t="shared" si="9"/>
        <v/>
      </c>
      <c r="BM57" t="str">
        <f t="shared" si="10"/>
        <v>[Historian]</v>
      </c>
      <c r="BN57" t="str">
        <f t="shared" si="11"/>
        <v>[DigAlmName]</v>
      </c>
      <c r="BO57" t="str">
        <f t="shared" si="12"/>
        <v>[Desc]</v>
      </c>
      <c r="BP57" t="str">
        <f t="shared" si="45"/>
        <v/>
      </c>
      <c r="BQ57" t="str">
        <f t="shared" si="46"/>
        <v/>
      </c>
      <c r="BU57" t="str">
        <f t="shared" si="47"/>
        <v/>
      </c>
      <c r="BV57" t="str">
        <f t="shared" si="13"/>
        <v/>
      </c>
      <c r="BW57" t="str">
        <f t="shared" si="14"/>
        <v/>
      </c>
      <c r="BX57" t="str">
        <f t="shared" si="15"/>
        <v/>
      </c>
      <c r="BY57" t="str">
        <f t="shared" si="16"/>
        <v/>
      </c>
      <c r="BZ57" t="str">
        <f t="shared" si="17"/>
        <v/>
      </c>
      <c r="CA57" t="str">
        <f t="shared" si="48"/>
        <v/>
      </c>
      <c r="CB57" t="str">
        <f t="shared" si="18"/>
        <v/>
      </c>
      <c r="CC57" t="str">
        <f t="shared" si="19"/>
        <v/>
      </c>
      <c r="CD57" t="str">
        <f t="shared" si="20"/>
        <v/>
      </c>
      <c r="CE57" t="str">
        <f t="shared" si="21"/>
        <v/>
      </c>
      <c r="CH57" t="str">
        <f t="shared" si="22"/>
        <v/>
      </c>
      <c r="CP57" t="str">
        <f t="shared" si="23"/>
        <v/>
      </c>
      <c r="CV57" t="str">
        <f t="shared" si="24"/>
        <v/>
      </c>
      <c r="CW57" t="str">
        <f t="shared" si="25"/>
        <v/>
      </c>
      <c r="CY57" t="str">
        <f t="shared" si="26"/>
        <v/>
      </c>
      <c r="CZ57" t="str">
        <f t="shared" si="27"/>
        <v/>
      </c>
      <c r="DB57" t="str">
        <f t="shared" si="49"/>
        <v/>
      </c>
      <c r="DE57" t="str">
        <f t="shared" si="50"/>
        <v/>
      </c>
      <c r="DF57" t="str">
        <f t="shared" si="51"/>
        <v/>
      </c>
      <c r="DG57" t="str">
        <f t="shared" si="28"/>
        <v/>
      </c>
      <c r="DH57" t="str">
        <f t="shared" si="29"/>
        <v/>
      </c>
      <c r="DI57" t="str">
        <f t="shared" si="30"/>
        <v/>
      </c>
      <c r="DJ57" t="str">
        <f t="shared" si="31"/>
        <v/>
      </c>
      <c r="DK57" t="str">
        <f t="shared" si="32"/>
        <v/>
      </c>
      <c r="DL57" t="str">
        <f t="shared" si="52"/>
        <v/>
      </c>
      <c r="DT57" t="str">
        <f t="shared" si="53"/>
        <v/>
      </c>
      <c r="DU57" t="str">
        <f t="shared" si="33"/>
        <v/>
      </c>
      <c r="DZ57" t="str">
        <f t="shared" si="34"/>
        <v/>
      </c>
      <c r="EA57" t="str">
        <f t="shared" si="35"/>
        <v/>
      </c>
      <c r="EC57" t="str">
        <f t="shared" si="54"/>
        <v/>
      </c>
      <c r="ED57" t="str">
        <f t="shared" si="55"/>
        <v/>
      </c>
    </row>
    <row r="58" spans="1:134" x14ac:dyDescent="0.3">
      <c r="A58" t="s">
        <v>526</v>
      </c>
      <c r="B58" t="s">
        <v>79</v>
      </c>
      <c r="C58" t="s">
        <v>767</v>
      </c>
      <c r="D58" t="s">
        <v>463</v>
      </c>
      <c r="E58" t="s">
        <v>79</v>
      </c>
      <c r="F58" t="s">
        <v>377</v>
      </c>
      <c r="G58" t="s">
        <v>464</v>
      </c>
      <c r="H58" t="s">
        <v>729</v>
      </c>
      <c r="K58" t="s">
        <v>767</v>
      </c>
      <c r="V58" s="6"/>
      <c r="W58" s="32"/>
      <c r="Y58" t="s">
        <v>939</v>
      </c>
      <c r="AF58" t="s">
        <v>718</v>
      </c>
      <c r="AK58" t="str">
        <f t="shared" si="36"/>
        <v>TXF_LD_DR_SR_HTY_i</v>
      </c>
      <c r="AL58" t="str">
        <f t="shared" si="37"/>
        <v>TXF_LD_DR_SR_HTY_i</v>
      </c>
      <c r="AM58" t="b">
        <f t="shared" si="38"/>
        <v>1</v>
      </c>
      <c r="AN58" t="b">
        <f t="shared" si="0"/>
        <v>0</v>
      </c>
      <c r="AO58" t="b">
        <f t="shared" si="1"/>
        <v>0</v>
      </c>
      <c r="AP58" t="b">
        <f t="shared" si="2"/>
        <v>0</v>
      </c>
      <c r="AQ58" t="str">
        <f t="shared" si="3"/>
        <v>[TagPrefixFull]TXF_LD_DR_SR_HTY_i</v>
      </c>
      <c r="AR58" t="str">
        <f>IF($AM58,VLOOKUP(B58,DataTypeMappings!$A$2:$B$18,2,"FALSE"),"")</f>
        <v>DIGITAL</v>
      </c>
      <c r="AS58" t="str">
        <f t="shared" si="4"/>
        <v>[PLC]</v>
      </c>
      <c r="AT58" t="str">
        <f t="shared" si="5"/>
        <v>LW_SS01_TXF.LD_DR_SR_HTY_i</v>
      </c>
      <c r="AU58" t="str">
        <f t="shared" si="39"/>
        <v/>
      </c>
      <c r="AV58" t="str">
        <f t="shared" si="40"/>
        <v/>
      </c>
      <c r="AW58" t="str">
        <f t="shared" si="41"/>
        <v/>
      </c>
      <c r="AX58" t="str">
        <f t="shared" si="42"/>
        <v/>
      </c>
      <c r="AY58" t="str">
        <f t="shared" si="43"/>
        <v/>
      </c>
      <c r="AZ58" t="str">
        <f t="shared" si="44"/>
        <v/>
      </c>
      <c r="BA58" t="str">
        <f t="shared" si="6"/>
        <v>[Desc] - Transformer LT Door Interlock Safety Relay Healthy</v>
      </c>
      <c r="BJ58" t="str">
        <f t="shared" si="7"/>
        <v>[Cluster]</v>
      </c>
      <c r="BK58" t="str">
        <f t="shared" si="8"/>
        <v>[Equip]</v>
      </c>
      <c r="BL58" t="str">
        <f t="shared" si="9"/>
        <v/>
      </c>
      <c r="BM58" t="str">
        <f t="shared" si="10"/>
        <v>[Historian]</v>
      </c>
      <c r="BN58" t="str">
        <f t="shared" si="11"/>
        <v>[DigAlmName]</v>
      </c>
      <c r="BO58" t="str">
        <f t="shared" si="12"/>
        <v>[Desc]</v>
      </c>
      <c r="BP58" t="str">
        <f t="shared" si="45"/>
        <v/>
      </c>
      <c r="BQ58" t="str">
        <f t="shared" si="46"/>
        <v/>
      </c>
      <c r="BU58" t="str">
        <f t="shared" si="47"/>
        <v/>
      </c>
      <c r="BV58" t="str">
        <f t="shared" si="13"/>
        <v/>
      </c>
      <c r="BW58" t="str">
        <f t="shared" si="14"/>
        <v/>
      </c>
      <c r="BX58" t="str">
        <f t="shared" si="15"/>
        <v/>
      </c>
      <c r="BY58" t="str">
        <f t="shared" si="16"/>
        <v/>
      </c>
      <c r="BZ58" t="str">
        <f t="shared" si="17"/>
        <v/>
      </c>
      <c r="CA58" t="str">
        <f t="shared" si="48"/>
        <v/>
      </c>
      <c r="CB58" t="str">
        <f t="shared" si="18"/>
        <v/>
      </c>
      <c r="CC58" t="str">
        <f t="shared" si="19"/>
        <v/>
      </c>
      <c r="CD58" t="str">
        <f t="shared" si="20"/>
        <v/>
      </c>
      <c r="CE58" t="str">
        <f t="shared" si="21"/>
        <v/>
      </c>
      <c r="CH58" t="str">
        <f t="shared" si="22"/>
        <v/>
      </c>
      <c r="CP58" t="str">
        <f t="shared" si="23"/>
        <v/>
      </c>
      <c r="CV58" t="str">
        <f t="shared" si="24"/>
        <v/>
      </c>
      <c r="CW58" t="str">
        <f t="shared" si="25"/>
        <v/>
      </c>
      <c r="CY58" t="str">
        <f t="shared" si="26"/>
        <v/>
      </c>
      <c r="CZ58" t="str">
        <f t="shared" si="27"/>
        <v/>
      </c>
      <c r="DB58" t="str">
        <f t="shared" si="49"/>
        <v/>
      </c>
      <c r="DE58" t="str">
        <f t="shared" si="50"/>
        <v/>
      </c>
      <c r="DF58" t="str">
        <f t="shared" si="51"/>
        <v/>
      </c>
      <c r="DG58" t="str">
        <f t="shared" si="28"/>
        <v/>
      </c>
      <c r="DH58" t="str">
        <f t="shared" si="29"/>
        <v/>
      </c>
      <c r="DI58" t="str">
        <f t="shared" si="30"/>
        <v/>
      </c>
      <c r="DJ58" t="str">
        <f t="shared" si="31"/>
        <v/>
      </c>
      <c r="DK58" t="str">
        <f t="shared" si="32"/>
        <v/>
      </c>
      <c r="DL58" t="str">
        <f t="shared" si="52"/>
        <v/>
      </c>
      <c r="DT58" t="str">
        <f t="shared" si="53"/>
        <v/>
      </c>
      <c r="DU58" t="str">
        <f t="shared" si="33"/>
        <v/>
      </c>
      <c r="DZ58" t="str">
        <f t="shared" si="34"/>
        <v/>
      </c>
      <c r="EA58" t="str">
        <f t="shared" si="35"/>
        <v/>
      </c>
      <c r="EC58" t="str">
        <f t="shared" si="54"/>
        <v/>
      </c>
      <c r="ED58" t="str">
        <f t="shared" si="55"/>
        <v/>
      </c>
    </row>
    <row r="59" spans="1:134" x14ac:dyDescent="0.3">
      <c r="A59" t="s">
        <v>527</v>
      </c>
      <c r="B59" t="s">
        <v>79</v>
      </c>
      <c r="C59" t="s">
        <v>768</v>
      </c>
      <c r="D59" t="s">
        <v>465</v>
      </c>
      <c r="E59" t="s">
        <v>79</v>
      </c>
      <c r="F59" t="s">
        <v>377</v>
      </c>
      <c r="G59" t="s">
        <v>466</v>
      </c>
      <c r="H59" t="s">
        <v>729</v>
      </c>
      <c r="K59" t="s">
        <v>768</v>
      </c>
      <c r="V59" s="6"/>
      <c r="W59" s="32"/>
      <c r="Y59" t="s">
        <v>940</v>
      </c>
      <c r="AF59" t="s">
        <v>718</v>
      </c>
      <c r="AK59" t="str">
        <f t="shared" si="36"/>
        <v>TXF_CONT_ISOL_i</v>
      </c>
      <c r="AL59" t="str">
        <f t="shared" si="37"/>
        <v>TXF_CONT_ISOL_i</v>
      </c>
      <c r="AM59" t="b">
        <f t="shared" si="38"/>
        <v>1</v>
      </c>
      <c r="AN59" t="b">
        <f t="shared" si="0"/>
        <v>0</v>
      </c>
      <c r="AO59" t="b">
        <f t="shared" si="1"/>
        <v>0</v>
      </c>
      <c r="AP59" t="b">
        <f t="shared" si="2"/>
        <v>0</v>
      </c>
      <c r="AQ59" t="str">
        <f t="shared" si="3"/>
        <v>[TagPrefixFull]TXF_CONT_ISOL_i</v>
      </c>
      <c r="AR59" t="str">
        <f>IF($AM59,VLOOKUP(B59,DataTypeMappings!$A$2:$B$18,2,"FALSE"),"")</f>
        <v>DIGITAL</v>
      </c>
      <c r="AS59" t="str">
        <f t="shared" si="4"/>
        <v>[PLC]</v>
      </c>
      <c r="AT59" t="str">
        <f t="shared" si="5"/>
        <v>LW_SS01_TXF.CONT_ISOL_i</v>
      </c>
      <c r="AU59" t="str">
        <f t="shared" si="39"/>
        <v/>
      </c>
      <c r="AV59" t="str">
        <f t="shared" si="40"/>
        <v/>
      </c>
      <c r="AW59" t="str">
        <f t="shared" si="41"/>
        <v/>
      </c>
      <c r="AX59" t="str">
        <f t="shared" si="42"/>
        <v/>
      </c>
      <c r="AY59" t="str">
        <f t="shared" si="43"/>
        <v/>
      </c>
      <c r="AZ59" t="str">
        <f t="shared" si="44"/>
        <v/>
      </c>
      <c r="BA59" t="str">
        <f t="shared" si="6"/>
        <v>[Desc] - Transformer Control Isolator</v>
      </c>
      <c r="BJ59" t="str">
        <f t="shared" si="7"/>
        <v>[Cluster]</v>
      </c>
      <c r="BK59" t="str">
        <f t="shared" si="8"/>
        <v>[Equip]</v>
      </c>
      <c r="BL59" t="str">
        <f t="shared" si="9"/>
        <v/>
      </c>
      <c r="BM59" t="str">
        <f t="shared" si="10"/>
        <v>[Historian]</v>
      </c>
      <c r="BN59" t="str">
        <f t="shared" si="11"/>
        <v>[DigAlmName]</v>
      </c>
      <c r="BO59" t="str">
        <f t="shared" si="12"/>
        <v>[Desc]</v>
      </c>
      <c r="BP59" t="str">
        <f t="shared" si="45"/>
        <v/>
      </c>
      <c r="BQ59" t="str">
        <f t="shared" si="46"/>
        <v/>
      </c>
      <c r="BU59" t="str">
        <f t="shared" si="47"/>
        <v/>
      </c>
      <c r="BV59" t="str">
        <f t="shared" si="13"/>
        <v/>
      </c>
      <c r="BW59" t="str">
        <f t="shared" si="14"/>
        <v/>
      </c>
      <c r="BX59" t="str">
        <f t="shared" si="15"/>
        <v/>
      </c>
      <c r="BY59" t="str">
        <f t="shared" si="16"/>
        <v/>
      </c>
      <c r="BZ59" t="str">
        <f t="shared" si="17"/>
        <v/>
      </c>
      <c r="CA59" t="str">
        <f t="shared" si="48"/>
        <v/>
      </c>
      <c r="CB59" t="str">
        <f t="shared" si="18"/>
        <v/>
      </c>
      <c r="CC59" t="str">
        <f t="shared" si="19"/>
        <v/>
      </c>
      <c r="CD59" t="str">
        <f t="shared" si="20"/>
        <v/>
      </c>
      <c r="CE59" t="str">
        <f t="shared" si="21"/>
        <v/>
      </c>
      <c r="CH59" t="str">
        <f t="shared" si="22"/>
        <v/>
      </c>
      <c r="CP59" t="str">
        <f t="shared" si="23"/>
        <v/>
      </c>
      <c r="CV59" t="str">
        <f t="shared" si="24"/>
        <v/>
      </c>
      <c r="CW59" t="str">
        <f t="shared" si="25"/>
        <v/>
      </c>
      <c r="CY59" t="str">
        <f t="shared" si="26"/>
        <v/>
      </c>
      <c r="CZ59" t="str">
        <f t="shared" si="27"/>
        <v/>
      </c>
      <c r="DB59" t="str">
        <f t="shared" si="49"/>
        <v/>
      </c>
      <c r="DE59" t="str">
        <f t="shared" si="50"/>
        <v/>
      </c>
      <c r="DF59" t="str">
        <f t="shared" si="51"/>
        <v/>
      </c>
      <c r="DG59" t="str">
        <f t="shared" si="28"/>
        <v/>
      </c>
      <c r="DH59" t="str">
        <f t="shared" si="29"/>
        <v/>
      </c>
      <c r="DI59" t="str">
        <f t="shared" si="30"/>
        <v/>
      </c>
      <c r="DJ59" t="str">
        <f t="shared" si="31"/>
        <v/>
      </c>
      <c r="DK59" t="str">
        <f t="shared" si="32"/>
        <v/>
      </c>
      <c r="DL59" t="str">
        <f t="shared" si="52"/>
        <v/>
      </c>
      <c r="DT59" t="str">
        <f t="shared" si="53"/>
        <v/>
      </c>
      <c r="DU59" t="str">
        <f t="shared" si="33"/>
        <v/>
      </c>
      <c r="DZ59" t="str">
        <f t="shared" si="34"/>
        <v/>
      </c>
      <c r="EA59" t="str">
        <f t="shared" si="35"/>
        <v/>
      </c>
      <c r="EC59" t="str">
        <f t="shared" si="54"/>
        <v/>
      </c>
      <c r="ED59" t="str">
        <f t="shared" si="55"/>
        <v/>
      </c>
    </row>
    <row r="60" spans="1:134" x14ac:dyDescent="0.3">
      <c r="A60" t="s">
        <v>528</v>
      </c>
      <c r="B60" t="s">
        <v>79</v>
      </c>
      <c r="C60" t="s">
        <v>769</v>
      </c>
      <c r="D60" t="s">
        <v>467</v>
      </c>
      <c r="E60" t="s">
        <v>79</v>
      </c>
      <c r="F60" t="s">
        <v>377</v>
      </c>
      <c r="G60" t="s">
        <v>468</v>
      </c>
      <c r="H60" t="s">
        <v>729</v>
      </c>
      <c r="K60" t="s">
        <v>769</v>
      </c>
      <c r="V60" s="6"/>
      <c r="W60" s="32"/>
      <c r="Y60" t="s">
        <v>941</v>
      </c>
      <c r="AF60" t="s">
        <v>718</v>
      </c>
      <c r="AK60" t="str">
        <f t="shared" si="36"/>
        <v>TXF_SEPAM_RST_o</v>
      </c>
      <c r="AL60" t="str">
        <f t="shared" si="37"/>
        <v>TXF_SEPAM_RST_o</v>
      </c>
      <c r="AM60" t="b">
        <f t="shared" si="38"/>
        <v>1</v>
      </c>
      <c r="AN60" t="b">
        <f t="shared" si="0"/>
        <v>0</v>
      </c>
      <c r="AO60" t="b">
        <f t="shared" si="1"/>
        <v>0</v>
      </c>
      <c r="AP60" t="b">
        <f t="shared" si="2"/>
        <v>0</v>
      </c>
      <c r="AQ60" t="str">
        <f t="shared" si="3"/>
        <v>[TagPrefixFull]TXF_SEPAM_RST_o</v>
      </c>
      <c r="AR60" t="str">
        <f>IF($AM60,VLOOKUP(B60,DataTypeMappings!$A$2:$B$18,2,"FALSE"),"")</f>
        <v>DIGITAL</v>
      </c>
      <c r="AS60" t="str">
        <f t="shared" si="4"/>
        <v>[PLC]</v>
      </c>
      <c r="AT60" t="str">
        <f t="shared" si="5"/>
        <v>LW_SS01_TXF.SEPAM_RST_o</v>
      </c>
      <c r="AU60" t="str">
        <f t="shared" si="39"/>
        <v/>
      </c>
      <c r="AV60" t="str">
        <f t="shared" si="40"/>
        <v/>
      </c>
      <c r="AW60" t="str">
        <f t="shared" si="41"/>
        <v/>
      </c>
      <c r="AX60" t="str">
        <f t="shared" si="42"/>
        <v/>
      </c>
      <c r="AY60" t="str">
        <f t="shared" si="43"/>
        <v/>
      </c>
      <c r="AZ60" t="str">
        <f t="shared" si="44"/>
        <v/>
      </c>
      <c r="BA60" t="str">
        <f t="shared" si="6"/>
        <v>[Desc] - Transformer Sepam Reset</v>
      </c>
      <c r="BJ60" t="str">
        <f t="shared" si="7"/>
        <v>[Cluster]</v>
      </c>
      <c r="BK60" t="str">
        <f t="shared" si="8"/>
        <v>[Equip]</v>
      </c>
      <c r="BL60" t="str">
        <f t="shared" si="9"/>
        <v/>
      </c>
      <c r="BM60" t="str">
        <f t="shared" si="10"/>
        <v>[Historian]</v>
      </c>
      <c r="BN60" t="str">
        <f t="shared" si="11"/>
        <v>[DigAlmName]</v>
      </c>
      <c r="BO60" t="str">
        <f t="shared" si="12"/>
        <v>[Desc]</v>
      </c>
      <c r="BP60" t="str">
        <f t="shared" si="45"/>
        <v/>
      </c>
      <c r="BQ60" t="str">
        <f t="shared" si="46"/>
        <v/>
      </c>
      <c r="BU60" t="str">
        <f t="shared" si="47"/>
        <v/>
      </c>
      <c r="BV60" t="str">
        <f t="shared" si="13"/>
        <v/>
      </c>
      <c r="BW60" t="str">
        <f t="shared" si="14"/>
        <v/>
      </c>
      <c r="BX60" t="str">
        <f t="shared" si="15"/>
        <v/>
      </c>
      <c r="BY60" t="str">
        <f t="shared" si="16"/>
        <v/>
      </c>
      <c r="BZ60" t="str">
        <f t="shared" si="17"/>
        <v/>
      </c>
      <c r="CA60" t="str">
        <f t="shared" si="48"/>
        <v/>
      </c>
      <c r="CB60" t="str">
        <f t="shared" si="18"/>
        <v/>
      </c>
      <c r="CC60" t="str">
        <f t="shared" si="19"/>
        <v/>
      </c>
      <c r="CD60" t="str">
        <f t="shared" si="20"/>
        <v/>
      </c>
      <c r="CE60" t="str">
        <f t="shared" si="21"/>
        <v/>
      </c>
      <c r="CH60" t="str">
        <f t="shared" si="22"/>
        <v/>
      </c>
      <c r="CP60" t="str">
        <f t="shared" si="23"/>
        <v/>
      </c>
      <c r="CV60" t="str">
        <f t="shared" si="24"/>
        <v/>
      </c>
      <c r="CW60" t="str">
        <f t="shared" si="25"/>
        <v/>
      </c>
      <c r="CY60" t="str">
        <f t="shared" si="26"/>
        <v/>
      </c>
      <c r="CZ60" t="str">
        <f t="shared" si="27"/>
        <v/>
      </c>
      <c r="DB60" t="str">
        <f t="shared" si="49"/>
        <v/>
      </c>
      <c r="DE60" t="str">
        <f t="shared" si="50"/>
        <v/>
      </c>
      <c r="DF60" t="str">
        <f t="shared" si="51"/>
        <v/>
      </c>
      <c r="DG60" t="str">
        <f t="shared" si="28"/>
        <v/>
      </c>
      <c r="DH60" t="str">
        <f t="shared" si="29"/>
        <v/>
      </c>
      <c r="DI60" t="str">
        <f t="shared" si="30"/>
        <v/>
      </c>
      <c r="DJ60" t="str">
        <f t="shared" si="31"/>
        <v/>
      </c>
      <c r="DK60" t="str">
        <f t="shared" si="32"/>
        <v/>
      </c>
      <c r="DL60" t="str">
        <f t="shared" si="52"/>
        <v/>
      </c>
      <c r="DT60" t="str">
        <f t="shared" si="53"/>
        <v/>
      </c>
      <c r="DU60" t="str">
        <f t="shared" si="33"/>
        <v/>
      </c>
      <c r="DZ60" t="str">
        <f t="shared" si="34"/>
        <v/>
      </c>
      <c r="EA60" t="str">
        <f t="shared" si="35"/>
        <v/>
      </c>
      <c r="EC60" t="str">
        <f t="shared" si="54"/>
        <v/>
      </c>
      <c r="ED60" t="str">
        <f t="shared" si="55"/>
        <v/>
      </c>
    </row>
    <row r="61" spans="1:134" x14ac:dyDescent="0.3">
      <c r="A61" t="s">
        <v>529</v>
      </c>
      <c r="B61" t="s">
        <v>79</v>
      </c>
      <c r="C61" t="s">
        <v>770</v>
      </c>
      <c r="D61" t="s">
        <v>469</v>
      </c>
      <c r="E61" t="s">
        <v>79</v>
      </c>
      <c r="F61" t="s">
        <v>377</v>
      </c>
      <c r="G61" t="s">
        <v>470</v>
      </c>
      <c r="H61" t="s">
        <v>729</v>
      </c>
      <c r="K61" t="s">
        <v>770</v>
      </c>
      <c r="V61" s="6"/>
      <c r="W61" s="32"/>
      <c r="Y61" t="s">
        <v>942</v>
      </c>
      <c r="AF61" t="s">
        <v>718</v>
      </c>
      <c r="AK61" t="str">
        <f t="shared" si="36"/>
        <v>TXF_NERM_RST_o</v>
      </c>
      <c r="AL61" t="str">
        <f t="shared" si="37"/>
        <v>TXF_NERM_RST_o</v>
      </c>
      <c r="AM61" t="b">
        <f t="shared" si="38"/>
        <v>1</v>
      </c>
      <c r="AN61" t="b">
        <f t="shared" si="0"/>
        <v>0</v>
      </c>
      <c r="AO61" t="b">
        <f t="shared" si="1"/>
        <v>0</v>
      </c>
      <c r="AP61" t="b">
        <f t="shared" si="2"/>
        <v>0</v>
      </c>
      <c r="AQ61" t="str">
        <f t="shared" si="3"/>
        <v>[TagPrefixFull]TXF_NERM_RST_o</v>
      </c>
      <c r="AR61" t="str">
        <f>IF($AM61,VLOOKUP(B61,DataTypeMappings!$A$2:$B$18,2,"FALSE"),"")</f>
        <v>DIGITAL</v>
      </c>
      <c r="AS61" t="str">
        <f t="shared" si="4"/>
        <v>[PLC]</v>
      </c>
      <c r="AT61" t="str">
        <f t="shared" si="5"/>
        <v>LW_SS01_TXF.NERM_RST_o</v>
      </c>
      <c r="AU61" t="str">
        <f t="shared" si="39"/>
        <v/>
      </c>
      <c r="AV61" t="str">
        <f t="shared" si="40"/>
        <v/>
      </c>
      <c r="AW61" t="str">
        <f t="shared" si="41"/>
        <v/>
      </c>
      <c r="AX61" t="str">
        <f t="shared" si="42"/>
        <v/>
      </c>
      <c r="AY61" t="str">
        <f t="shared" si="43"/>
        <v/>
      </c>
      <c r="AZ61" t="str">
        <f t="shared" si="44"/>
        <v/>
      </c>
      <c r="BA61" t="str">
        <f t="shared" si="6"/>
        <v>[Desc] - Transformer NERM Protection Relay Reset</v>
      </c>
      <c r="BJ61" t="str">
        <f t="shared" si="7"/>
        <v>[Cluster]</v>
      </c>
      <c r="BK61" t="str">
        <f t="shared" si="8"/>
        <v>[Equip]</v>
      </c>
      <c r="BL61" t="str">
        <f t="shared" si="9"/>
        <v/>
      </c>
      <c r="BM61" t="str">
        <f t="shared" si="10"/>
        <v>[Historian]</v>
      </c>
      <c r="BN61" t="str">
        <f t="shared" si="11"/>
        <v>[DigAlmName]</v>
      </c>
      <c r="BO61" t="str">
        <f t="shared" si="12"/>
        <v>[Desc]</v>
      </c>
      <c r="BP61" t="str">
        <f t="shared" si="45"/>
        <v/>
      </c>
      <c r="BQ61" t="str">
        <f t="shared" si="46"/>
        <v/>
      </c>
      <c r="BU61" t="str">
        <f t="shared" si="47"/>
        <v/>
      </c>
      <c r="BV61" t="str">
        <f t="shared" si="13"/>
        <v/>
      </c>
      <c r="BW61" t="str">
        <f t="shared" si="14"/>
        <v/>
      </c>
      <c r="BX61" t="str">
        <f t="shared" si="15"/>
        <v/>
      </c>
      <c r="BY61" t="str">
        <f t="shared" si="16"/>
        <v/>
      </c>
      <c r="BZ61" t="str">
        <f t="shared" si="17"/>
        <v/>
      </c>
      <c r="CA61" t="str">
        <f t="shared" si="48"/>
        <v/>
      </c>
      <c r="CB61" t="str">
        <f t="shared" si="18"/>
        <v/>
      </c>
      <c r="CC61" t="str">
        <f t="shared" si="19"/>
        <v/>
      </c>
      <c r="CD61" t="str">
        <f t="shared" si="20"/>
        <v/>
      </c>
      <c r="CE61" t="str">
        <f t="shared" si="21"/>
        <v/>
      </c>
      <c r="CH61" t="str">
        <f t="shared" si="22"/>
        <v/>
      </c>
      <c r="CP61" t="str">
        <f t="shared" si="23"/>
        <v/>
      </c>
      <c r="CV61" t="str">
        <f t="shared" si="24"/>
        <v/>
      </c>
      <c r="CW61" t="str">
        <f t="shared" si="25"/>
        <v/>
      </c>
      <c r="CY61" t="str">
        <f t="shared" si="26"/>
        <v/>
      </c>
      <c r="CZ61" t="str">
        <f t="shared" si="27"/>
        <v/>
      </c>
      <c r="DB61" t="str">
        <f t="shared" si="49"/>
        <v/>
      </c>
      <c r="DE61" t="str">
        <f t="shared" si="50"/>
        <v/>
      </c>
      <c r="DF61" t="str">
        <f t="shared" si="51"/>
        <v/>
      </c>
      <c r="DG61" t="str">
        <f t="shared" si="28"/>
        <v/>
      </c>
      <c r="DH61" t="str">
        <f t="shared" si="29"/>
        <v/>
      </c>
      <c r="DI61" t="str">
        <f t="shared" si="30"/>
        <v/>
      </c>
      <c r="DJ61" t="str">
        <f t="shared" si="31"/>
        <v/>
      </c>
      <c r="DK61" t="str">
        <f t="shared" si="32"/>
        <v/>
      </c>
      <c r="DL61" t="str">
        <f t="shared" si="52"/>
        <v/>
      </c>
      <c r="DT61" t="str">
        <f t="shared" si="53"/>
        <v/>
      </c>
      <c r="DU61" t="str">
        <f t="shared" si="33"/>
        <v/>
      </c>
      <c r="DZ61" t="str">
        <f t="shared" si="34"/>
        <v/>
      </c>
      <c r="EA61" t="str">
        <f t="shared" si="35"/>
        <v/>
      </c>
      <c r="EC61" t="str">
        <f t="shared" si="54"/>
        <v/>
      </c>
      <c r="ED61" t="str">
        <f t="shared" si="55"/>
        <v/>
      </c>
    </row>
    <row r="62" spans="1:134" x14ac:dyDescent="0.3">
      <c r="A62" t="s">
        <v>530</v>
      </c>
      <c r="B62" t="s">
        <v>79</v>
      </c>
      <c r="C62" t="s">
        <v>771</v>
      </c>
      <c r="D62" t="s">
        <v>471</v>
      </c>
      <c r="E62" t="s">
        <v>79</v>
      </c>
      <c r="F62" t="s">
        <v>377</v>
      </c>
      <c r="G62" t="s">
        <v>472</v>
      </c>
      <c r="H62" t="s">
        <v>729</v>
      </c>
      <c r="K62" t="s">
        <v>771</v>
      </c>
      <c r="V62" s="6"/>
      <c r="W62" s="32"/>
      <c r="Y62" t="s">
        <v>943</v>
      </c>
      <c r="AF62" t="s">
        <v>718</v>
      </c>
      <c r="AK62" t="str">
        <f t="shared" si="36"/>
        <v>TXF_BU_EL_TST_o</v>
      </c>
      <c r="AL62" t="str">
        <f t="shared" si="37"/>
        <v>TXF_BU_EL_TST_o</v>
      </c>
      <c r="AM62" t="b">
        <f t="shared" si="38"/>
        <v>1</v>
      </c>
      <c r="AN62" t="b">
        <f t="shared" si="0"/>
        <v>0</v>
      </c>
      <c r="AO62" t="b">
        <f t="shared" si="1"/>
        <v>0</v>
      </c>
      <c r="AP62" t="b">
        <f t="shared" si="2"/>
        <v>0</v>
      </c>
      <c r="AQ62" t="str">
        <f t="shared" si="3"/>
        <v>[TagPrefixFull]TXF_BU_EL_TST_o</v>
      </c>
      <c r="AR62" t="str">
        <f>IF($AM62,VLOOKUP(B62,DataTypeMappings!$A$2:$B$18,2,"FALSE"),"")</f>
        <v>DIGITAL</v>
      </c>
      <c r="AS62" t="str">
        <f t="shared" si="4"/>
        <v>[PLC]</v>
      </c>
      <c r="AT62" t="str">
        <f t="shared" si="5"/>
        <v>LW_SS01_TXF.BU_EL_TST_o</v>
      </c>
      <c r="AU62" t="str">
        <f t="shared" si="39"/>
        <v/>
      </c>
      <c r="AV62" t="str">
        <f t="shared" si="40"/>
        <v/>
      </c>
      <c r="AW62" t="str">
        <f t="shared" si="41"/>
        <v/>
      </c>
      <c r="AX62" t="str">
        <f t="shared" si="42"/>
        <v/>
      </c>
      <c r="AY62" t="str">
        <f t="shared" si="43"/>
        <v/>
      </c>
      <c r="AZ62" t="str">
        <f t="shared" si="44"/>
        <v/>
      </c>
      <c r="BA62" t="str">
        <f t="shared" si="6"/>
        <v>[Desc] - Transformer Backup Earth Leakage Protection Relay Test</v>
      </c>
      <c r="BJ62" t="str">
        <f t="shared" si="7"/>
        <v>[Cluster]</v>
      </c>
      <c r="BK62" t="str">
        <f t="shared" si="8"/>
        <v>[Equip]</v>
      </c>
      <c r="BL62" t="str">
        <f t="shared" si="9"/>
        <v/>
      </c>
      <c r="BM62" t="str">
        <f t="shared" si="10"/>
        <v>[Historian]</v>
      </c>
      <c r="BN62" t="str">
        <f t="shared" si="11"/>
        <v>[DigAlmName]</v>
      </c>
      <c r="BO62" t="str">
        <f t="shared" si="12"/>
        <v>[Desc]</v>
      </c>
      <c r="BP62" t="str">
        <f t="shared" si="45"/>
        <v/>
      </c>
      <c r="BQ62" t="str">
        <f t="shared" si="46"/>
        <v/>
      </c>
      <c r="BU62" t="str">
        <f t="shared" si="47"/>
        <v/>
      </c>
      <c r="BV62" t="str">
        <f t="shared" si="13"/>
        <v/>
      </c>
      <c r="BW62" t="str">
        <f t="shared" si="14"/>
        <v/>
      </c>
      <c r="BX62" t="str">
        <f t="shared" si="15"/>
        <v/>
      </c>
      <c r="BY62" t="str">
        <f t="shared" si="16"/>
        <v/>
      </c>
      <c r="BZ62" t="str">
        <f t="shared" si="17"/>
        <v/>
      </c>
      <c r="CA62" t="str">
        <f t="shared" si="48"/>
        <v/>
      </c>
      <c r="CB62" t="str">
        <f t="shared" si="18"/>
        <v/>
      </c>
      <c r="CC62" t="str">
        <f t="shared" si="19"/>
        <v/>
      </c>
      <c r="CD62" t="str">
        <f t="shared" si="20"/>
        <v/>
      </c>
      <c r="CE62" t="str">
        <f t="shared" si="21"/>
        <v/>
      </c>
      <c r="CH62" t="str">
        <f t="shared" si="22"/>
        <v/>
      </c>
      <c r="CP62" t="str">
        <f t="shared" si="23"/>
        <v/>
      </c>
      <c r="CV62" t="str">
        <f t="shared" si="24"/>
        <v/>
      </c>
      <c r="CW62" t="str">
        <f t="shared" si="25"/>
        <v/>
      </c>
      <c r="CY62" t="str">
        <f t="shared" si="26"/>
        <v/>
      </c>
      <c r="CZ62" t="str">
        <f t="shared" si="27"/>
        <v/>
      </c>
      <c r="DB62" t="str">
        <f t="shared" si="49"/>
        <v/>
      </c>
      <c r="DE62" t="str">
        <f t="shared" si="50"/>
        <v/>
      </c>
      <c r="DF62" t="str">
        <f t="shared" si="51"/>
        <v/>
      </c>
      <c r="DG62" t="str">
        <f t="shared" si="28"/>
        <v/>
      </c>
      <c r="DH62" t="str">
        <f t="shared" si="29"/>
        <v/>
      </c>
      <c r="DI62" t="str">
        <f t="shared" si="30"/>
        <v/>
      </c>
      <c r="DJ62" t="str">
        <f t="shared" si="31"/>
        <v/>
      </c>
      <c r="DK62" t="str">
        <f t="shared" si="32"/>
        <v/>
      </c>
      <c r="DL62" t="str">
        <f t="shared" si="52"/>
        <v/>
      </c>
      <c r="DT62" t="str">
        <f t="shared" si="53"/>
        <v/>
      </c>
      <c r="DU62" t="str">
        <f t="shared" si="33"/>
        <v/>
      </c>
      <c r="DZ62" t="str">
        <f t="shared" si="34"/>
        <v/>
      </c>
      <c r="EA62" t="str">
        <f t="shared" si="35"/>
        <v/>
      </c>
      <c r="EC62" t="str">
        <f t="shared" si="54"/>
        <v/>
      </c>
      <c r="ED62" t="str">
        <f t="shared" si="55"/>
        <v/>
      </c>
    </row>
    <row r="63" spans="1:134" x14ac:dyDescent="0.3">
      <c r="A63" t="s">
        <v>531</v>
      </c>
      <c r="B63" t="s">
        <v>79</v>
      </c>
      <c r="C63" t="s">
        <v>772</v>
      </c>
      <c r="D63" t="s">
        <v>473</v>
      </c>
      <c r="E63" t="s">
        <v>79</v>
      </c>
      <c r="F63" t="s">
        <v>377</v>
      </c>
      <c r="G63" t="s">
        <v>474</v>
      </c>
      <c r="H63" t="s">
        <v>729</v>
      </c>
      <c r="K63" t="s">
        <v>772</v>
      </c>
      <c r="V63" s="6"/>
      <c r="W63" s="32"/>
      <c r="Y63" t="s">
        <v>944</v>
      </c>
      <c r="AF63" t="s">
        <v>718</v>
      </c>
      <c r="AK63" t="str">
        <f t="shared" si="36"/>
        <v>TXF_BU_EL_RST_o</v>
      </c>
      <c r="AL63" t="str">
        <f t="shared" si="37"/>
        <v>TXF_BU_EL_RST_o</v>
      </c>
      <c r="AM63" t="b">
        <f t="shared" si="38"/>
        <v>1</v>
      </c>
      <c r="AN63" t="b">
        <f t="shared" si="0"/>
        <v>0</v>
      </c>
      <c r="AO63" t="b">
        <f t="shared" si="1"/>
        <v>0</v>
      </c>
      <c r="AP63" t="b">
        <f t="shared" si="2"/>
        <v>0</v>
      </c>
      <c r="AQ63" t="str">
        <f t="shared" si="3"/>
        <v>[TagPrefixFull]TXF_BU_EL_RST_o</v>
      </c>
      <c r="AR63" t="str">
        <f>IF($AM63,VLOOKUP(B63,DataTypeMappings!$A$2:$B$18,2,"FALSE"),"")</f>
        <v>DIGITAL</v>
      </c>
      <c r="AS63" t="str">
        <f t="shared" si="4"/>
        <v>[PLC]</v>
      </c>
      <c r="AT63" t="str">
        <f t="shared" si="5"/>
        <v>LW_SS01_TXF.BU_EL_RST_o</v>
      </c>
      <c r="AU63" t="str">
        <f t="shared" si="39"/>
        <v/>
      </c>
      <c r="AV63" t="str">
        <f t="shared" si="40"/>
        <v/>
      </c>
      <c r="AW63" t="str">
        <f t="shared" si="41"/>
        <v/>
      </c>
      <c r="AX63" t="str">
        <f t="shared" si="42"/>
        <v/>
      </c>
      <c r="AY63" t="str">
        <f t="shared" si="43"/>
        <v/>
      </c>
      <c r="AZ63" t="str">
        <f t="shared" si="44"/>
        <v/>
      </c>
      <c r="BA63" t="str">
        <f t="shared" si="6"/>
        <v>[Desc] - Transformer Backup Earth Leakage Protection Relay Reset</v>
      </c>
      <c r="BJ63" t="str">
        <f t="shared" si="7"/>
        <v>[Cluster]</v>
      </c>
      <c r="BK63" t="str">
        <f t="shared" si="8"/>
        <v>[Equip]</v>
      </c>
      <c r="BL63" t="str">
        <f t="shared" si="9"/>
        <v/>
      </c>
      <c r="BM63" t="str">
        <f t="shared" si="10"/>
        <v>[Historian]</v>
      </c>
      <c r="BN63" t="str">
        <f t="shared" si="11"/>
        <v>[DigAlmName]</v>
      </c>
      <c r="BO63" t="str">
        <f t="shared" si="12"/>
        <v>[Desc]</v>
      </c>
      <c r="BP63" t="str">
        <f t="shared" si="45"/>
        <v/>
      </c>
      <c r="BQ63" t="str">
        <f t="shared" si="46"/>
        <v/>
      </c>
      <c r="BU63" t="str">
        <f t="shared" si="47"/>
        <v/>
      </c>
      <c r="BV63" t="str">
        <f t="shared" si="13"/>
        <v/>
      </c>
      <c r="BW63" t="str">
        <f t="shared" si="14"/>
        <v/>
      </c>
      <c r="BX63" t="str">
        <f t="shared" si="15"/>
        <v/>
      </c>
      <c r="BY63" t="str">
        <f t="shared" si="16"/>
        <v/>
      </c>
      <c r="BZ63" t="str">
        <f t="shared" si="17"/>
        <v/>
      </c>
      <c r="CA63" t="str">
        <f t="shared" si="48"/>
        <v/>
      </c>
      <c r="CB63" t="str">
        <f t="shared" si="18"/>
        <v/>
      </c>
      <c r="CC63" t="str">
        <f t="shared" si="19"/>
        <v/>
      </c>
      <c r="CD63" t="str">
        <f t="shared" si="20"/>
        <v/>
      </c>
      <c r="CE63" t="str">
        <f t="shared" si="21"/>
        <v/>
      </c>
      <c r="CH63" t="str">
        <f t="shared" si="22"/>
        <v/>
      </c>
      <c r="CP63" t="str">
        <f t="shared" si="23"/>
        <v/>
      </c>
      <c r="CV63" t="str">
        <f t="shared" si="24"/>
        <v/>
      </c>
      <c r="CW63" t="str">
        <f t="shared" si="25"/>
        <v/>
      </c>
      <c r="CY63" t="str">
        <f t="shared" si="26"/>
        <v/>
      </c>
      <c r="CZ63" t="str">
        <f t="shared" si="27"/>
        <v/>
      </c>
      <c r="DB63" t="str">
        <f t="shared" si="49"/>
        <v/>
      </c>
      <c r="DE63" t="str">
        <f t="shared" si="50"/>
        <v/>
      </c>
      <c r="DF63" t="str">
        <f t="shared" si="51"/>
        <v/>
      </c>
      <c r="DG63" t="str">
        <f t="shared" si="28"/>
        <v/>
      </c>
      <c r="DH63" t="str">
        <f t="shared" si="29"/>
        <v/>
      </c>
      <c r="DI63" t="str">
        <f t="shared" si="30"/>
        <v/>
      </c>
      <c r="DJ63" t="str">
        <f t="shared" si="31"/>
        <v/>
      </c>
      <c r="DK63" t="str">
        <f t="shared" si="32"/>
        <v/>
      </c>
      <c r="DL63" t="str">
        <f t="shared" si="52"/>
        <v/>
      </c>
      <c r="DT63" t="str">
        <f t="shared" si="53"/>
        <v/>
      </c>
      <c r="DU63" t="str">
        <f t="shared" si="33"/>
        <v/>
      </c>
      <c r="DZ63" t="str">
        <f t="shared" si="34"/>
        <v/>
      </c>
      <c r="EA63" t="str">
        <f t="shared" si="35"/>
        <v/>
      </c>
      <c r="EC63" t="str">
        <f t="shared" si="54"/>
        <v/>
      </c>
      <c r="ED63" t="str">
        <f t="shared" si="55"/>
        <v/>
      </c>
    </row>
    <row r="64" spans="1:134" x14ac:dyDescent="0.3">
      <c r="A64" t="s">
        <v>532</v>
      </c>
      <c r="B64" t="s">
        <v>79</v>
      </c>
      <c r="C64" t="s">
        <v>773</v>
      </c>
      <c r="D64" t="s">
        <v>475</v>
      </c>
      <c r="E64" t="s">
        <v>79</v>
      </c>
      <c r="F64" t="s">
        <v>377</v>
      </c>
      <c r="G64" t="s">
        <v>476</v>
      </c>
      <c r="H64" t="s">
        <v>729</v>
      </c>
      <c r="K64" t="s">
        <v>773</v>
      </c>
      <c r="U64" t="s">
        <v>307</v>
      </c>
      <c r="V64" s="6"/>
      <c r="W64" s="32"/>
      <c r="Y64" t="s">
        <v>945</v>
      </c>
      <c r="AF64" t="s">
        <v>718</v>
      </c>
      <c r="AK64" t="str">
        <f t="shared" si="36"/>
        <v>TXF_BU_EL_t</v>
      </c>
      <c r="AL64" t="str">
        <f t="shared" si="37"/>
        <v>TXF_BU_EL_t</v>
      </c>
      <c r="AM64" t="b">
        <f t="shared" si="38"/>
        <v>1</v>
      </c>
      <c r="AN64" t="b">
        <f t="shared" si="0"/>
        <v>1</v>
      </c>
      <c r="AO64" t="b">
        <f t="shared" si="1"/>
        <v>0</v>
      </c>
      <c r="AP64" t="b">
        <f t="shared" si="2"/>
        <v>0</v>
      </c>
      <c r="AQ64" t="str">
        <f t="shared" si="3"/>
        <v>[TagPrefixFull]TXF_BU_EL_t</v>
      </c>
      <c r="AR64" t="str">
        <f>IF($AM64,VLOOKUP(B64,DataTypeMappings!$A$2:$B$18,2,"FALSE"),"")</f>
        <v>DIGITAL</v>
      </c>
      <c r="AS64" t="str">
        <f t="shared" si="4"/>
        <v>[PLC]</v>
      </c>
      <c r="AT64" t="str">
        <f t="shared" si="5"/>
        <v>LW_SS01_TXF.BU_EL_t</v>
      </c>
      <c r="AU64" t="str">
        <f t="shared" si="39"/>
        <v/>
      </c>
      <c r="AV64" t="str">
        <f t="shared" si="40"/>
        <v/>
      </c>
      <c r="AW64" t="str">
        <f t="shared" si="41"/>
        <v/>
      </c>
      <c r="AX64" t="str">
        <f t="shared" si="42"/>
        <v/>
      </c>
      <c r="AY64" t="str">
        <f t="shared" si="43"/>
        <v/>
      </c>
      <c r="AZ64" t="str">
        <f t="shared" si="44"/>
        <v/>
      </c>
      <c r="BA64" t="str">
        <f t="shared" si="6"/>
        <v>[Desc] - Transformer Backup Earth Leakage Protection Relay Tripped</v>
      </c>
      <c r="BJ64" t="str">
        <f t="shared" si="7"/>
        <v>[Cluster]</v>
      </c>
      <c r="BK64" t="str">
        <f t="shared" si="8"/>
        <v>[Equip]</v>
      </c>
      <c r="BL64" t="str">
        <f t="shared" si="9"/>
        <v/>
      </c>
      <c r="BM64" t="str">
        <f t="shared" si="10"/>
        <v>[Historian]</v>
      </c>
      <c r="BN64" t="str">
        <f t="shared" si="11"/>
        <v>[DigAlmName]</v>
      </c>
      <c r="BO64" t="str">
        <f t="shared" si="12"/>
        <v>[Desc]</v>
      </c>
      <c r="BP64" t="str">
        <f t="shared" si="45"/>
        <v>Alm_Trip</v>
      </c>
      <c r="BQ64" t="str">
        <f t="shared" si="46"/>
        <v/>
      </c>
      <c r="BU64" t="str">
        <f t="shared" si="47"/>
        <v/>
      </c>
      <c r="BV64" t="str">
        <f t="shared" si="13"/>
        <v>[TagPrefixFull]TXF_BU_EL_t</v>
      </c>
      <c r="BW64" t="str">
        <f t="shared" si="14"/>
        <v>[TagPrefixFull]TXF_BU_EL_t</v>
      </c>
      <c r="BX64" t="str">
        <f t="shared" si="15"/>
        <v>[Desc] - Transformer Backup Earth Leakage Protection Relay Tripped</v>
      </c>
      <c r="BY64" t="str">
        <f t="shared" si="16"/>
        <v>[TagPrefixFull]TXF_BU_EL_t</v>
      </c>
      <c r="BZ64" t="str">
        <f t="shared" si="17"/>
        <v>[VariableB]</v>
      </c>
      <c r="CA64" t="str">
        <f t="shared" si="48"/>
        <v>Alm_Trip</v>
      </c>
      <c r="CB64" t="str">
        <f t="shared" si="18"/>
        <v>[Help]</v>
      </c>
      <c r="CC64" t="str">
        <f t="shared" si="19"/>
        <v>Priv_Alarm</v>
      </c>
      <c r="CD64" t="str">
        <f t="shared" si="20"/>
        <v>[Area]</v>
      </c>
      <c r="CE64" t="str">
        <f t="shared" si="21"/>
        <v>[Desc] - Transformer Backup Earth Leakage Protection Relay Tripped</v>
      </c>
      <c r="CH64" t="str">
        <f t="shared" si="22"/>
        <v>[DigAlmName]</v>
      </c>
      <c r="CP64" t="str">
        <f t="shared" si="23"/>
        <v>[Cluster]</v>
      </c>
      <c r="CV64" t="str">
        <f t="shared" si="24"/>
        <v>[Equip]</v>
      </c>
      <c r="CW64" t="e">
        <f t="shared" si="25"/>
        <v>#VALUE!</v>
      </c>
      <c r="CY64" t="str">
        <f t="shared" si="26"/>
        <v/>
      </c>
      <c r="CZ64" t="str">
        <f t="shared" si="27"/>
        <v/>
      </c>
      <c r="DB64" t="str">
        <f t="shared" si="49"/>
        <v/>
      </c>
      <c r="DE64" t="str">
        <f t="shared" si="50"/>
        <v/>
      </c>
      <c r="DF64" t="str">
        <f t="shared" si="51"/>
        <v/>
      </c>
      <c r="DG64" t="str">
        <f t="shared" si="28"/>
        <v/>
      </c>
      <c r="DH64" t="str">
        <f t="shared" si="29"/>
        <v/>
      </c>
      <c r="DI64" t="str">
        <f t="shared" si="30"/>
        <v/>
      </c>
      <c r="DJ64" t="str">
        <f t="shared" si="31"/>
        <v/>
      </c>
      <c r="DK64" t="str">
        <f t="shared" si="32"/>
        <v/>
      </c>
      <c r="DL64" t="str">
        <f t="shared" si="52"/>
        <v/>
      </c>
      <c r="DT64" t="str">
        <f t="shared" si="53"/>
        <v/>
      </c>
      <c r="DU64" t="str">
        <f t="shared" si="33"/>
        <v/>
      </c>
      <c r="DZ64" t="str">
        <f t="shared" si="34"/>
        <v/>
      </c>
      <c r="EA64" t="str">
        <f t="shared" si="35"/>
        <v/>
      </c>
      <c r="EC64" t="str">
        <f t="shared" si="54"/>
        <v/>
      </c>
      <c r="ED64" t="str">
        <f t="shared" si="55"/>
        <v/>
      </c>
    </row>
    <row r="65" spans="1:134" x14ac:dyDescent="0.3">
      <c r="A65" t="s">
        <v>533</v>
      </c>
      <c r="B65" t="s">
        <v>79</v>
      </c>
      <c r="C65" t="s">
        <v>774</v>
      </c>
      <c r="D65" t="s">
        <v>477</v>
      </c>
      <c r="E65" t="s">
        <v>79</v>
      </c>
      <c r="F65" t="s">
        <v>377</v>
      </c>
      <c r="G65" t="s">
        <v>774</v>
      </c>
      <c r="H65" t="s">
        <v>729</v>
      </c>
      <c r="K65" t="s">
        <v>774</v>
      </c>
      <c r="U65" t="s">
        <v>307</v>
      </c>
      <c r="V65" s="6"/>
      <c r="W65" s="32"/>
      <c r="Y65" t="s">
        <v>946</v>
      </c>
      <c r="AF65" t="s">
        <v>718</v>
      </c>
      <c r="AK65" t="str">
        <f t="shared" si="36"/>
        <v>TXF_TAP_COV_t</v>
      </c>
      <c r="AL65" t="str">
        <f t="shared" si="37"/>
        <v>TXF_TAP_COV_t</v>
      </c>
      <c r="AM65" t="b">
        <f t="shared" si="38"/>
        <v>1</v>
      </c>
      <c r="AN65" t="b">
        <f t="shared" si="0"/>
        <v>1</v>
      </c>
      <c r="AO65" t="b">
        <f t="shared" si="1"/>
        <v>0</v>
      </c>
      <c r="AP65" t="b">
        <f t="shared" si="2"/>
        <v>0</v>
      </c>
      <c r="AQ65" t="str">
        <f t="shared" si="3"/>
        <v>[TagPrefixFull]TXF_TAP_COV_t</v>
      </c>
      <c r="AR65" t="str">
        <f>IF($AM65,VLOOKUP(B65,DataTypeMappings!$A$2:$B$18,2,"FALSE"),"")</f>
        <v>DIGITAL</v>
      </c>
      <c r="AS65" t="str">
        <f t="shared" si="4"/>
        <v>[PLC]</v>
      </c>
      <c r="AT65" t="str">
        <f t="shared" si="5"/>
        <v>LW_SS01_TXF.TAP_COV_t</v>
      </c>
      <c r="AU65" t="str">
        <f t="shared" si="39"/>
        <v/>
      </c>
      <c r="AV65" t="str">
        <f t="shared" si="40"/>
        <v/>
      </c>
      <c r="AW65" t="str">
        <f t="shared" si="41"/>
        <v/>
      </c>
      <c r="AX65" t="str">
        <f t="shared" si="42"/>
        <v/>
      </c>
      <c r="AY65" t="str">
        <f t="shared" si="43"/>
        <v/>
      </c>
      <c r="AZ65" t="str">
        <f t="shared" si="44"/>
        <v/>
      </c>
      <c r="BA65" t="str">
        <f t="shared" si="6"/>
        <v>[Desc] - Transformer Tap Changer Cover Limit Tripped</v>
      </c>
      <c r="BJ65" t="str">
        <f t="shared" si="7"/>
        <v>[Cluster]</v>
      </c>
      <c r="BK65" t="str">
        <f t="shared" si="8"/>
        <v>[Equip]</v>
      </c>
      <c r="BL65" t="str">
        <f t="shared" si="9"/>
        <v/>
      </c>
      <c r="BM65" t="str">
        <f t="shared" si="10"/>
        <v>[Historian]</v>
      </c>
      <c r="BN65" t="str">
        <f t="shared" si="11"/>
        <v>[DigAlmName]</v>
      </c>
      <c r="BO65" t="str">
        <f t="shared" si="12"/>
        <v>[Desc]</v>
      </c>
      <c r="BP65" t="str">
        <f t="shared" si="45"/>
        <v>Alm_Trip</v>
      </c>
      <c r="BQ65" t="str">
        <f t="shared" si="46"/>
        <v/>
      </c>
      <c r="BU65" t="str">
        <f t="shared" si="47"/>
        <v/>
      </c>
      <c r="BV65" t="str">
        <f t="shared" si="13"/>
        <v>[TagPrefixFull]TXF_TAP_COV_t</v>
      </c>
      <c r="BW65" t="str">
        <f t="shared" si="14"/>
        <v>[TagPrefixFull]TXF_TAP_COV_t</v>
      </c>
      <c r="BX65" t="str">
        <f t="shared" si="15"/>
        <v>[Desc] - Transformer Tap Changer Cover Limit Tripped</v>
      </c>
      <c r="BY65" t="str">
        <f t="shared" si="16"/>
        <v>[TagPrefixFull]TXF_TAP_COV_t</v>
      </c>
      <c r="BZ65" t="str">
        <f t="shared" si="17"/>
        <v>[VariableB]</v>
      </c>
      <c r="CA65" t="str">
        <f t="shared" si="48"/>
        <v>Alm_Trip</v>
      </c>
      <c r="CB65" t="str">
        <f t="shared" si="18"/>
        <v>[Help]</v>
      </c>
      <c r="CC65" t="str">
        <f t="shared" si="19"/>
        <v>Priv_Alarm</v>
      </c>
      <c r="CD65" t="str">
        <f t="shared" si="20"/>
        <v>[Area]</v>
      </c>
      <c r="CE65" t="str">
        <f t="shared" si="21"/>
        <v>[Desc] - Transformer Tap Changer Cover Limit Tripped</v>
      </c>
      <c r="CH65" t="str">
        <f t="shared" si="22"/>
        <v>[DigAlmName]</v>
      </c>
      <c r="CP65" t="str">
        <f t="shared" si="23"/>
        <v>[Cluster]</v>
      </c>
      <c r="CV65" t="str">
        <f t="shared" si="24"/>
        <v>[Equip]</v>
      </c>
      <c r="CW65" t="e">
        <f t="shared" si="25"/>
        <v>#VALUE!</v>
      </c>
      <c r="CY65" t="str">
        <f t="shared" si="26"/>
        <v/>
      </c>
      <c r="CZ65" t="str">
        <f t="shared" si="27"/>
        <v/>
      </c>
      <c r="DB65" t="str">
        <f t="shared" si="49"/>
        <v/>
      </c>
      <c r="DE65" t="str">
        <f t="shared" si="50"/>
        <v/>
      </c>
      <c r="DF65" t="str">
        <f t="shared" si="51"/>
        <v/>
      </c>
      <c r="DG65" t="str">
        <f t="shared" si="28"/>
        <v/>
      </c>
      <c r="DH65" t="str">
        <f t="shared" si="29"/>
        <v/>
      </c>
      <c r="DI65" t="str">
        <f t="shared" si="30"/>
        <v/>
      </c>
      <c r="DJ65" t="str">
        <f t="shared" si="31"/>
        <v/>
      </c>
      <c r="DK65" t="str">
        <f t="shared" si="32"/>
        <v/>
      </c>
      <c r="DL65" t="str">
        <f t="shared" si="52"/>
        <v/>
      </c>
      <c r="DT65" t="str">
        <f t="shared" si="53"/>
        <v/>
      </c>
      <c r="DU65" t="str">
        <f t="shared" si="33"/>
        <v/>
      </c>
      <c r="DZ65" t="str">
        <f t="shared" si="34"/>
        <v/>
      </c>
      <c r="EA65" t="str">
        <f t="shared" si="35"/>
        <v/>
      </c>
      <c r="EC65" t="str">
        <f t="shared" si="54"/>
        <v/>
      </c>
      <c r="ED65" t="str">
        <f t="shared" si="55"/>
        <v/>
      </c>
    </row>
    <row r="66" spans="1:134" x14ac:dyDescent="0.3">
      <c r="A66" t="s">
        <v>534</v>
      </c>
      <c r="B66" t="s">
        <v>79</v>
      </c>
      <c r="C66" t="s">
        <v>775</v>
      </c>
      <c r="D66" t="s">
        <v>478</v>
      </c>
      <c r="E66" t="s">
        <v>79</v>
      </c>
      <c r="F66" t="s">
        <v>377</v>
      </c>
      <c r="G66" t="s">
        <v>775</v>
      </c>
      <c r="H66" t="s">
        <v>729</v>
      </c>
      <c r="K66" t="s">
        <v>775</v>
      </c>
      <c r="U66" t="s">
        <v>307</v>
      </c>
      <c r="V66" s="6"/>
      <c r="W66" s="32"/>
      <c r="Y66" t="s">
        <v>947</v>
      </c>
      <c r="AF66" t="s">
        <v>718</v>
      </c>
      <c r="AK66" t="str">
        <f t="shared" si="36"/>
        <v>TXF_NER_ISO_t</v>
      </c>
      <c r="AL66" t="str">
        <f t="shared" si="37"/>
        <v>TXF_NER_ISO_t</v>
      </c>
      <c r="AM66" t="b">
        <f t="shared" si="38"/>
        <v>1</v>
      </c>
      <c r="AN66" t="b">
        <f t="shared" si="0"/>
        <v>1</v>
      </c>
      <c r="AO66" t="b">
        <f t="shared" si="1"/>
        <v>0</v>
      </c>
      <c r="AP66" t="b">
        <f t="shared" si="2"/>
        <v>0</v>
      </c>
      <c r="AQ66" t="str">
        <f t="shared" si="3"/>
        <v>[TagPrefixFull]TXF_NER_ISO_t</v>
      </c>
      <c r="AR66" t="str">
        <f>IF($AM66,VLOOKUP(B66,DataTypeMappings!$A$2:$B$18,2,"FALSE"),"")</f>
        <v>DIGITAL</v>
      </c>
      <c r="AS66" t="str">
        <f t="shared" si="4"/>
        <v>[PLC]</v>
      </c>
      <c r="AT66" t="str">
        <f t="shared" si="5"/>
        <v>LW_SS01_TXF.NER_ISO_t</v>
      </c>
      <c r="AU66" t="str">
        <f t="shared" si="39"/>
        <v/>
      </c>
      <c r="AV66" t="str">
        <f t="shared" si="40"/>
        <v/>
      </c>
      <c r="AW66" t="str">
        <f t="shared" si="41"/>
        <v/>
      </c>
      <c r="AX66" t="str">
        <f t="shared" si="42"/>
        <v/>
      </c>
      <c r="AY66" t="str">
        <f t="shared" si="43"/>
        <v/>
      </c>
      <c r="AZ66" t="str">
        <f t="shared" si="44"/>
        <v/>
      </c>
      <c r="BA66" t="str">
        <f t="shared" si="6"/>
        <v>[Desc] - Transformer NER Isolator Tripped</v>
      </c>
      <c r="BJ66" t="str">
        <f t="shared" si="7"/>
        <v>[Cluster]</v>
      </c>
      <c r="BK66" t="str">
        <f t="shared" si="8"/>
        <v>[Equip]</v>
      </c>
      <c r="BL66" t="str">
        <f t="shared" si="9"/>
        <v/>
      </c>
      <c r="BM66" t="str">
        <f t="shared" si="10"/>
        <v>[Historian]</v>
      </c>
      <c r="BN66" t="str">
        <f t="shared" si="11"/>
        <v>[DigAlmName]</v>
      </c>
      <c r="BO66" t="str">
        <f t="shared" si="12"/>
        <v>[Desc]</v>
      </c>
      <c r="BP66" t="str">
        <f t="shared" si="45"/>
        <v>Alm_Trip</v>
      </c>
      <c r="BQ66" t="str">
        <f t="shared" si="46"/>
        <v/>
      </c>
      <c r="BU66" t="str">
        <f t="shared" si="47"/>
        <v/>
      </c>
      <c r="BV66" t="str">
        <f t="shared" si="13"/>
        <v>[TagPrefixFull]TXF_NER_ISO_t</v>
      </c>
      <c r="BW66" t="str">
        <f t="shared" si="14"/>
        <v>[TagPrefixFull]TXF_NER_ISO_t</v>
      </c>
      <c r="BX66" t="str">
        <f t="shared" si="15"/>
        <v>[Desc] - Transformer NER Isolator Tripped</v>
      </c>
      <c r="BY66" t="str">
        <f t="shared" si="16"/>
        <v>[TagPrefixFull]TXF_NER_ISO_t</v>
      </c>
      <c r="BZ66" t="str">
        <f t="shared" si="17"/>
        <v>[VariableB]</v>
      </c>
      <c r="CA66" t="str">
        <f t="shared" si="48"/>
        <v>Alm_Trip</v>
      </c>
      <c r="CB66" t="str">
        <f t="shared" si="18"/>
        <v>[Help]</v>
      </c>
      <c r="CC66" t="str">
        <f t="shared" si="19"/>
        <v>Priv_Alarm</v>
      </c>
      <c r="CD66" t="str">
        <f t="shared" si="20"/>
        <v>[Area]</v>
      </c>
      <c r="CE66" t="str">
        <f t="shared" si="21"/>
        <v>[Desc] - Transformer NER Isolator Tripped</v>
      </c>
      <c r="CH66" t="str">
        <f t="shared" si="22"/>
        <v>[DigAlmName]</v>
      </c>
      <c r="CP66" t="str">
        <f t="shared" si="23"/>
        <v>[Cluster]</v>
      </c>
      <c r="CV66" t="str">
        <f t="shared" si="24"/>
        <v>[Equip]</v>
      </c>
      <c r="CW66" t="e">
        <f t="shared" si="25"/>
        <v>#VALUE!</v>
      </c>
      <c r="CY66" t="str">
        <f t="shared" si="26"/>
        <v/>
      </c>
      <c r="CZ66" t="str">
        <f t="shared" si="27"/>
        <v/>
      </c>
      <c r="DB66" t="str">
        <f t="shared" si="49"/>
        <v/>
      </c>
      <c r="DE66" t="str">
        <f t="shared" si="50"/>
        <v/>
      </c>
      <c r="DF66" t="str">
        <f t="shared" si="51"/>
        <v/>
      </c>
      <c r="DG66" t="str">
        <f t="shared" si="28"/>
        <v/>
      </c>
      <c r="DH66" t="str">
        <f t="shared" si="29"/>
        <v/>
      </c>
      <c r="DI66" t="str">
        <f t="shared" si="30"/>
        <v/>
      </c>
      <c r="DJ66" t="str">
        <f t="shared" si="31"/>
        <v/>
      </c>
      <c r="DK66" t="str">
        <f t="shared" si="32"/>
        <v/>
      </c>
      <c r="DL66" t="str">
        <f t="shared" si="52"/>
        <v/>
      </c>
      <c r="DT66" t="str">
        <f t="shared" si="53"/>
        <v/>
      </c>
      <c r="DU66" t="str">
        <f t="shared" si="33"/>
        <v/>
      </c>
      <c r="DZ66" t="str">
        <f t="shared" si="34"/>
        <v/>
      </c>
      <c r="EA66" t="str">
        <f t="shared" si="35"/>
        <v/>
      </c>
      <c r="EC66" t="str">
        <f t="shared" si="54"/>
        <v/>
      </c>
      <c r="ED66" t="str">
        <f t="shared" si="55"/>
        <v/>
      </c>
    </row>
    <row r="67" spans="1:134" x14ac:dyDescent="0.3">
      <c r="A67" t="s">
        <v>535</v>
      </c>
      <c r="B67" t="s">
        <v>79</v>
      </c>
      <c r="C67" t="s">
        <v>799</v>
      </c>
      <c r="D67" t="s">
        <v>479</v>
      </c>
      <c r="E67" t="s">
        <v>79</v>
      </c>
      <c r="F67" t="s">
        <v>377</v>
      </c>
      <c r="G67" t="s">
        <v>752</v>
      </c>
      <c r="H67" t="s">
        <v>729</v>
      </c>
      <c r="K67" t="s">
        <v>799</v>
      </c>
      <c r="U67" t="s">
        <v>307</v>
      </c>
      <c r="V67" s="6"/>
      <c r="W67" s="32"/>
      <c r="Y67" t="s">
        <v>948</v>
      </c>
      <c r="AF67" t="s">
        <v>718</v>
      </c>
      <c r="AK67" t="str">
        <f t="shared" si="36"/>
        <v>TXF_SEPAM_t</v>
      </c>
      <c r="AL67" t="str">
        <f t="shared" si="37"/>
        <v>TXF_SEPAM_t</v>
      </c>
      <c r="AM67" t="b">
        <f t="shared" si="38"/>
        <v>1</v>
      </c>
      <c r="AN67" t="b">
        <f t="shared" si="0"/>
        <v>1</v>
      </c>
      <c r="AO67" t="b">
        <f t="shared" si="1"/>
        <v>0</v>
      </c>
      <c r="AP67" t="b">
        <f t="shared" si="2"/>
        <v>0</v>
      </c>
      <c r="AQ67" t="str">
        <f t="shared" si="3"/>
        <v>[TagPrefixFull]TXF_SEPAM_t</v>
      </c>
      <c r="AR67" t="str">
        <f>IF($AM67,VLOOKUP(B67,DataTypeMappings!$A$2:$B$18,2,"FALSE"),"")</f>
        <v>DIGITAL</v>
      </c>
      <c r="AS67" t="str">
        <f t="shared" si="4"/>
        <v>[PLC]</v>
      </c>
      <c r="AT67" t="str">
        <f t="shared" si="5"/>
        <v>LW_SS01_TXF.SEPAM_t</v>
      </c>
      <c r="AU67" t="str">
        <f t="shared" si="39"/>
        <v/>
      </c>
      <c r="AV67" t="str">
        <f t="shared" si="40"/>
        <v/>
      </c>
      <c r="AW67" t="str">
        <f t="shared" si="41"/>
        <v/>
      </c>
      <c r="AX67" t="str">
        <f t="shared" si="42"/>
        <v/>
      </c>
      <c r="AY67" t="str">
        <f t="shared" si="43"/>
        <v/>
      </c>
      <c r="AZ67" t="str">
        <f t="shared" si="44"/>
        <v/>
      </c>
      <c r="BA67" t="str">
        <f t="shared" si="6"/>
        <v>[Desc] - Transformer 11kV Supply Sepam Tripped</v>
      </c>
      <c r="BJ67" t="str">
        <f t="shared" si="7"/>
        <v>[Cluster]</v>
      </c>
      <c r="BK67" t="str">
        <f t="shared" si="8"/>
        <v>[Equip]</v>
      </c>
      <c r="BL67" t="str">
        <f t="shared" si="9"/>
        <v/>
      </c>
      <c r="BM67" t="str">
        <f t="shared" si="10"/>
        <v>[Historian]</v>
      </c>
      <c r="BN67" t="str">
        <f t="shared" si="11"/>
        <v>[DigAlmName]</v>
      </c>
      <c r="BO67" t="str">
        <f t="shared" si="12"/>
        <v>[Desc]</v>
      </c>
      <c r="BP67" t="str">
        <f t="shared" si="45"/>
        <v>Alm_Trip</v>
      </c>
      <c r="BQ67" t="str">
        <f t="shared" si="46"/>
        <v/>
      </c>
      <c r="BU67" t="str">
        <f t="shared" si="47"/>
        <v/>
      </c>
      <c r="BV67" t="str">
        <f t="shared" si="13"/>
        <v>[TagPrefixFull]TXF_SEPAM_t</v>
      </c>
      <c r="BW67" t="str">
        <f t="shared" si="14"/>
        <v>[TagPrefixFull]TXF_SEPAM_t</v>
      </c>
      <c r="BX67" t="str">
        <f t="shared" si="15"/>
        <v>[Desc] - Transformer 11kV Supply Sepam Tripped</v>
      </c>
      <c r="BY67" t="str">
        <f t="shared" si="16"/>
        <v>[TagPrefixFull]TXF_SEPAM_t</v>
      </c>
      <c r="BZ67" t="str">
        <f t="shared" si="17"/>
        <v>[VariableB]</v>
      </c>
      <c r="CA67" t="str">
        <f t="shared" si="48"/>
        <v>Alm_Trip</v>
      </c>
      <c r="CB67" t="str">
        <f t="shared" si="18"/>
        <v>[Help]</v>
      </c>
      <c r="CC67" t="str">
        <f t="shared" si="19"/>
        <v>Priv_Alarm</v>
      </c>
      <c r="CD67" t="str">
        <f t="shared" si="20"/>
        <v>[Area]</v>
      </c>
      <c r="CE67" t="str">
        <f t="shared" si="21"/>
        <v>[Desc] - Transformer 11kV Supply Sepam Tripped</v>
      </c>
      <c r="CH67" t="str">
        <f t="shared" si="22"/>
        <v>[DigAlmName]</v>
      </c>
      <c r="CP67" t="str">
        <f t="shared" si="23"/>
        <v>[Cluster]</v>
      </c>
      <c r="CV67" t="str">
        <f t="shared" si="24"/>
        <v>[Equip]</v>
      </c>
      <c r="CW67" t="e">
        <f t="shared" si="25"/>
        <v>#VALUE!</v>
      </c>
      <c r="CY67" t="str">
        <f t="shared" si="26"/>
        <v/>
      </c>
      <c r="CZ67" t="str">
        <f t="shared" si="27"/>
        <v/>
      </c>
      <c r="DB67" t="str">
        <f t="shared" si="49"/>
        <v/>
      </c>
      <c r="DE67" t="str">
        <f t="shared" si="50"/>
        <v/>
      </c>
      <c r="DF67" t="str">
        <f t="shared" si="51"/>
        <v/>
      </c>
      <c r="DG67" t="str">
        <f t="shared" si="28"/>
        <v/>
      </c>
      <c r="DH67" t="str">
        <f t="shared" si="29"/>
        <v/>
      </c>
      <c r="DI67" t="str">
        <f t="shared" si="30"/>
        <v/>
      </c>
      <c r="DJ67" t="str">
        <f t="shared" si="31"/>
        <v/>
      </c>
      <c r="DK67" t="str">
        <f t="shared" si="32"/>
        <v/>
      </c>
      <c r="DL67" t="str">
        <f t="shared" si="52"/>
        <v/>
      </c>
      <c r="DT67" t="str">
        <f t="shared" si="53"/>
        <v/>
      </c>
      <c r="DU67" t="str">
        <f t="shared" si="33"/>
        <v/>
      </c>
      <c r="DZ67" t="str">
        <f t="shared" si="34"/>
        <v/>
      </c>
      <c r="EA67" t="str">
        <f t="shared" si="35"/>
        <v/>
      </c>
      <c r="EC67" t="str">
        <f t="shared" si="54"/>
        <v/>
      </c>
      <c r="ED67" t="str">
        <f t="shared" si="55"/>
        <v/>
      </c>
    </row>
    <row r="68" spans="1:134" x14ac:dyDescent="0.3">
      <c r="A68" t="s">
        <v>536</v>
      </c>
      <c r="B68" t="s">
        <v>79</v>
      </c>
      <c r="C68" t="s">
        <v>800</v>
      </c>
      <c r="D68" t="s">
        <v>480</v>
      </c>
      <c r="E68" t="s">
        <v>79</v>
      </c>
      <c r="F68" t="s">
        <v>377</v>
      </c>
      <c r="G68" t="s">
        <v>776</v>
      </c>
      <c r="H68" t="s">
        <v>729</v>
      </c>
      <c r="K68" t="s">
        <v>800</v>
      </c>
      <c r="U68" t="s">
        <v>307</v>
      </c>
      <c r="V68" s="6"/>
      <c r="W68" s="32"/>
      <c r="Y68" t="s">
        <v>949</v>
      </c>
      <c r="AF68" t="s">
        <v>718</v>
      </c>
      <c r="AK68" t="str">
        <f t="shared" si="36"/>
        <v>TXF_SEPAM_WTDG_t</v>
      </c>
      <c r="AL68" t="str">
        <f t="shared" si="37"/>
        <v>TXF_SEPAM_WTDG_t</v>
      </c>
      <c r="AM68" t="b">
        <f t="shared" si="38"/>
        <v>1</v>
      </c>
      <c r="AN68" t="b">
        <f t="shared" si="0"/>
        <v>1</v>
      </c>
      <c r="AO68" t="b">
        <f t="shared" si="1"/>
        <v>0</v>
      </c>
      <c r="AP68" t="b">
        <f t="shared" si="2"/>
        <v>0</v>
      </c>
      <c r="AQ68" t="str">
        <f t="shared" si="3"/>
        <v>[TagPrefixFull]TXF_SEPAM_WTDG_t</v>
      </c>
      <c r="AR68" t="str">
        <f>IF($AM68,VLOOKUP(B68,DataTypeMappings!$A$2:$B$18,2,"FALSE"),"")</f>
        <v>DIGITAL</v>
      </c>
      <c r="AS68" t="str">
        <f t="shared" si="4"/>
        <v>[PLC]</v>
      </c>
      <c r="AT68" t="str">
        <f t="shared" si="5"/>
        <v>LW_SS01_TXF.SEPAM_WTDG_t</v>
      </c>
      <c r="AU68" t="str">
        <f t="shared" si="39"/>
        <v/>
      </c>
      <c r="AV68" t="str">
        <f t="shared" si="40"/>
        <v/>
      </c>
      <c r="AW68" t="str">
        <f t="shared" si="41"/>
        <v/>
      </c>
      <c r="AX68" t="str">
        <f t="shared" si="42"/>
        <v/>
      </c>
      <c r="AY68" t="str">
        <f t="shared" si="43"/>
        <v/>
      </c>
      <c r="AZ68" t="str">
        <f t="shared" si="44"/>
        <v/>
      </c>
      <c r="BA68" t="str">
        <f t="shared" si="6"/>
        <v>[Desc] - Transformer 11kV Supply Sepam Watchdog Tripped</v>
      </c>
      <c r="BJ68" t="str">
        <f t="shared" si="7"/>
        <v>[Cluster]</v>
      </c>
      <c r="BK68" t="str">
        <f t="shared" si="8"/>
        <v>[Equip]</v>
      </c>
      <c r="BL68" t="str">
        <f t="shared" si="9"/>
        <v/>
      </c>
      <c r="BM68" t="str">
        <f t="shared" si="10"/>
        <v>[Historian]</v>
      </c>
      <c r="BN68" t="str">
        <f t="shared" si="11"/>
        <v>[DigAlmName]</v>
      </c>
      <c r="BO68" t="str">
        <f t="shared" si="12"/>
        <v>[Desc]</v>
      </c>
      <c r="BP68" t="str">
        <f t="shared" si="45"/>
        <v>Alm_Trip</v>
      </c>
      <c r="BQ68" t="str">
        <f t="shared" si="46"/>
        <v/>
      </c>
      <c r="BU68" t="str">
        <f t="shared" si="47"/>
        <v/>
      </c>
      <c r="BV68" t="str">
        <f t="shared" si="13"/>
        <v>[TagPrefixFull]TXF_SEPAM_WTDG_t</v>
      </c>
      <c r="BW68" t="str">
        <f t="shared" si="14"/>
        <v>[TagPrefixFull]TXF_SEPAM_WTDG_t</v>
      </c>
      <c r="BX68" t="str">
        <f t="shared" si="15"/>
        <v>[Desc] - Transformer 11kV Supply Sepam Watchdog Tripped</v>
      </c>
      <c r="BY68" t="str">
        <f t="shared" si="16"/>
        <v>[TagPrefixFull]TXF_SEPAM_WTDG_t</v>
      </c>
      <c r="BZ68" t="str">
        <f t="shared" si="17"/>
        <v>[VariableB]</v>
      </c>
      <c r="CA68" t="str">
        <f t="shared" si="48"/>
        <v>Alm_Trip</v>
      </c>
      <c r="CB68" t="str">
        <f t="shared" si="18"/>
        <v>[Help]</v>
      </c>
      <c r="CC68" t="str">
        <f t="shared" si="19"/>
        <v>Priv_Alarm</v>
      </c>
      <c r="CD68" t="str">
        <f t="shared" si="20"/>
        <v>[Area]</v>
      </c>
      <c r="CE68" t="str">
        <f t="shared" si="21"/>
        <v>[Desc] - Transformer 11kV Supply Sepam Watchdog Tripped</v>
      </c>
      <c r="CH68" t="str">
        <f t="shared" si="22"/>
        <v>[DigAlmName]</v>
      </c>
      <c r="CP68" t="str">
        <f t="shared" si="23"/>
        <v>[Cluster]</v>
      </c>
      <c r="CV68" t="str">
        <f t="shared" si="24"/>
        <v>[Equip]</v>
      </c>
      <c r="CW68" t="e">
        <f t="shared" si="25"/>
        <v>#VALUE!</v>
      </c>
      <c r="CY68" t="str">
        <f t="shared" si="26"/>
        <v/>
      </c>
      <c r="CZ68" t="str">
        <f t="shared" si="27"/>
        <v/>
      </c>
      <c r="DB68" t="str">
        <f t="shared" si="49"/>
        <v/>
      </c>
      <c r="DE68" t="str">
        <f t="shared" si="50"/>
        <v/>
      </c>
      <c r="DF68" t="str">
        <f t="shared" si="51"/>
        <v/>
      </c>
      <c r="DG68" t="str">
        <f t="shared" si="28"/>
        <v/>
      </c>
      <c r="DH68" t="str">
        <f t="shared" si="29"/>
        <v/>
      </c>
      <c r="DI68" t="str">
        <f t="shared" si="30"/>
        <v/>
      </c>
      <c r="DJ68" t="str">
        <f t="shared" si="31"/>
        <v/>
      </c>
      <c r="DK68" t="str">
        <f t="shared" si="32"/>
        <v/>
      </c>
      <c r="DL68" t="str">
        <f t="shared" si="52"/>
        <v/>
      </c>
      <c r="DT68" t="str">
        <f t="shared" si="53"/>
        <v/>
      </c>
      <c r="DU68" t="str">
        <f t="shared" si="33"/>
        <v/>
      </c>
      <c r="DZ68" t="str">
        <f t="shared" si="34"/>
        <v/>
      </c>
      <c r="EA68" t="str">
        <f t="shared" si="35"/>
        <v/>
      </c>
      <c r="EC68" t="str">
        <f t="shared" si="54"/>
        <v/>
      </c>
      <c r="ED68" t="str">
        <f t="shared" si="55"/>
        <v/>
      </c>
    </row>
    <row r="69" spans="1:134" x14ac:dyDescent="0.3">
      <c r="A69" t="s">
        <v>537</v>
      </c>
      <c r="B69" t="s">
        <v>79</v>
      </c>
      <c r="C69" t="s">
        <v>777</v>
      </c>
      <c r="D69" t="s">
        <v>481</v>
      </c>
      <c r="E69" s="99" t="s">
        <v>79</v>
      </c>
      <c r="F69" t="s">
        <v>377</v>
      </c>
      <c r="G69" t="s">
        <v>482</v>
      </c>
      <c r="H69" t="s">
        <v>729</v>
      </c>
      <c r="K69" t="s">
        <v>777</v>
      </c>
      <c r="U69" t="s">
        <v>307</v>
      </c>
      <c r="V69" s="6"/>
      <c r="W69" s="32"/>
      <c r="Y69" t="s">
        <v>950</v>
      </c>
      <c r="AF69" t="s">
        <v>718</v>
      </c>
      <c r="AK69" t="str">
        <f t="shared" si="36"/>
        <v>TXF_SEPAM_OC_t</v>
      </c>
      <c r="AL69" t="str">
        <f t="shared" si="37"/>
        <v>TXF_SEPAM_OC_t</v>
      </c>
      <c r="AM69" t="b">
        <f t="shared" si="38"/>
        <v>1</v>
      </c>
      <c r="AN69" t="b">
        <f t="shared" ref="AN69:AN99" si="56">AND($U69&lt;&gt;"",$AF69&lt;&gt;TRUE, DL_DisableAlarms&lt;&gt;TRUE)</f>
        <v>1</v>
      </c>
      <c r="AO69" t="b">
        <f t="shared" ref="AO69:AO99" si="57">AND($T69&lt;&gt;"",$AF69&lt;&gt;TRUE,DL_DisableTrends&lt;&gt;TRUE)</f>
        <v>0</v>
      </c>
      <c r="AP69" t="b">
        <f t="shared" ref="AP69:AP99" si="58">AND(DL_PVEnable=TRUE,$AC69&lt;&gt;"IGNORE",$AF69&lt;&gt;TRUE)</f>
        <v>0</v>
      </c>
      <c r="AQ69" t="str">
        <f t="shared" ref="AQ69:AQ99" si="59">IF($AM69,DL_TagPrefixFull&amp;A69,"")</f>
        <v>[TagPrefixFull]TXF_SEPAM_OC_t</v>
      </c>
      <c r="AR69" t="str">
        <f>IF($AM69,VLOOKUP(B69,DataTypeMappings!$A$2:$B$18,2,"FALSE"),"")</f>
        <v>DIGITAL</v>
      </c>
      <c r="AS69" t="str">
        <f t="shared" ref="AS69:AS99" si="60">IF($AM69,IF(AG69&lt;&gt;"",AG69,DL_PLC),"")</f>
        <v>[PLC]</v>
      </c>
      <c r="AT69" t="str">
        <f t="shared" ref="AT69:AT99" si="61">IF($AM69,IF($Y69="",DL_AddrPrefixFull&amp;AK69,Y69),"")</f>
        <v>LW_SS01_TXF.SEPAM_OC_t</v>
      </c>
      <c r="AU69" t="str">
        <f t="shared" si="39"/>
        <v/>
      </c>
      <c r="AV69" t="str">
        <f t="shared" si="40"/>
        <v/>
      </c>
      <c r="AW69" t="str">
        <f t="shared" si="41"/>
        <v/>
      </c>
      <c r="AX69" t="str">
        <f t="shared" si="42"/>
        <v/>
      </c>
      <c r="AY69" t="str">
        <f t="shared" si="43"/>
        <v/>
      </c>
      <c r="AZ69" t="str">
        <f t="shared" si="44"/>
        <v/>
      </c>
      <c r="BA69" t="str">
        <f t="shared" ref="BA69:BA99" si="62">IF($AM69,IF(DL_Desc &lt;&gt; "", DL_Desc &amp; Global_Seperator &amp; K69, K69), "")</f>
        <v>[Desc] - Transformer Sepam Overcurrent Trip</v>
      </c>
      <c r="BJ69" t="str">
        <f t="shared" ref="BJ69:BJ99" si="63">IF($AM69,IF(AH69&lt;&gt;"",AH69,DL_Cluster),"")</f>
        <v>[Cluster]</v>
      </c>
      <c r="BK69" t="str">
        <f t="shared" ref="BK69:BK99" si="64">IF($AM69,IF(Z69&lt;&gt;"",Z69,DL_Equip),"")</f>
        <v>[Equip]</v>
      </c>
      <c r="BL69" t="str">
        <f t="shared" ref="BL69:BL99" si="65">IF($AM69,IF(BK69&lt;&gt;"",IF(DL_EnableItem="TRUE",IF(AA69&lt;&gt;"",AA69,A69),""),""),"")</f>
        <v/>
      </c>
      <c r="BM69" t="str">
        <f t="shared" ref="BM69:BM99" si="66">IF($AM69,TRIM(DL_Historian), "")</f>
        <v>[Historian]</v>
      </c>
      <c r="BN69" t="str">
        <f t="shared" ref="BN69:BN99" si="67">IF($AM69,TRIM(DL_DigAlmName), "")</f>
        <v>[DigAlmName]</v>
      </c>
      <c r="BO69" t="str">
        <f t="shared" ref="BO69:BO99" si="68">IF($AM69,TRIM(DL_Desc), "")</f>
        <v>[Desc]</v>
      </c>
      <c r="BP69" t="str">
        <f t="shared" si="45"/>
        <v>Alm_Trip</v>
      </c>
      <c r="BQ69" t="str">
        <f t="shared" si="46"/>
        <v/>
      </c>
      <c r="BU69" t="str">
        <f t="shared" si="47"/>
        <v/>
      </c>
      <c r="BV69" t="str">
        <f t="shared" ref="BV69:BV99" si="69">IF($AN69,DL_TagPrefixFull&amp;A69,"")</f>
        <v>[TagPrefixFull]TXF_SEPAM_OC_t</v>
      </c>
      <c r="BW69" t="str">
        <f t="shared" ref="BW69:BW99" si="70">IF($AN69,DL_TagPrefixFull&amp;A69,"")</f>
        <v>[TagPrefixFull]TXF_SEPAM_OC_t</v>
      </c>
      <c r="BX69" t="str">
        <f t="shared" ref="BX69:BX99" si="71">IF($AN69,IF(AI69&lt;&gt;"",AI69,IF(DL_Desc &lt;&gt; "", DL_Desc &amp; Global_Seperator &amp; K69, K69)),"")</f>
        <v>[Desc] - Transformer Sepam Overcurrent Trip</v>
      </c>
      <c r="BY69" t="str">
        <f t="shared" ref="BY69:BY99" si="72">IF($AN69,DL_TagPrefixFull&amp;A69,"")</f>
        <v>[TagPrefixFull]TXF_SEPAM_OC_t</v>
      </c>
      <c r="BZ69" t="str">
        <f t="shared" ref="BZ69:BZ99" si="73">IF($AN69,IF(DL_VariableB&lt;&gt;"",DL_VariableB,""),"")</f>
        <v>[VariableB]</v>
      </c>
      <c r="CA69" t="str">
        <f t="shared" si="48"/>
        <v>Alm_Trip</v>
      </c>
      <c r="CB69" t="str">
        <f t="shared" ref="CB69:CB99" si="74">IF($AN69,IF(AB69&lt;&gt;"",AB69,DL_Help),"")</f>
        <v>[Help]</v>
      </c>
      <c r="CC69" t="str">
        <f t="shared" ref="CC69:CC99" si="75">IF($AN69,Global_Alarm_Priv,"")</f>
        <v>Priv_Alarm</v>
      </c>
      <c r="CD69" t="str">
        <f t="shared" ref="CD69:CD99" si="76">IF($AN69,TRIM(DL_Area),"")</f>
        <v>[Area]</v>
      </c>
      <c r="CE69" t="str">
        <f t="shared" ref="CE69:CE99" si="77">IF($AN69,IF(DL_Desc&lt;&gt;"",DL_Desc &amp; Global_Seperator &amp; K69, K69),"")</f>
        <v>[Desc] - Transformer Sepam Overcurrent Trip</v>
      </c>
      <c r="CH69" t="str">
        <f t="shared" ref="CH69:CH99" si="78">IF($AN69,DL_DigAlmName,"")</f>
        <v>[DigAlmName]</v>
      </c>
      <c r="CP69" t="str">
        <f t="shared" ref="CP69:CP99" si="79">IF($AN69,IF(AH69&lt;&gt;"",AH69,DL_Cluster),"")</f>
        <v>[Cluster]</v>
      </c>
      <c r="CV69" t="str">
        <f t="shared" ref="CV69:CV99" si="80">IF($AN69,IF(Z69&lt;&gt;"",Z69,DL_Equip),"")</f>
        <v>[Equip]</v>
      </c>
      <c r="CW69" t="e">
        <f t="shared" ref="CW69:CW99" si="81">IF($AN69,IF(CV69&lt;&gt;"",IF(DL_EnableItem,IF(AA69&lt;&gt;"",AA69,A69),""),""),"")</f>
        <v>#VALUE!</v>
      </c>
      <c r="CY69" t="str">
        <f t="shared" ref="CY69:CY99" si="82">IF($AO69,DL_TagPrefixFull&amp;A69,"")</f>
        <v/>
      </c>
      <c r="CZ69" t="str">
        <f t="shared" ref="CZ69:CZ99" si="83">IF($AO69,DL_TagPrefixFull&amp;A69,"")</f>
        <v/>
      </c>
      <c r="DB69" t="str">
        <f t="shared" si="49"/>
        <v/>
      </c>
      <c r="DE69" t="str">
        <f t="shared" si="50"/>
        <v/>
      </c>
      <c r="DF69" t="str">
        <f t="shared" si="51"/>
        <v/>
      </c>
      <c r="DG69" t="str">
        <f t="shared" ref="DG69:DG99" si="84">IF($AO69,IF(DL_TrendPrefixOverride&lt;&gt;"",DL_TrendPrefixOverride&amp;AQ69&amp;"\"&amp;AQ69,Global_Trend_Prefix&amp;AQ69&amp;"\"&amp;AQ69),"")</f>
        <v/>
      </c>
      <c r="DH69" t="str">
        <f t="shared" ref="DH69:DH99" si="85">IF($AO69,TRIM(Global_Trend_NumFiles),"")</f>
        <v/>
      </c>
      <c r="DI69" t="str">
        <f t="shared" ref="DI69:DI99" si="86">IF($AO69,TRIM(Global_Trend_Time),"")</f>
        <v/>
      </c>
      <c r="DJ69" t="str">
        <f t="shared" ref="DJ69:DJ99" si="87">IF($AO69,TRIM(Global_Trend_Period),"")</f>
        <v/>
      </c>
      <c r="DK69" t="str">
        <f t="shared" ref="DK69:DK99" si="88">IF($AO69, DL_DigAlmName &amp; Global_Seperator &amp; IF(DL_Desc&lt;&gt;"",DL_Desc &amp; Global_Seperator &amp; K69, K69),"")</f>
        <v/>
      </c>
      <c r="DL69" t="str">
        <f t="shared" si="52"/>
        <v/>
      </c>
      <c r="DT69" t="str">
        <f t="shared" si="53"/>
        <v/>
      </c>
      <c r="DU69" t="str">
        <f t="shared" ref="DU69:DU99" si="89">IF($AO69,IF(AH69&lt;&gt;"",AH69,DL_Cluster),"")</f>
        <v/>
      </c>
      <c r="DZ69" t="str">
        <f t="shared" ref="DZ69:DZ99" si="90">IF($AO69,IF(Z69&lt;&gt;"",Z69,DL_Equip),"")</f>
        <v/>
      </c>
      <c r="EA69" t="str">
        <f t="shared" ref="EA69:EA99" si="91">IF($AO69,IF(DZ69&lt;&gt;"",IF(DL_EnableItem,IF(AA69&lt;&gt;"",AA69,A69),""),""),"")</f>
        <v/>
      </c>
      <c r="EC69" t="str">
        <f t="shared" si="54"/>
        <v/>
      </c>
      <c r="ED69" t="str">
        <f t="shared" si="55"/>
        <v/>
      </c>
    </row>
    <row r="70" spans="1:134" x14ac:dyDescent="0.3">
      <c r="A70" t="s">
        <v>538</v>
      </c>
      <c r="B70" t="s">
        <v>79</v>
      </c>
      <c r="C70" t="s">
        <v>778</v>
      </c>
      <c r="D70" t="s">
        <v>483</v>
      </c>
      <c r="E70" t="s">
        <v>79</v>
      </c>
      <c r="F70" t="s">
        <v>377</v>
      </c>
      <c r="G70" t="s">
        <v>484</v>
      </c>
      <c r="H70" t="s">
        <v>729</v>
      </c>
      <c r="K70" t="s">
        <v>778</v>
      </c>
      <c r="U70" t="s">
        <v>307</v>
      </c>
      <c r="V70" s="6"/>
      <c r="W70" s="32"/>
      <c r="Y70" t="s">
        <v>951</v>
      </c>
      <c r="AF70" t="s">
        <v>718</v>
      </c>
      <c r="AK70" t="str">
        <f t="shared" ref="AK70:AK99" si="92">IF(V70="",A70,V70)&amp;IF(W70&lt;&gt;"","{"&amp;W70&amp;"}","")&amp;IF(X70&lt;&gt;"","/"&amp;X70,"")</f>
        <v>TXF_SEPAM_SC_t</v>
      </c>
      <c r="AL70" t="str">
        <f t="shared" ref="AL70:AL99" si="93">IF(V70="",A70,V70)&amp;IF(W70&lt;&gt;"","["&amp;W70&amp;"]","")&amp;IF(X70&lt;&gt;"","/"&amp;X70,"")</f>
        <v>TXF_SEPAM_SC_t</v>
      </c>
      <c r="AM70" t="b">
        <f t="shared" ref="AM70:AM99" si="94">$AF70&lt;&gt;TRUE</f>
        <v>1</v>
      </c>
      <c r="AN70" t="b">
        <f t="shared" si="56"/>
        <v>1</v>
      </c>
      <c r="AO70" t="b">
        <f t="shared" si="57"/>
        <v>0</v>
      </c>
      <c r="AP70" t="b">
        <f t="shared" si="58"/>
        <v>0</v>
      </c>
      <c r="AQ70" t="str">
        <f t="shared" si="59"/>
        <v>[TagPrefixFull]TXF_SEPAM_SC_t</v>
      </c>
      <c r="AR70" t="str">
        <f>IF($AM70,VLOOKUP(B70,DataTypeMappings!$A$2:$B$18,2,"FALSE"),"")</f>
        <v>DIGITAL</v>
      </c>
      <c r="AS70" t="str">
        <f t="shared" si="60"/>
        <v>[PLC]</v>
      </c>
      <c r="AT70" t="str">
        <f t="shared" si="61"/>
        <v>LW_SS01_TXF.SEPAM_SC_t</v>
      </c>
      <c r="AU70" t="str">
        <f t="shared" ref="AU70:AU99" si="95">IF($AM70,TRIM(L70),"")</f>
        <v/>
      </c>
      <c r="AV70" t="str">
        <f t="shared" ref="AV70:AV99" si="96">IF($AM70,TRIM(M70),"")</f>
        <v/>
      </c>
      <c r="AW70" t="str">
        <f t="shared" ref="AW70:AW99" si="97">IF($AM70,TRIM(N70),"")</f>
        <v/>
      </c>
      <c r="AX70" t="str">
        <f t="shared" ref="AX70:AX99" si="98">IF($AM70,TRIM(O70),"")</f>
        <v/>
      </c>
      <c r="AY70" t="str">
        <f t="shared" ref="AY70:AY99" si="99">IF($AM70,TRIM(R70),"")</f>
        <v/>
      </c>
      <c r="AZ70" t="str">
        <f t="shared" ref="AZ70:AZ99" si="100">IF($AM70,TRIM(S70),"")</f>
        <v/>
      </c>
      <c r="BA70" t="str">
        <f t="shared" si="62"/>
        <v>[Desc] - Transformer SEPAM Short Circuit Trip</v>
      </c>
      <c r="BJ70" t="str">
        <f t="shared" si="63"/>
        <v>[Cluster]</v>
      </c>
      <c r="BK70" t="str">
        <f t="shared" si="64"/>
        <v>[Equip]</v>
      </c>
      <c r="BL70" t="str">
        <f t="shared" si="65"/>
        <v/>
      </c>
      <c r="BM70" t="str">
        <f t="shared" si="66"/>
        <v>[Historian]</v>
      </c>
      <c r="BN70" t="str">
        <f t="shared" si="67"/>
        <v>[DigAlmName]</v>
      </c>
      <c r="BO70" t="str">
        <f t="shared" si="68"/>
        <v>[Desc]</v>
      </c>
      <c r="BP70" t="str">
        <f t="shared" ref="BP70:BP99" si="101">IF($AN70,U70,"")</f>
        <v>Alm_Trip</v>
      </c>
      <c r="BQ70" t="str">
        <f t="shared" ref="BQ70:BQ99" si="102">IF($AO70,T70,"")</f>
        <v/>
      </c>
      <c r="BU70" t="str">
        <f t="shared" ref="BU70:BU99" si="103">IF($AM70,TRIM(AJ70), "")</f>
        <v/>
      </c>
      <c r="BV70" t="str">
        <f t="shared" si="69"/>
        <v>[TagPrefixFull]TXF_SEPAM_SC_t</v>
      </c>
      <c r="BW70" t="str">
        <f t="shared" si="70"/>
        <v>[TagPrefixFull]TXF_SEPAM_SC_t</v>
      </c>
      <c r="BX70" t="str">
        <f t="shared" si="71"/>
        <v>[Desc] - Transformer SEPAM Short Circuit Trip</v>
      </c>
      <c r="BY70" t="str">
        <f t="shared" si="72"/>
        <v>[TagPrefixFull]TXF_SEPAM_SC_t</v>
      </c>
      <c r="BZ70" t="str">
        <f t="shared" si="73"/>
        <v>[VariableB]</v>
      </c>
      <c r="CA70" t="str">
        <f t="shared" ref="CA70:CA99" si="104">IF($AN70,U70,"")</f>
        <v>Alm_Trip</v>
      </c>
      <c r="CB70" t="str">
        <f t="shared" si="74"/>
        <v>[Help]</v>
      </c>
      <c r="CC70" t="str">
        <f t="shared" si="75"/>
        <v>Priv_Alarm</v>
      </c>
      <c r="CD70" t="str">
        <f t="shared" si="76"/>
        <v>[Area]</v>
      </c>
      <c r="CE70" t="str">
        <f t="shared" si="77"/>
        <v>[Desc] - Transformer SEPAM Short Circuit Trip</v>
      </c>
      <c r="CH70" t="str">
        <f t="shared" si="78"/>
        <v>[DigAlmName]</v>
      </c>
      <c r="CP70" t="str">
        <f t="shared" si="79"/>
        <v>[Cluster]</v>
      </c>
      <c r="CV70" t="str">
        <f t="shared" si="80"/>
        <v>[Equip]</v>
      </c>
      <c r="CW70" t="e">
        <f t="shared" si="81"/>
        <v>#VALUE!</v>
      </c>
      <c r="CY70" t="str">
        <f t="shared" si="82"/>
        <v/>
      </c>
      <c r="CZ70" t="str">
        <f t="shared" si="83"/>
        <v/>
      </c>
      <c r="DB70" t="str">
        <f t="shared" ref="DB70:DB99" si="105">IF($AO70,T70,"")</f>
        <v/>
      </c>
      <c r="DE70" t="str">
        <f t="shared" ref="DE70:DE99" si="106">IF($AO70,TRIM(R70),"")</f>
        <v/>
      </c>
      <c r="DF70" t="str">
        <f t="shared" ref="DF70:DF99" si="107">IF($AO70,TRIM(S70),"")</f>
        <v/>
      </c>
      <c r="DG70" t="str">
        <f t="shared" si="84"/>
        <v/>
      </c>
      <c r="DH70" t="str">
        <f t="shared" si="85"/>
        <v/>
      </c>
      <c r="DI70" t="str">
        <f t="shared" si="86"/>
        <v/>
      </c>
      <c r="DJ70" t="str">
        <f t="shared" si="87"/>
        <v/>
      </c>
      <c r="DK70" t="str">
        <f t="shared" si="88"/>
        <v/>
      </c>
      <c r="DL70" t="str">
        <f t="shared" ref="DL70:DL99" si="108">IF($AO70,"TRN_PERIODIC","")</f>
        <v/>
      </c>
      <c r="DT70" t="str">
        <f t="shared" ref="DT70:DT99" si="109">IF($AO70,IF(AR70="DIGITAL","Scaled (2-byte samples)","Floating Point (8-byte samples)"),"")</f>
        <v/>
      </c>
      <c r="DU70" t="str">
        <f t="shared" si="89"/>
        <v/>
      </c>
      <c r="DZ70" t="str">
        <f t="shared" si="90"/>
        <v/>
      </c>
      <c r="EA70" t="str">
        <f t="shared" si="91"/>
        <v/>
      </c>
      <c r="EC70" t="str">
        <f t="shared" ref="EC70:EC99" si="110">IF($AO70,TRIM(P70),"")</f>
        <v/>
      </c>
      <c r="ED70" t="str">
        <f t="shared" ref="ED70:ED99" si="111">IF($AO70,TRIM(Q70),"")</f>
        <v/>
      </c>
    </row>
    <row r="71" spans="1:134" x14ac:dyDescent="0.3">
      <c r="A71" t="s">
        <v>539</v>
      </c>
      <c r="B71" t="s">
        <v>79</v>
      </c>
      <c r="C71" t="s">
        <v>779</v>
      </c>
      <c r="D71" t="s">
        <v>485</v>
      </c>
      <c r="E71" t="s">
        <v>79</v>
      </c>
      <c r="F71" t="s">
        <v>377</v>
      </c>
      <c r="G71" t="s">
        <v>486</v>
      </c>
      <c r="H71" t="s">
        <v>729</v>
      </c>
      <c r="K71" t="s">
        <v>779</v>
      </c>
      <c r="U71" t="s">
        <v>307</v>
      </c>
      <c r="V71" s="6"/>
      <c r="W71" s="32"/>
      <c r="Y71" t="s">
        <v>952</v>
      </c>
      <c r="AF71" t="s">
        <v>718</v>
      </c>
      <c r="AK71" t="str">
        <f t="shared" si="92"/>
        <v>TXF_LT_DR_LIM_t</v>
      </c>
      <c r="AL71" t="str">
        <f t="shared" si="93"/>
        <v>TXF_LT_DR_LIM_t</v>
      </c>
      <c r="AM71" t="b">
        <f t="shared" si="94"/>
        <v>1</v>
      </c>
      <c r="AN71" t="b">
        <f t="shared" si="56"/>
        <v>1</v>
      </c>
      <c r="AO71" t="b">
        <f t="shared" si="57"/>
        <v>0</v>
      </c>
      <c r="AP71" t="b">
        <f t="shared" si="58"/>
        <v>0</v>
      </c>
      <c r="AQ71" t="str">
        <f t="shared" si="59"/>
        <v>[TagPrefixFull]TXF_LT_DR_LIM_t</v>
      </c>
      <c r="AR71" t="str">
        <f>IF($AM71,VLOOKUP(B71,DataTypeMappings!$A$2:$B$18,2,"FALSE"),"")</f>
        <v>DIGITAL</v>
      </c>
      <c r="AS71" t="str">
        <f t="shared" si="60"/>
        <v>[PLC]</v>
      </c>
      <c r="AT71" t="str">
        <f t="shared" si="61"/>
        <v>LW_SS01_TXF.LT_DR_LIM_t</v>
      </c>
      <c r="AU71" t="str">
        <f t="shared" si="95"/>
        <v/>
      </c>
      <c r="AV71" t="str">
        <f t="shared" si="96"/>
        <v/>
      </c>
      <c r="AW71" t="str">
        <f t="shared" si="97"/>
        <v/>
      </c>
      <c r="AX71" t="str">
        <f t="shared" si="98"/>
        <v/>
      </c>
      <c r="AY71" t="str">
        <f t="shared" si="99"/>
        <v/>
      </c>
      <c r="AZ71" t="str">
        <f t="shared" si="100"/>
        <v/>
      </c>
      <c r="BA71" t="str">
        <f t="shared" si="62"/>
        <v>[Desc] - Transformer LT Door Limits Trip</v>
      </c>
      <c r="BJ71" t="str">
        <f t="shared" si="63"/>
        <v>[Cluster]</v>
      </c>
      <c r="BK71" t="str">
        <f t="shared" si="64"/>
        <v>[Equip]</v>
      </c>
      <c r="BL71" t="str">
        <f t="shared" si="65"/>
        <v/>
      </c>
      <c r="BM71" t="str">
        <f t="shared" si="66"/>
        <v>[Historian]</v>
      </c>
      <c r="BN71" t="str">
        <f t="shared" si="67"/>
        <v>[DigAlmName]</v>
      </c>
      <c r="BO71" t="str">
        <f t="shared" si="68"/>
        <v>[Desc]</v>
      </c>
      <c r="BP71" t="str">
        <f t="shared" si="101"/>
        <v>Alm_Trip</v>
      </c>
      <c r="BQ71" t="str">
        <f t="shared" si="102"/>
        <v/>
      </c>
      <c r="BU71" t="str">
        <f t="shared" si="103"/>
        <v/>
      </c>
      <c r="BV71" t="str">
        <f t="shared" si="69"/>
        <v>[TagPrefixFull]TXF_LT_DR_LIM_t</v>
      </c>
      <c r="BW71" t="str">
        <f t="shared" si="70"/>
        <v>[TagPrefixFull]TXF_LT_DR_LIM_t</v>
      </c>
      <c r="BX71" t="str">
        <f t="shared" si="71"/>
        <v>[Desc] - Transformer LT Door Limits Trip</v>
      </c>
      <c r="BY71" t="str">
        <f t="shared" si="72"/>
        <v>[TagPrefixFull]TXF_LT_DR_LIM_t</v>
      </c>
      <c r="BZ71" t="str">
        <f t="shared" si="73"/>
        <v>[VariableB]</v>
      </c>
      <c r="CA71" t="str">
        <f t="shared" si="104"/>
        <v>Alm_Trip</v>
      </c>
      <c r="CB71" t="str">
        <f t="shared" si="74"/>
        <v>[Help]</v>
      </c>
      <c r="CC71" t="str">
        <f t="shared" si="75"/>
        <v>Priv_Alarm</v>
      </c>
      <c r="CD71" t="str">
        <f t="shared" si="76"/>
        <v>[Area]</v>
      </c>
      <c r="CE71" t="str">
        <f t="shared" si="77"/>
        <v>[Desc] - Transformer LT Door Limits Trip</v>
      </c>
      <c r="CH71" t="str">
        <f t="shared" si="78"/>
        <v>[DigAlmName]</v>
      </c>
      <c r="CP71" t="str">
        <f t="shared" si="79"/>
        <v>[Cluster]</v>
      </c>
      <c r="CV71" t="str">
        <f t="shared" si="80"/>
        <v>[Equip]</v>
      </c>
      <c r="CW71" t="e">
        <f t="shared" si="81"/>
        <v>#VALUE!</v>
      </c>
      <c r="CY71" t="str">
        <f t="shared" si="82"/>
        <v/>
      </c>
      <c r="CZ71" t="str">
        <f t="shared" si="83"/>
        <v/>
      </c>
      <c r="DB71" t="str">
        <f t="shared" si="105"/>
        <v/>
      </c>
      <c r="DE71" t="str">
        <f t="shared" si="106"/>
        <v/>
      </c>
      <c r="DF71" t="str">
        <f t="shared" si="107"/>
        <v/>
      </c>
      <c r="DG71" t="str">
        <f t="shared" si="84"/>
        <v/>
      </c>
      <c r="DH71" t="str">
        <f t="shared" si="85"/>
        <v/>
      </c>
      <c r="DI71" t="str">
        <f t="shared" si="86"/>
        <v/>
      </c>
      <c r="DJ71" t="str">
        <f t="shared" si="87"/>
        <v/>
      </c>
      <c r="DK71" t="str">
        <f t="shared" si="88"/>
        <v/>
      </c>
      <c r="DL71" t="str">
        <f t="shared" si="108"/>
        <v/>
      </c>
      <c r="DT71" t="str">
        <f t="shared" si="109"/>
        <v/>
      </c>
      <c r="DU71" t="str">
        <f t="shared" si="89"/>
        <v/>
      </c>
      <c r="DZ71" t="str">
        <f t="shared" si="90"/>
        <v/>
      </c>
      <c r="EA71" t="str">
        <f t="shared" si="91"/>
        <v/>
      </c>
      <c r="EC71" t="str">
        <f t="shared" si="110"/>
        <v/>
      </c>
      <c r="ED71" t="str">
        <f t="shared" si="111"/>
        <v/>
      </c>
    </row>
    <row r="72" spans="1:134" x14ac:dyDescent="0.3">
      <c r="A72" t="s">
        <v>540</v>
      </c>
      <c r="B72" t="s">
        <v>79</v>
      </c>
      <c r="C72" t="s">
        <v>792</v>
      </c>
      <c r="D72" t="s">
        <v>487</v>
      </c>
      <c r="E72" t="s">
        <v>79</v>
      </c>
      <c r="F72" t="s">
        <v>377</v>
      </c>
      <c r="G72" t="s">
        <v>793</v>
      </c>
      <c r="H72" t="s">
        <v>729</v>
      </c>
      <c r="K72" t="s">
        <v>792</v>
      </c>
      <c r="U72" t="s">
        <v>307</v>
      </c>
      <c r="V72" s="6"/>
      <c r="W72" s="32"/>
      <c r="Y72" t="s">
        <v>953</v>
      </c>
      <c r="AF72" t="s">
        <v>718</v>
      </c>
      <c r="AK72" t="str">
        <f t="shared" si="92"/>
        <v>TXF_NER_RES_t</v>
      </c>
      <c r="AL72" t="str">
        <f t="shared" si="93"/>
        <v>TXF_NER_RES_t</v>
      </c>
      <c r="AM72" t="b">
        <f t="shared" si="94"/>
        <v>1</v>
      </c>
      <c r="AN72" t="b">
        <f t="shared" si="56"/>
        <v>1</v>
      </c>
      <c r="AO72" t="b">
        <f t="shared" si="57"/>
        <v>0</v>
      </c>
      <c r="AP72" t="b">
        <f t="shared" si="58"/>
        <v>0</v>
      </c>
      <c r="AQ72" t="str">
        <f t="shared" si="59"/>
        <v>[TagPrefixFull]TXF_NER_RES_t</v>
      </c>
      <c r="AR72" t="str">
        <f>IF($AM72,VLOOKUP(B72,DataTypeMappings!$A$2:$B$18,2,"FALSE"),"")</f>
        <v>DIGITAL</v>
      </c>
      <c r="AS72" t="str">
        <f t="shared" si="60"/>
        <v>[PLC]</v>
      </c>
      <c r="AT72" t="str">
        <f t="shared" si="61"/>
        <v>LW_SS01_TXF.NER_RES_t</v>
      </c>
      <c r="AU72" t="str">
        <f t="shared" si="95"/>
        <v/>
      </c>
      <c r="AV72" t="str">
        <f t="shared" si="96"/>
        <v/>
      </c>
      <c r="AW72" t="str">
        <f t="shared" si="97"/>
        <v/>
      </c>
      <c r="AX72" t="str">
        <f t="shared" si="98"/>
        <v/>
      </c>
      <c r="AY72" t="str">
        <f t="shared" si="99"/>
        <v/>
      </c>
      <c r="AZ72" t="str">
        <f t="shared" si="100"/>
        <v/>
      </c>
      <c r="BA72" t="str">
        <f t="shared" si="62"/>
        <v>[Desc] - Transformer Neutral Earthing Resistor Fault</v>
      </c>
      <c r="BJ72" t="str">
        <f t="shared" si="63"/>
        <v>[Cluster]</v>
      </c>
      <c r="BK72" t="str">
        <f t="shared" si="64"/>
        <v>[Equip]</v>
      </c>
      <c r="BL72" t="str">
        <f t="shared" si="65"/>
        <v/>
      </c>
      <c r="BM72" t="str">
        <f t="shared" si="66"/>
        <v>[Historian]</v>
      </c>
      <c r="BN72" t="str">
        <f t="shared" si="67"/>
        <v>[DigAlmName]</v>
      </c>
      <c r="BO72" t="str">
        <f t="shared" si="68"/>
        <v>[Desc]</v>
      </c>
      <c r="BP72" t="str">
        <f t="shared" si="101"/>
        <v>Alm_Trip</v>
      </c>
      <c r="BQ72" t="str">
        <f t="shared" si="102"/>
        <v/>
      </c>
      <c r="BU72" t="str">
        <f t="shared" si="103"/>
        <v/>
      </c>
      <c r="BV72" t="str">
        <f t="shared" si="69"/>
        <v>[TagPrefixFull]TXF_NER_RES_t</v>
      </c>
      <c r="BW72" t="str">
        <f t="shared" si="70"/>
        <v>[TagPrefixFull]TXF_NER_RES_t</v>
      </c>
      <c r="BX72" t="str">
        <f t="shared" si="71"/>
        <v>[Desc] - Transformer Neutral Earthing Resistor Fault</v>
      </c>
      <c r="BY72" t="str">
        <f t="shared" si="72"/>
        <v>[TagPrefixFull]TXF_NER_RES_t</v>
      </c>
      <c r="BZ72" t="str">
        <f t="shared" si="73"/>
        <v>[VariableB]</v>
      </c>
      <c r="CA72" t="str">
        <f t="shared" si="104"/>
        <v>Alm_Trip</v>
      </c>
      <c r="CB72" t="str">
        <f t="shared" si="74"/>
        <v>[Help]</v>
      </c>
      <c r="CC72" t="str">
        <f t="shared" si="75"/>
        <v>Priv_Alarm</v>
      </c>
      <c r="CD72" t="str">
        <f t="shared" si="76"/>
        <v>[Area]</v>
      </c>
      <c r="CE72" t="str">
        <f t="shared" si="77"/>
        <v>[Desc] - Transformer Neutral Earthing Resistor Fault</v>
      </c>
      <c r="CH72" t="str">
        <f t="shared" si="78"/>
        <v>[DigAlmName]</v>
      </c>
      <c r="CP72" t="str">
        <f t="shared" si="79"/>
        <v>[Cluster]</v>
      </c>
      <c r="CV72" t="str">
        <f t="shared" si="80"/>
        <v>[Equip]</v>
      </c>
      <c r="CW72" t="e">
        <f t="shared" si="81"/>
        <v>#VALUE!</v>
      </c>
      <c r="CY72" t="str">
        <f t="shared" si="82"/>
        <v/>
      </c>
      <c r="CZ72" t="str">
        <f t="shared" si="83"/>
        <v/>
      </c>
      <c r="DB72" t="str">
        <f t="shared" si="105"/>
        <v/>
      </c>
      <c r="DE72" t="str">
        <f t="shared" si="106"/>
        <v/>
      </c>
      <c r="DF72" t="str">
        <f t="shared" si="107"/>
        <v/>
      </c>
      <c r="DG72" t="str">
        <f t="shared" si="84"/>
        <v/>
      </c>
      <c r="DH72" t="str">
        <f t="shared" si="85"/>
        <v/>
      </c>
      <c r="DI72" t="str">
        <f t="shared" si="86"/>
        <v/>
      </c>
      <c r="DJ72" t="str">
        <f t="shared" si="87"/>
        <v/>
      </c>
      <c r="DK72" t="str">
        <f t="shared" si="88"/>
        <v/>
      </c>
      <c r="DL72" t="str">
        <f t="shared" si="108"/>
        <v/>
      </c>
      <c r="DT72" t="str">
        <f t="shared" si="109"/>
        <v/>
      </c>
      <c r="DU72" t="str">
        <f t="shared" si="89"/>
        <v/>
      </c>
      <c r="DZ72" t="str">
        <f t="shared" si="90"/>
        <v/>
      </c>
      <c r="EA72" t="str">
        <f t="shared" si="91"/>
        <v/>
      </c>
      <c r="EC72" t="str">
        <f t="shared" si="110"/>
        <v/>
      </c>
      <c r="ED72" t="str">
        <f t="shared" si="111"/>
        <v/>
      </c>
    </row>
    <row r="73" spans="1:134" x14ac:dyDescent="0.3">
      <c r="A73" t="s">
        <v>541</v>
      </c>
      <c r="B73" t="s">
        <v>79</v>
      </c>
      <c r="C73" t="s">
        <v>796</v>
      </c>
      <c r="D73" t="s">
        <v>488</v>
      </c>
      <c r="E73" t="s">
        <v>79</v>
      </c>
      <c r="F73" t="s">
        <v>377</v>
      </c>
      <c r="G73" t="s">
        <v>797</v>
      </c>
      <c r="H73" t="s">
        <v>729</v>
      </c>
      <c r="K73" t="s">
        <v>796</v>
      </c>
      <c r="U73" t="s">
        <v>307</v>
      </c>
      <c r="V73" s="6"/>
      <c r="W73" s="32"/>
      <c r="Y73" t="s">
        <v>954</v>
      </c>
      <c r="AF73" t="s">
        <v>718</v>
      </c>
      <c r="AK73" t="str">
        <f t="shared" si="92"/>
        <v>TXF_NER_MON_t</v>
      </c>
      <c r="AL73" t="str">
        <f t="shared" si="93"/>
        <v>TXF_NER_MON_t</v>
      </c>
      <c r="AM73" t="b">
        <f t="shared" si="94"/>
        <v>1</v>
      </c>
      <c r="AN73" t="b">
        <f t="shared" si="56"/>
        <v>1</v>
      </c>
      <c r="AO73" t="b">
        <f t="shared" si="57"/>
        <v>0</v>
      </c>
      <c r="AP73" t="b">
        <f t="shared" si="58"/>
        <v>0</v>
      </c>
      <c r="AQ73" t="str">
        <f t="shared" si="59"/>
        <v>[TagPrefixFull]TXF_NER_MON_t</v>
      </c>
      <c r="AR73" t="str">
        <f>IF($AM73,VLOOKUP(B73,DataTypeMappings!$A$2:$B$18,2,"FALSE"),"")</f>
        <v>DIGITAL</v>
      </c>
      <c r="AS73" t="str">
        <f t="shared" si="60"/>
        <v>[PLC]</v>
      </c>
      <c r="AT73" t="str">
        <f t="shared" si="61"/>
        <v>LW_SS01_TXF.NER_MON_t</v>
      </c>
      <c r="AU73" t="str">
        <f t="shared" si="95"/>
        <v/>
      </c>
      <c r="AV73" t="str">
        <f t="shared" si="96"/>
        <v/>
      </c>
      <c r="AW73" t="str">
        <f t="shared" si="97"/>
        <v/>
      </c>
      <c r="AX73" t="str">
        <f t="shared" si="98"/>
        <v/>
      </c>
      <c r="AY73" t="str">
        <f t="shared" si="99"/>
        <v/>
      </c>
      <c r="AZ73" t="str">
        <f t="shared" si="100"/>
        <v/>
      </c>
      <c r="BA73" t="str">
        <f t="shared" si="62"/>
        <v>[Desc] - Transformer Neutral Earthing Monitor Tripped</v>
      </c>
      <c r="BJ73" t="str">
        <f t="shared" si="63"/>
        <v>[Cluster]</v>
      </c>
      <c r="BK73" t="str">
        <f t="shared" si="64"/>
        <v>[Equip]</v>
      </c>
      <c r="BL73" t="str">
        <f t="shared" si="65"/>
        <v/>
      </c>
      <c r="BM73" t="str">
        <f t="shared" si="66"/>
        <v>[Historian]</v>
      </c>
      <c r="BN73" t="str">
        <f t="shared" si="67"/>
        <v>[DigAlmName]</v>
      </c>
      <c r="BO73" t="str">
        <f t="shared" si="68"/>
        <v>[Desc]</v>
      </c>
      <c r="BP73" t="str">
        <f t="shared" si="101"/>
        <v>Alm_Trip</v>
      </c>
      <c r="BQ73" t="str">
        <f t="shared" si="102"/>
        <v/>
      </c>
      <c r="BU73" t="str">
        <f t="shared" si="103"/>
        <v/>
      </c>
      <c r="BV73" t="str">
        <f t="shared" si="69"/>
        <v>[TagPrefixFull]TXF_NER_MON_t</v>
      </c>
      <c r="BW73" t="str">
        <f t="shared" si="70"/>
        <v>[TagPrefixFull]TXF_NER_MON_t</v>
      </c>
      <c r="BX73" t="str">
        <f t="shared" si="71"/>
        <v>[Desc] - Transformer Neutral Earthing Monitor Tripped</v>
      </c>
      <c r="BY73" t="str">
        <f t="shared" si="72"/>
        <v>[TagPrefixFull]TXF_NER_MON_t</v>
      </c>
      <c r="BZ73" t="str">
        <f t="shared" si="73"/>
        <v>[VariableB]</v>
      </c>
      <c r="CA73" t="str">
        <f t="shared" si="104"/>
        <v>Alm_Trip</v>
      </c>
      <c r="CB73" t="str">
        <f t="shared" si="74"/>
        <v>[Help]</v>
      </c>
      <c r="CC73" t="str">
        <f t="shared" si="75"/>
        <v>Priv_Alarm</v>
      </c>
      <c r="CD73" t="str">
        <f t="shared" si="76"/>
        <v>[Area]</v>
      </c>
      <c r="CE73" t="str">
        <f t="shared" si="77"/>
        <v>[Desc] - Transformer Neutral Earthing Monitor Tripped</v>
      </c>
      <c r="CH73" t="str">
        <f t="shared" si="78"/>
        <v>[DigAlmName]</v>
      </c>
      <c r="CP73" t="str">
        <f t="shared" si="79"/>
        <v>[Cluster]</v>
      </c>
      <c r="CV73" t="str">
        <f t="shared" si="80"/>
        <v>[Equip]</v>
      </c>
      <c r="CW73" t="e">
        <f t="shared" si="81"/>
        <v>#VALUE!</v>
      </c>
      <c r="CY73" t="str">
        <f t="shared" si="82"/>
        <v/>
      </c>
      <c r="CZ73" t="str">
        <f t="shared" si="83"/>
        <v/>
      </c>
      <c r="DB73" t="str">
        <f t="shared" si="105"/>
        <v/>
      </c>
      <c r="DE73" t="str">
        <f t="shared" si="106"/>
        <v/>
      </c>
      <c r="DF73" t="str">
        <f t="shared" si="107"/>
        <v/>
      </c>
      <c r="DG73" t="str">
        <f t="shared" si="84"/>
        <v/>
      </c>
      <c r="DH73" t="str">
        <f t="shared" si="85"/>
        <v/>
      </c>
      <c r="DI73" t="str">
        <f t="shared" si="86"/>
        <v/>
      </c>
      <c r="DJ73" t="str">
        <f t="shared" si="87"/>
        <v/>
      </c>
      <c r="DK73" t="str">
        <f t="shared" si="88"/>
        <v/>
      </c>
      <c r="DL73" t="str">
        <f t="shared" si="108"/>
        <v/>
      </c>
      <c r="DT73" t="str">
        <f t="shared" si="109"/>
        <v/>
      </c>
      <c r="DU73" t="str">
        <f t="shared" si="89"/>
        <v/>
      </c>
      <c r="DZ73" t="str">
        <f t="shared" si="90"/>
        <v/>
      </c>
      <c r="EA73" t="str">
        <f t="shared" si="91"/>
        <v/>
      </c>
      <c r="EC73" t="str">
        <f t="shared" si="110"/>
        <v/>
      </c>
      <c r="ED73" t="str">
        <f t="shared" si="111"/>
        <v/>
      </c>
    </row>
    <row r="74" spans="1:134" x14ac:dyDescent="0.3">
      <c r="A74" t="s">
        <v>575</v>
      </c>
      <c r="B74" t="s">
        <v>79</v>
      </c>
      <c r="C74" t="s">
        <v>780</v>
      </c>
      <c r="D74" t="s">
        <v>489</v>
      </c>
      <c r="E74" t="s">
        <v>79</v>
      </c>
      <c r="F74" t="s">
        <v>377</v>
      </c>
      <c r="G74" t="s">
        <v>780</v>
      </c>
      <c r="H74" t="s">
        <v>729</v>
      </c>
      <c r="K74" t="s">
        <v>780</v>
      </c>
      <c r="U74" t="s">
        <v>307</v>
      </c>
      <c r="V74" s="6"/>
      <c r="W74" s="32"/>
      <c r="Y74" t="s">
        <v>955</v>
      </c>
      <c r="AF74" t="s">
        <v>718</v>
      </c>
      <c r="AK74" t="str">
        <f t="shared" si="92"/>
        <v>TXF_Tank_Under_Press_t</v>
      </c>
      <c r="AL74" t="str">
        <f t="shared" si="93"/>
        <v>TXF_Tank_Under_Press_t</v>
      </c>
      <c r="AM74" t="b">
        <f t="shared" si="94"/>
        <v>1</v>
      </c>
      <c r="AN74" t="b">
        <f t="shared" si="56"/>
        <v>1</v>
      </c>
      <c r="AO74" t="b">
        <f t="shared" si="57"/>
        <v>0</v>
      </c>
      <c r="AP74" t="b">
        <f t="shared" si="58"/>
        <v>0</v>
      </c>
      <c r="AQ74" t="str">
        <f t="shared" si="59"/>
        <v>[TagPrefixFull]TXF_Tank_Under_Press_t</v>
      </c>
      <c r="AR74" t="str">
        <f>IF($AM74,VLOOKUP(B74,DataTypeMappings!$A$2:$B$18,2,"FALSE"),"")</f>
        <v>DIGITAL</v>
      </c>
      <c r="AS74" t="str">
        <f t="shared" si="60"/>
        <v>[PLC]</v>
      </c>
      <c r="AT74" t="str">
        <f t="shared" si="61"/>
        <v>LW_SS01_TXF.TANK_UNDER_PRESS_t</v>
      </c>
      <c r="AU74" t="str">
        <f t="shared" si="95"/>
        <v/>
      </c>
      <c r="AV74" t="str">
        <f t="shared" si="96"/>
        <v/>
      </c>
      <c r="AW74" t="str">
        <f t="shared" si="97"/>
        <v/>
      </c>
      <c r="AX74" t="str">
        <f t="shared" si="98"/>
        <v/>
      </c>
      <c r="AY74" t="str">
        <f t="shared" si="99"/>
        <v/>
      </c>
      <c r="AZ74" t="str">
        <f t="shared" si="100"/>
        <v/>
      </c>
      <c r="BA74" t="str">
        <f t="shared" si="62"/>
        <v>[Desc] - Transformer Underpresssure (&lt;2kPA) Tripped</v>
      </c>
      <c r="BJ74" t="str">
        <f t="shared" si="63"/>
        <v>[Cluster]</v>
      </c>
      <c r="BK74" t="str">
        <f t="shared" si="64"/>
        <v>[Equip]</v>
      </c>
      <c r="BL74" t="str">
        <f t="shared" si="65"/>
        <v/>
      </c>
      <c r="BM74" t="str">
        <f t="shared" si="66"/>
        <v>[Historian]</v>
      </c>
      <c r="BN74" t="str">
        <f t="shared" si="67"/>
        <v>[DigAlmName]</v>
      </c>
      <c r="BO74" t="str">
        <f t="shared" si="68"/>
        <v>[Desc]</v>
      </c>
      <c r="BP74" t="str">
        <f t="shared" si="101"/>
        <v>Alm_Trip</v>
      </c>
      <c r="BQ74" t="str">
        <f t="shared" si="102"/>
        <v/>
      </c>
      <c r="BU74" t="str">
        <f t="shared" si="103"/>
        <v/>
      </c>
      <c r="BV74" t="str">
        <f t="shared" si="69"/>
        <v>[TagPrefixFull]TXF_Tank_Under_Press_t</v>
      </c>
      <c r="BW74" t="str">
        <f t="shared" si="70"/>
        <v>[TagPrefixFull]TXF_Tank_Under_Press_t</v>
      </c>
      <c r="BX74" t="str">
        <f t="shared" si="71"/>
        <v>[Desc] - Transformer Underpresssure (&lt;2kPA) Tripped</v>
      </c>
      <c r="BY74" t="str">
        <f t="shared" si="72"/>
        <v>[TagPrefixFull]TXF_Tank_Under_Press_t</v>
      </c>
      <c r="BZ74" t="str">
        <f t="shared" si="73"/>
        <v>[VariableB]</v>
      </c>
      <c r="CA74" t="str">
        <f t="shared" si="104"/>
        <v>Alm_Trip</v>
      </c>
      <c r="CB74" t="str">
        <f t="shared" si="74"/>
        <v>[Help]</v>
      </c>
      <c r="CC74" t="str">
        <f t="shared" si="75"/>
        <v>Priv_Alarm</v>
      </c>
      <c r="CD74" t="str">
        <f t="shared" si="76"/>
        <v>[Area]</v>
      </c>
      <c r="CE74" t="str">
        <f t="shared" si="77"/>
        <v>[Desc] - Transformer Underpresssure (&lt;2kPA) Tripped</v>
      </c>
      <c r="CH74" t="str">
        <f t="shared" si="78"/>
        <v>[DigAlmName]</v>
      </c>
      <c r="CP74" t="str">
        <f t="shared" si="79"/>
        <v>[Cluster]</v>
      </c>
      <c r="CV74" t="str">
        <f t="shared" si="80"/>
        <v>[Equip]</v>
      </c>
      <c r="CW74" t="e">
        <f t="shared" si="81"/>
        <v>#VALUE!</v>
      </c>
      <c r="CY74" t="str">
        <f t="shared" si="82"/>
        <v/>
      </c>
      <c r="CZ74" t="str">
        <f t="shared" si="83"/>
        <v/>
      </c>
      <c r="DB74" t="str">
        <f t="shared" si="105"/>
        <v/>
      </c>
      <c r="DE74" t="str">
        <f t="shared" si="106"/>
        <v/>
      </c>
      <c r="DF74" t="str">
        <f t="shared" si="107"/>
        <v/>
      </c>
      <c r="DG74" t="str">
        <f t="shared" si="84"/>
        <v/>
      </c>
      <c r="DH74" t="str">
        <f t="shared" si="85"/>
        <v/>
      </c>
      <c r="DI74" t="str">
        <f t="shared" si="86"/>
        <v/>
      </c>
      <c r="DJ74" t="str">
        <f t="shared" si="87"/>
        <v/>
      </c>
      <c r="DK74" t="str">
        <f t="shared" si="88"/>
        <v/>
      </c>
      <c r="DL74" t="str">
        <f t="shared" si="108"/>
        <v/>
      </c>
      <c r="DT74" t="str">
        <f t="shared" si="109"/>
        <v/>
      </c>
      <c r="DU74" t="str">
        <f t="shared" si="89"/>
        <v/>
      </c>
      <c r="DZ74" t="str">
        <f t="shared" si="90"/>
        <v/>
      </c>
      <c r="EA74" t="str">
        <f t="shared" si="91"/>
        <v/>
      </c>
      <c r="EC74" t="str">
        <f t="shared" si="110"/>
        <v/>
      </c>
      <c r="ED74" t="str">
        <f t="shared" si="111"/>
        <v/>
      </c>
    </row>
    <row r="75" spans="1:134" x14ac:dyDescent="0.3">
      <c r="A75" t="s">
        <v>576</v>
      </c>
      <c r="B75" t="s">
        <v>79</v>
      </c>
      <c r="C75" t="s">
        <v>781</v>
      </c>
      <c r="D75" t="s">
        <v>490</v>
      </c>
      <c r="E75" t="s">
        <v>79</v>
      </c>
      <c r="F75" t="s">
        <v>377</v>
      </c>
      <c r="G75" t="s">
        <v>781</v>
      </c>
      <c r="H75" t="s">
        <v>729</v>
      </c>
      <c r="K75" t="s">
        <v>781</v>
      </c>
      <c r="U75" t="s">
        <v>307</v>
      </c>
      <c r="V75" s="6"/>
      <c r="W75" s="32"/>
      <c r="Y75" t="s">
        <v>956</v>
      </c>
      <c r="AF75" t="s">
        <v>718</v>
      </c>
      <c r="AK75" t="str">
        <f t="shared" si="92"/>
        <v>TXF_Tank_Over_Press_t</v>
      </c>
      <c r="AL75" t="str">
        <f t="shared" si="93"/>
        <v>TXF_Tank_Over_Press_t</v>
      </c>
      <c r="AM75" t="b">
        <f t="shared" si="94"/>
        <v>1</v>
      </c>
      <c r="AN75" t="b">
        <f t="shared" si="56"/>
        <v>1</v>
      </c>
      <c r="AO75" t="b">
        <f t="shared" si="57"/>
        <v>0</v>
      </c>
      <c r="AP75" t="b">
        <f t="shared" si="58"/>
        <v>0</v>
      </c>
      <c r="AQ75" t="str">
        <f t="shared" si="59"/>
        <v>[TagPrefixFull]TXF_Tank_Over_Press_t</v>
      </c>
      <c r="AR75" t="str">
        <f>IF($AM75,VLOOKUP(B75,DataTypeMappings!$A$2:$B$18,2,"FALSE"),"")</f>
        <v>DIGITAL</v>
      </c>
      <c r="AS75" t="str">
        <f t="shared" si="60"/>
        <v>[PLC]</v>
      </c>
      <c r="AT75" t="str">
        <f t="shared" si="61"/>
        <v>LW_SS01_TXF.TANK_OVER_PRESS_t</v>
      </c>
      <c r="AU75" t="str">
        <f t="shared" si="95"/>
        <v/>
      </c>
      <c r="AV75" t="str">
        <f t="shared" si="96"/>
        <v/>
      </c>
      <c r="AW75" t="str">
        <f t="shared" si="97"/>
        <v/>
      </c>
      <c r="AX75" t="str">
        <f t="shared" si="98"/>
        <v/>
      </c>
      <c r="AY75" t="str">
        <f t="shared" si="99"/>
        <v/>
      </c>
      <c r="AZ75" t="str">
        <f t="shared" si="100"/>
        <v/>
      </c>
      <c r="BA75" t="str">
        <f t="shared" si="62"/>
        <v>[Desc] - Transformer Overpresssure (&gt;51kPA) Tripped</v>
      </c>
      <c r="BJ75" t="str">
        <f t="shared" si="63"/>
        <v>[Cluster]</v>
      </c>
      <c r="BK75" t="str">
        <f t="shared" si="64"/>
        <v>[Equip]</v>
      </c>
      <c r="BL75" t="str">
        <f t="shared" si="65"/>
        <v/>
      </c>
      <c r="BM75" t="str">
        <f t="shared" si="66"/>
        <v>[Historian]</v>
      </c>
      <c r="BN75" t="str">
        <f t="shared" si="67"/>
        <v>[DigAlmName]</v>
      </c>
      <c r="BO75" t="str">
        <f t="shared" si="68"/>
        <v>[Desc]</v>
      </c>
      <c r="BP75" t="str">
        <f t="shared" si="101"/>
        <v>Alm_Trip</v>
      </c>
      <c r="BQ75" t="str">
        <f t="shared" si="102"/>
        <v/>
      </c>
      <c r="BU75" t="str">
        <f t="shared" si="103"/>
        <v/>
      </c>
      <c r="BV75" t="str">
        <f t="shared" si="69"/>
        <v>[TagPrefixFull]TXF_Tank_Over_Press_t</v>
      </c>
      <c r="BW75" t="str">
        <f t="shared" si="70"/>
        <v>[TagPrefixFull]TXF_Tank_Over_Press_t</v>
      </c>
      <c r="BX75" t="str">
        <f t="shared" si="71"/>
        <v>[Desc] - Transformer Overpresssure (&gt;51kPA) Tripped</v>
      </c>
      <c r="BY75" t="str">
        <f t="shared" si="72"/>
        <v>[TagPrefixFull]TXF_Tank_Over_Press_t</v>
      </c>
      <c r="BZ75" t="str">
        <f t="shared" si="73"/>
        <v>[VariableB]</v>
      </c>
      <c r="CA75" t="str">
        <f t="shared" si="104"/>
        <v>Alm_Trip</v>
      </c>
      <c r="CB75" t="str">
        <f t="shared" si="74"/>
        <v>[Help]</v>
      </c>
      <c r="CC75" t="str">
        <f t="shared" si="75"/>
        <v>Priv_Alarm</v>
      </c>
      <c r="CD75" t="str">
        <f t="shared" si="76"/>
        <v>[Area]</v>
      </c>
      <c r="CE75" t="str">
        <f t="shared" si="77"/>
        <v>[Desc] - Transformer Overpresssure (&gt;51kPA) Tripped</v>
      </c>
      <c r="CH75" t="str">
        <f t="shared" si="78"/>
        <v>[DigAlmName]</v>
      </c>
      <c r="CP75" t="str">
        <f t="shared" si="79"/>
        <v>[Cluster]</v>
      </c>
      <c r="CV75" t="str">
        <f t="shared" si="80"/>
        <v>[Equip]</v>
      </c>
      <c r="CW75" t="e">
        <f t="shared" si="81"/>
        <v>#VALUE!</v>
      </c>
      <c r="CY75" t="str">
        <f t="shared" si="82"/>
        <v/>
      </c>
      <c r="CZ75" t="str">
        <f t="shared" si="83"/>
        <v/>
      </c>
      <c r="DB75" t="str">
        <f t="shared" si="105"/>
        <v/>
      </c>
      <c r="DE75" t="str">
        <f t="shared" si="106"/>
        <v/>
      </c>
      <c r="DF75" t="str">
        <f t="shared" si="107"/>
        <v/>
      </c>
      <c r="DG75" t="str">
        <f t="shared" si="84"/>
        <v/>
      </c>
      <c r="DH75" t="str">
        <f t="shared" si="85"/>
        <v/>
      </c>
      <c r="DI75" t="str">
        <f t="shared" si="86"/>
        <v/>
      </c>
      <c r="DJ75" t="str">
        <f t="shared" si="87"/>
        <v/>
      </c>
      <c r="DK75" t="str">
        <f t="shared" si="88"/>
        <v/>
      </c>
      <c r="DL75" t="str">
        <f t="shared" si="108"/>
        <v/>
      </c>
      <c r="DT75" t="str">
        <f t="shared" si="109"/>
        <v/>
      </c>
      <c r="DU75" t="str">
        <f t="shared" si="89"/>
        <v/>
      </c>
      <c r="DZ75" t="str">
        <f t="shared" si="90"/>
        <v/>
      </c>
      <c r="EA75" t="str">
        <f t="shared" si="91"/>
        <v/>
      </c>
      <c r="EC75" t="str">
        <f t="shared" si="110"/>
        <v/>
      </c>
      <c r="ED75" t="str">
        <f t="shared" si="111"/>
        <v/>
      </c>
    </row>
    <row r="76" spans="1:134" x14ac:dyDescent="0.3">
      <c r="A76" t="s">
        <v>542</v>
      </c>
      <c r="B76" t="s">
        <v>79</v>
      </c>
      <c r="C76" t="s">
        <v>782</v>
      </c>
      <c r="D76" t="s">
        <v>491</v>
      </c>
      <c r="E76" t="s">
        <v>79</v>
      </c>
      <c r="F76" t="s">
        <v>377</v>
      </c>
      <c r="G76" t="s">
        <v>492</v>
      </c>
      <c r="H76" t="s">
        <v>729</v>
      </c>
      <c r="K76" t="s">
        <v>782</v>
      </c>
      <c r="U76" t="s">
        <v>307</v>
      </c>
      <c r="V76" s="6"/>
      <c r="W76" s="32"/>
      <c r="Y76" t="s">
        <v>957</v>
      </c>
      <c r="AF76" t="s">
        <v>718</v>
      </c>
      <c r="AK76" t="str">
        <f t="shared" si="92"/>
        <v>TXF_CONT_ISOL_t</v>
      </c>
      <c r="AL76" t="str">
        <f t="shared" si="93"/>
        <v>TXF_CONT_ISOL_t</v>
      </c>
      <c r="AM76" t="b">
        <f t="shared" si="94"/>
        <v>1</v>
      </c>
      <c r="AN76" t="b">
        <f t="shared" si="56"/>
        <v>1</v>
      </c>
      <c r="AO76" t="b">
        <f t="shared" si="57"/>
        <v>0</v>
      </c>
      <c r="AP76" t="b">
        <f t="shared" si="58"/>
        <v>0</v>
      </c>
      <c r="AQ76" t="str">
        <f t="shared" si="59"/>
        <v>[TagPrefixFull]TXF_CONT_ISOL_t</v>
      </c>
      <c r="AR76" t="str">
        <f>IF($AM76,VLOOKUP(B76,DataTypeMappings!$A$2:$B$18,2,"FALSE"),"")</f>
        <v>DIGITAL</v>
      </c>
      <c r="AS76" t="str">
        <f t="shared" si="60"/>
        <v>[PLC]</v>
      </c>
      <c r="AT76" t="str">
        <f t="shared" si="61"/>
        <v>LW_SS01_TXF.CONT_ISOL_t</v>
      </c>
      <c r="AU76" t="str">
        <f t="shared" si="95"/>
        <v/>
      </c>
      <c r="AV76" t="str">
        <f t="shared" si="96"/>
        <v/>
      </c>
      <c r="AW76" t="str">
        <f t="shared" si="97"/>
        <v/>
      </c>
      <c r="AX76" t="str">
        <f t="shared" si="98"/>
        <v/>
      </c>
      <c r="AY76" t="str">
        <f t="shared" si="99"/>
        <v/>
      </c>
      <c r="AZ76" t="str">
        <f t="shared" si="100"/>
        <v/>
      </c>
      <c r="BA76" t="str">
        <f t="shared" si="62"/>
        <v>[Desc] - Transformer Control Isolator Tripped</v>
      </c>
      <c r="BJ76" t="str">
        <f t="shared" si="63"/>
        <v>[Cluster]</v>
      </c>
      <c r="BK76" t="str">
        <f t="shared" si="64"/>
        <v>[Equip]</v>
      </c>
      <c r="BL76" t="str">
        <f t="shared" si="65"/>
        <v/>
      </c>
      <c r="BM76" t="str">
        <f t="shared" si="66"/>
        <v>[Historian]</v>
      </c>
      <c r="BN76" t="str">
        <f t="shared" si="67"/>
        <v>[DigAlmName]</v>
      </c>
      <c r="BO76" t="str">
        <f t="shared" si="68"/>
        <v>[Desc]</v>
      </c>
      <c r="BP76" t="str">
        <f t="shared" si="101"/>
        <v>Alm_Trip</v>
      </c>
      <c r="BQ76" t="str">
        <f t="shared" si="102"/>
        <v/>
      </c>
      <c r="BU76" t="str">
        <f t="shared" si="103"/>
        <v/>
      </c>
      <c r="BV76" t="str">
        <f t="shared" si="69"/>
        <v>[TagPrefixFull]TXF_CONT_ISOL_t</v>
      </c>
      <c r="BW76" t="str">
        <f t="shared" si="70"/>
        <v>[TagPrefixFull]TXF_CONT_ISOL_t</v>
      </c>
      <c r="BX76" t="str">
        <f t="shared" si="71"/>
        <v>[Desc] - Transformer Control Isolator Tripped</v>
      </c>
      <c r="BY76" t="str">
        <f t="shared" si="72"/>
        <v>[TagPrefixFull]TXF_CONT_ISOL_t</v>
      </c>
      <c r="BZ76" t="str">
        <f t="shared" si="73"/>
        <v>[VariableB]</v>
      </c>
      <c r="CA76" t="str">
        <f t="shared" si="104"/>
        <v>Alm_Trip</v>
      </c>
      <c r="CB76" t="str">
        <f t="shared" si="74"/>
        <v>[Help]</v>
      </c>
      <c r="CC76" t="str">
        <f t="shared" si="75"/>
        <v>Priv_Alarm</v>
      </c>
      <c r="CD76" t="str">
        <f t="shared" si="76"/>
        <v>[Area]</v>
      </c>
      <c r="CE76" t="str">
        <f t="shared" si="77"/>
        <v>[Desc] - Transformer Control Isolator Tripped</v>
      </c>
      <c r="CH76" t="str">
        <f t="shared" si="78"/>
        <v>[DigAlmName]</v>
      </c>
      <c r="CP76" t="str">
        <f t="shared" si="79"/>
        <v>[Cluster]</v>
      </c>
      <c r="CV76" t="str">
        <f t="shared" si="80"/>
        <v>[Equip]</v>
      </c>
      <c r="CW76" t="e">
        <f t="shared" si="81"/>
        <v>#VALUE!</v>
      </c>
      <c r="CY76" t="str">
        <f t="shared" si="82"/>
        <v/>
      </c>
      <c r="CZ76" t="str">
        <f t="shared" si="83"/>
        <v/>
      </c>
      <c r="DB76" t="str">
        <f t="shared" si="105"/>
        <v/>
      </c>
      <c r="DE76" t="str">
        <f t="shared" si="106"/>
        <v/>
      </c>
      <c r="DF76" t="str">
        <f t="shared" si="107"/>
        <v/>
      </c>
      <c r="DG76" t="str">
        <f t="shared" si="84"/>
        <v/>
      </c>
      <c r="DH76" t="str">
        <f t="shared" si="85"/>
        <v/>
      </c>
      <c r="DI76" t="str">
        <f t="shared" si="86"/>
        <v/>
      </c>
      <c r="DJ76" t="str">
        <f t="shared" si="87"/>
        <v/>
      </c>
      <c r="DK76" t="str">
        <f t="shared" si="88"/>
        <v/>
      </c>
      <c r="DL76" t="str">
        <f t="shared" si="108"/>
        <v/>
      </c>
      <c r="DT76" t="str">
        <f t="shared" si="109"/>
        <v/>
      </c>
      <c r="DU76" t="str">
        <f t="shared" si="89"/>
        <v/>
      </c>
      <c r="DZ76" t="str">
        <f t="shared" si="90"/>
        <v/>
      </c>
      <c r="EA76" t="str">
        <f t="shared" si="91"/>
        <v/>
      </c>
      <c r="EC76" t="str">
        <f t="shared" si="110"/>
        <v/>
      </c>
      <c r="ED76" t="str">
        <f t="shared" si="111"/>
        <v/>
      </c>
    </row>
    <row r="77" spans="1:134" x14ac:dyDescent="0.3">
      <c r="A77" t="s">
        <v>543</v>
      </c>
      <c r="B77" t="s">
        <v>79</v>
      </c>
      <c r="C77" t="s">
        <v>783</v>
      </c>
      <c r="D77" t="s">
        <v>493</v>
      </c>
      <c r="E77" t="s">
        <v>79</v>
      </c>
      <c r="F77" t="s">
        <v>377</v>
      </c>
      <c r="G77" t="s">
        <v>494</v>
      </c>
      <c r="H77" t="s">
        <v>729</v>
      </c>
      <c r="K77" t="s">
        <v>783</v>
      </c>
      <c r="U77" t="s">
        <v>307</v>
      </c>
      <c r="V77" s="6"/>
      <c r="W77" s="32"/>
      <c r="Y77" t="s">
        <v>958</v>
      </c>
      <c r="AF77" t="s">
        <v>718</v>
      </c>
      <c r="AK77" t="str">
        <f t="shared" si="92"/>
        <v>TXF_ESTP_t</v>
      </c>
      <c r="AL77" t="str">
        <f t="shared" si="93"/>
        <v>TXF_ESTP_t</v>
      </c>
      <c r="AM77" t="b">
        <f t="shared" si="94"/>
        <v>1</v>
      </c>
      <c r="AN77" t="b">
        <f t="shared" si="56"/>
        <v>1</v>
      </c>
      <c r="AO77" t="b">
        <f t="shared" si="57"/>
        <v>0</v>
      </c>
      <c r="AP77" t="b">
        <f t="shared" si="58"/>
        <v>0</v>
      </c>
      <c r="AQ77" t="str">
        <f t="shared" si="59"/>
        <v>[TagPrefixFull]TXF_ESTP_t</v>
      </c>
      <c r="AR77" t="str">
        <f>IF($AM77,VLOOKUP(B77,DataTypeMappings!$A$2:$B$18,2,"FALSE"),"")</f>
        <v>DIGITAL</v>
      </c>
      <c r="AS77" t="str">
        <f t="shared" si="60"/>
        <v>[PLC]</v>
      </c>
      <c r="AT77" t="str">
        <f t="shared" si="61"/>
        <v>LW_SS01_TXF.ESTP_t</v>
      </c>
      <c r="AU77" t="str">
        <f t="shared" si="95"/>
        <v/>
      </c>
      <c r="AV77" t="str">
        <f t="shared" si="96"/>
        <v/>
      </c>
      <c r="AW77" t="str">
        <f t="shared" si="97"/>
        <v/>
      </c>
      <c r="AX77" t="str">
        <f t="shared" si="98"/>
        <v/>
      </c>
      <c r="AY77" t="str">
        <f t="shared" si="99"/>
        <v/>
      </c>
      <c r="AZ77" t="str">
        <f t="shared" si="100"/>
        <v/>
      </c>
      <c r="BA77" t="str">
        <f t="shared" si="62"/>
        <v>[Desc] - Transformer Emergency Stop Safety Relay Tripped</v>
      </c>
      <c r="BJ77" t="str">
        <f t="shared" si="63"/>
        <v>[Cluster]</v>
      </c>
      <c r="BK77" t="str">
        <f t="shared" si="64"/>
        <v>[Equip]</v>
      </c>
      <c r="BL77" t="str">
        <f t="shared" si="65"/>
        <v/>
      </c>
      <c r="BM77" t="str">
        <f t="shared" si="66"/>
        <v>[Historian]</v>
      </c>
      <c r="BN77" t="str">
        <f t="shared" si="67"/>
        <v>[DigAlmName]</v>
      </c>
      <c r="BO77" t="str">
        <f t="shared" si="68"/>
        <v>[Desc]</v>
      </c>
      <c r="BP77" t="str">
        <f t="shared" si="101"/>
        <v>Alm_Trip</v>
      </c>
      <c r="BQ77" t="str">
        <f t="shared" si="102"/>
        <v/>
      </c>
      <c r="BU77" t="str">
        <f t="shared" si="103"/>
        <v/>
      </c>
      <c r="BV77" t="str">
        <f t="shared" si="69"/>
        <v>[TagPrefixFull]TXF_ESTP_t</v>
      </c>
      <c r="BW77" t="str">
        <f t="shared" si="70"/>
        <v>[TagPrefixFull]TXF_ESTP_t</v>
      </c>
      <c r="BX77" t="str">
        <f t="shared" si="71"/>
        <v>[Desc] - Transformer Emergency Stop Safety Relay Tripped</v>
      </c>
      <c r="BY77" t="str">
        <f t="shared" si="72"/>
        <v>[TagPrefixFull]TXF_ESTP_t</v>
      </c>
      <c r="BZ77" t="str">
        <f t="shared" si="73"/>
        <v>[VariableB]</v>
      </c>
      <c r="CA77" t="str">
        <f t="shared" si="104"/>
        <v>Alm_Trip</v>
      </c>
      <c r="CB77" t="str">
        <f t="shared" si="74"/>
        <v>[Help]</v>
      </c>
      <c r="CC77" t="str">
        <f t="shared" si="75"/>
        <v>Priv_Alarm</v>
      </c>
      <c r="CD77" t="str">
        <f t="shared" si="76"/>
        <v>[Area]</v>
      </c>
      <c r="CE77" t="str">
        <f t="shared" si="77"/>
        <v>[Desc] - Transformer Emergency Stop Safety Relay Tripped</v>
      </c>
      <c r="CH77" t="str">
        <f t="shared" si="78"/>
        <v>[DigAlmName]</v>
      </c>
      <c r="CP77" t="str">
        <f t="shared" si="79"/>
        <v>[Cluster]</v>
      </c>
      <c r="CV77" t="str">
        <f t="shared" si="80"/>
        <v>[Equip]</v>
      </c>
      <c r="CW77" t="e">
        <f t="shared" si="81"/>
        <v>#VALUE!</v>
      </c>
      <c r="CY77" t="str">
        <f t="shared" si="82"/>
        <v/>
      </c>
      <c r="CZ77" t="str">
        <f t="shared" si="83"/>
        <v/>
      </c>
      <c r="DB77" t="str">
        <f t="shared" si="105"/>
        <v/>
      </c>
      <c r="DE77" t="str">
        <f t="shared" si="106"/>
        <v/>
      </c>
      <c r="DF77" t="str">
        <f t="shared" si="107"/>
        <v/>
      </c>
      <c r="DG77" t="str">
        <f t="shared" si="84"/>
        <v/>
      </c>
      <c r="DH77" t="str">
        <f t="shared" si="85"/>
        <v/>
      </c>
      <c r="DI77" t="str">
        <f t="shared" si="86"/>
        <v/>
      </c>
      <c r="DJ77" t="str">
        <f t="shared" si="87"/>
        <v/>
      </c>
      <c r="DK77" t="str">
        <f t="shared" si="88"/>
        <v/>
      </c>
      <c r="DL77" t="str">
        <f t="shared" si="108"/>
        <v/>
      </c>
      <c r="DT77" t="str">
        <f t="shared" si="109"/>
        <v/>
      </c>
      <c r="DU77" t="str">
        <f t="shared" si="89"/>
        <v/>
      </c>
      <c r="DZ77" t="str">
        <f t="shared" si="90"/>
        <v/>
      </c>
      <c r="EA77" t="str">
        <f t="shared" si="91"/>
        <v/>
      </c>
      <c r="EC77" t="str">
        <f t="shared" si="110"/>
        <v/>
      </c>
      <c r="ED77" t="str">
        <f t="shared" si="111"/>
        <v/>
      </c>
    </row>
    <row r="78" spans="1:134" x14ac:dyDescent="0.3">
      <c r="A78" t="s">
        <v>544</v>
      </c>
      <c r="B78" t="s">
        <v>85</v>
      </c>
      <c r="C78" t="s">
        <v>784</v>
      </c>
      <c r="D78" t="s">
        <v>495</v>
      </c>
      <c r="E78" t="s">
        <v>85</v>
      </c>
      <c r="F78" t="s">
        <v>378</v>
      </c>
      <c r="G78" t="s">
        <v>496</v>
      </c>
      <c r="H78" t="s">
        <v>729</v>
      </c>
      <c r="K78" t="s">
        <v>835</v>
      </c>
      <c r="W78" s="32"/>
      <c r="Y78" t="s">
        <v>959</v>
      </c>
      <c r="AF78" t="s">
        <v>718</v>
      </c>
      <c r="AK78" t="str">
        <f t="shared" si="92"/>
        <v>TXF_TOTAL_I_v</v>
      </c>
      <c r="AL78" t="str">
        <f t="shared" si="93"/>
        <v>TXF_TOTAL_I_v</v>
      </c>
      <c r="AM78" t="b">
        <f t="shared" si="94"/>
        <v>1</v>
      </c>
      <c r="AN78" t="b">
        <f t="shared" si="56"/>
        <v>0</v>
      </c>
      <c r="AO78" t="b">
        <f t="shared" si="57"/>
        <v>0</v>
      </c>
      <c r="AP78" t="b">
        <f t="shared" si="58"/>
        <v>0</v>
      </c>
      <c r="AQ78" t="str">
        <f t="shared" si="59"/>
        <v>[TagPrefixFull]TXF_TOTAL_I_v</v>
      </c>
      <c r="AR78" t="str">
        <f>IF($AM78,VLOOKUP(B78,DataTypeMappings!$A$2:$B$18,2,"FALSE"),"")</f>
        <v>REAL</v>
      </c>
      <c r="AS78" t="str">
        <f t="shared" si="60"/>
        <v>[PLC]</v>
      </c>
      <c r="AT78" t="str">
        <f t="shared" si="61"/>
        <v>LW_SS01_TXF.TOTAL_I_v</v>
      </c>
      <c r="AU78" t="str">
        <f t="shared" si="95"/>
        <v/>
      </c>
      <c r="AV78" t="str">
        <f t="shared" si="96"/>
        <v/>
      </c>
      <c r="AW78" t="str">
        <f t="shared" si="97"/>
        <v/>
      </c>
      <c r="AX78" t="str">
        <f t="shared" si="98"/>
        <v/>
      </c>
      <c r="AY78" t="str">
        <f t="shared" si="99"/>
        <v/>
      </c>
      <c r="AZ78" t="str">
        <f t="shared" si="100"/>
        <v/>
      </c>
      <c r="BA78" t="str">
        <f t="shared" si="62"/>
        <v>[Desc] - Total CB Current</v>
      </c>
      <c r="BJ78" t="str">
        <f t="shared" si="63"/>
        <v>[Cluster]</v>
      </c>
      <c r="BK78" t="str">
        <f t="shared" si="64"/>
        <v>[Equip]</v>
      </c>
      <c r="BL78" t="str">
        <f t="shared" si="65"/>
        <v/>
      </c>
      <c r="BM78" t="str">
        <f t="shared" si="66"/>
        <v>[Historian]</v>
      </c>
      <c r="BN78" t="str">
        <f t="shared" si="67"/>
        <v>[DigAlmName]</v>
      </c>
      <c r="BO78" t="str">
        <f t="shared" si="68"/>
        <v>[Desc]</v>
      </c>
      <c r="BP78" t="str">
        <f t="shared" si="101"/>
        <v/>
      </c>
      <c r="BQ78" t="str">
        <f t="shared" si="102"/>
        <v/>
      </c>
      <c r="BU78" t="str">
        <f t="shared" si="103"/>
        <v/>
      </c>
      <c r="BV78" t="str">
        <f t="shared" si="69"/>
        <v/>
      </c>
      <c r="BW78" t="str">
        <f t="shared" si="70"/>
        <v/>
      </c>
      <c r="BX78" t="str">
        <f t="shared" si="71"/>
        <v/>
      </c>
      <c r="BY78" t="str">
        <f t="shared" si="72"/>
        <v/>
      </c>
      <c r="BZ78" t="str">
        <f t="shared" si="73"/>
        <v/>
      </c>
      <c r="CA78" t="str">
        <f t="shared" si="104"/>
        <v/>
      </c>
      <c r="CB78" t="str">
        <f t="shared" si="74"/>
        <v/>
      </c>
      <c r="CC78" t="str">
        <f t="shared" si="75"/>
        <v/>
      </c>
      <c r="CD78" t="str">
        <f t="shared" si="76"/>
        <v/>
      </c>
      <c r="CE78" t="str">
        <f t="shared" si="77"/>
        <v/>
      </c>
      <c r="CH78" t="str">
        <f t="shared" si="78"/>
        <v/>
      </c>
      <c r="CP78" t="str">
        <f t="shared" si="79"/>
        <v/>
      </c>
      <c r="CV78" t="str">
        <f t="shared" si="80"/>
        <v/>
      </c>
      <c r="CW78" t="str">
        <f t="shared" si="81"/>
        <v/>
      </c>
      <c r="CY78" t="str">
        <f t="shared" si="82"/>
        <v/>
      </c>
      <c r="CZ78" t="str">
        <f t="shared" si="83"/>
        <v/>
      </c>
      <c r="DB78" t="str">
        <f t="shared" si="105"/>
        <v/>
      </c>
      <c r="DE78" t="str">
        <f t="shared" si="106"/>
        <v/>
      </c>
      <c r="DF78" t="str">
        <f t="shared" si="107"/>
        <v/>
      </c>
      <c r="DG78" t="str">
        <f t="shared" si="84"/>
        <v/>
      </c>
      <c r="DH78" t="str">
        <f t="shared" si="85"/>
        <v/>
      </c>
      <c r="DI78" t="str">
        <f t="shared" si="86"/>
        <v/>
      </c>
      <c r="DJ78" t="str">
        <f t="shared" si="87"/>
        <v/>
      </c>
      <c r="DK78" t="str">
        <f t="shared" si="88"/>
        <v/>
      </c>
      <c r="DL78" t="str">
        <f t="shared" si="108"/>
        <v/>
      </c>
      <c r="DT78" t="str">
        <f t="shared" si="109"/>
        <v/>
      </c>
      <c r="DU78" t="str">
        <f t="shared" si="89"/>
        <v/>
      </c>
      <c r="DZ78" t="str">
        <f t="shared" si="90"/>
        <v/>
      </c>
      <c r="EA78" t="str">
        <f t="shared" si="91"/>
        <v/>
      </c>
      <c r="EC78" t="str">
        <f t="shared" si="110"/>
        <v/>
      </c>
      <c r="ED78" t="str">
        <f t="shared" si="111"/>
        <v/>
      </c>
    </row>
    <row r="79" spans="1:134" x14ac:dyDescent="0.3">
      <c r="A79" t="s">
        <v>561</v>
      </c>
      <c r="B79" t="s">
        <v>79</v>
      </c>
      <c r="C79" t="s">
        <v>725</v>
      </c>
      <c r="D79" t="s">
        <v>497</v>
      </c>
      <c r="E79" t="s">
        <v>381</v>
      </c>
      <c r="F79" t="s">
        <v>351</v>
      </c>
      <c r="H79" t="s">
        <v>785</v>
      </c>
      <c r="K79" t="s">
        <v>836</v>
      </c>
      <c r="U79" t="s">
        <v>308</v>
      </c>
      <c r="W79" s="32"/>
      <c r="Y79" t="s">
        <v>960</v>
      </c>
      <c r="AF79" t="s">
        <v>718</v>
      </c>
      <c r="AK79" t="str">
        <f t="shared" si="92"/>
        <v>TXF_BU_EL_TST_c_CMD_i</v>
      </c>
      <c r="AL79" t="str">
        <f t="shared" si="93"/>
        <v>TXF_BU_EL_TST_c_CMD_i</v>
      </c>
      <c r="AM79" t="b">
        <f t="shared" si="94"/>
        <v>1</v>
      </c>
      <c r="AN79" t="b">
        <f t="shared" si="56"/>
        <v>1</v>
      </c>
      <c r="AO79" t="b">
        <f t="shared" si="57"/>
        <v>0</v>
      </c>
      <c r="AP79" t="b">
        <f t="shared" si="58"/>
        <v>0</v>
      </c>
      <c r="AQ79" t="str">
        <f t="shared" si="59"/>
        <v>[TagPrefixFull]TXF_BU_EL_TST_c_CMD_i</v>
      </c>
      <c r="AR79" t="str">
        <f>IF($AM79,VLOOKUP(B79,DataTypeMappings!$A$2:$B$18,2,"FALSE"),"")</f>
        <v>DIGITAL</v>
      </c>
      <c r="AS79" t="str">
        <f t="shared" si="60"/>
        <v>[PLC]</v>
      </c>
      <c r="AT79" t="str">
        <f t="shared" si="61"/>
        <v>LW_SS01_TXF.BU_EL_TST_c.CMD_i</v>
      </c>
      <c r="AU79" t="str">
        <f t="shared" si="95"/>
        <v/>
      </c>
      <c r="AV79" t="str">
        <f t="shared" si="96"/>
        <v/>
      </c>
      <c r="AW79" t="str">
        <f t="shared" si="97"/>
        <v/>
      </c>
      <c r="AX79" t="str">
        <f t="shared" si="98"/>
        <v/>
      </c>
      <c r="AY79" t="str">
        <f t="shared" si="99"/>
        <v/>
      </c>
      <c r="AZ79" t="str">
        <f t="shared" si="100"/>
        <v/>
      </c>
      <c r="BA79" t="str">
        <f t="shared" si="62"/>
        <v>[Desc] - Backup Earth Leakage Command</v>
      </c>
      <c r="BJ79" t="str">
        <f t="shared" si="63"/>
        <v>[Cluster]</v>
      </c>
      <c r="BK79" t="str">
        <f t="shared" si="64"/>
        <v>[Equip]</v>
      </c>
      <c r="BL79" t="str">
        <f t="shared" si="65"/>
        <v/>
      </c>
      <c r="BM79" t="str">
        <f t="shared" si="66"/>
        <v>[Historian]</v>
      </c>
      <c r="BN79" t="str">
        <f t="shared" si="67"/>
        <v>[DigAlmName]</v>
      </c>
      <c r="BO79" t="str">
        <f t="shared" si="68"/>
        <v>[Desc]</v>
      </c>
      <c r="BP79" t="str">
        <f t="shared" si="101"/>
        <v>Alm_Event</v>
      </c>
      <c r="BQ79" t="str">
        <f t="shared" si="102"/>
        <v/>
      </c>
      <c r="BU79" t="str">
        <f t="shared" si="103"/>
        <v/>
      </c>
      <c r="BV79" t="str">
        <f t="shared" si="69"/>
        <v>[TagPrefixFull]TXF_BU_EL_TST_c_CMD_i</v>
      </c>
      <c r="BW79" t="str">
        <f t="shared" si="70"/>
        <v>[TagPrefixFull]TXF_BU_EL_TST_c_CMD_i</v>
      </c>
      <c r="BX79" t="str">
        <f t="shared" si="71"/>
        <v>[Desc] - Backup Earth Leakage Command</v>
      </c>
      <c r="BY79" t="str">
        <f t="shared" si="72"/>
        <v>[TagPrefixFull]TXF_BU_EL_TST_c_CMD_i</v>
      </c>
      <c r="BZ79" t="str">
        <f t="shared" si="73"/>
        <v>[VariableB]</v>
      </c>
      <c r="CA79" t="str">
        <f t="shared" si="104"/>
        <v>Alm_Event</v>
      </c>
      <c r="CB79" t="str">
        <f t="shared" si="74"/>
        <v>[Help]</v>
      </c>
      <c r="CC79" t="str">
        <f t="shared" si="75"/>
        <v>Priv_Alarm</v>
      </c>
      <c r="CD79" t="str">
        <f t="shared" si="76"/>
        <v>[Area]</v>
      </c>
      <c r="CE79" t="str">
        <f t="shared" si="77"/>
        <v>[Desc] - Backup Earth Leakage Command</v>
      </c>
      <c r="CH79" t="str">
        <f t="shared" si="78"/>
        <v>[DigAlmName]</v>
      </c>
      <c r="CP79" t="str">
        <f t="shared" si="79"/>
        <v>[Cluster]</v>
      </c>
      <c r="CV79" t="str">
        <f t="shared" si="80"/>
        <v>[Equip]</v>
      </c>
      <c r="CW79" t="e">
        <f t="shared" si="81"/>
        <v>#VALUE!</v>
      </c>
      <c r="CY79" t="str">
        <f t="shared" si="82"/>
        <v/>
      </c>
      <c r="CZ79" t="str">
        <f t="shared" si="83"/>
        <v/>
      </c>
      <c r="DB79" t="str">
        <f t="shared" si="105"/>
        <v/>
      </c>
      <c r="DE79" t="str">
        <f t="shared" si="106"/>
        <v/>
      </c>
      <c r="DF79" t="str">
        <f t="shared" si="107"/>
        <v/>
      </c>
      <c r="DG79" t="str">
        <f t="shared" si="84"/>
        <v/>
      </c>
      <c r="DH79" t="str">
        <f t="shared" si="85"/>
        <v/>
      </c>
      <c r="DI79" t="str">
        <f t="shared" si="86"/>
        <v/>
      </c>
      <c r="DJ79" t="str">
        <f t="shared" si="87"/>
        <v/>
      </c>
      <c r="DK79" t="str">
        <f t="shared" si="88"/>
        <v/>
      </c>
      <c r="DL79" t="str">
        <f t="shared" si="108"/>
        <v/>
      </c>
      <c r="DT79" t="str">
        <f t="shared" si="109"/>
        <v/>
      </c>
      <c r="DU79" t="str">
        <f t="shared" si="89"/>
        <v/>
      </c>
      <c r="DZ79" t="str">
        <f t="shared" si="90"/>
        <v/>
      </c>
      <c r="EA79" t="str">
        <f t="shared" si="91"/>
        <v/>
      </c>
      <c r="EC79" t="str">
        <f t="shared" si="110"/>
        <v/>
      </c>
      <c r="ED79" t="str">
        <f t="shared" si="111"/>
        <v/>
      </c>
    </row>
    <row r="80" spans="1:134" x14ac:dyDescent="0.3">
      <c r="A80" t="s">
        <v>570</v>
      </c>
      <c r="B80" t="s">
        <v>79</v>
      </c>
      <c r="C80" t="s">
        <v>786</v>
      </c>
      <c r="D80" t="s">
        <v>498</v>
      </c>
      <c r="E80" t="s">
        <v>381</v>
      </c>
      <c r="F80" t="s">
        <v>351</v>
      </c>
      <c r="G80" t="s">
        <v>787</v>
      </c>
      <c r="H80" t="s">
        <v>785</v>
      </c>
      <c r="K80" t="s">
        <v>786</v>
      </c>
      <c r="U80" t="s">
        <v>308</v>
      </c>
      <c r="W80" s="32"/>
      <c r="Y80" t="s">
        <v>961</v>
      </c>
      <c r="AF80" t="s">
        <v>718</v>
      </c>
      <c r="AK80" t="str">
        <f t="shared" si="92"/>
        <v>TXF_Press_CAL_0_kPa_c_CMD_i</v>
      </c>
      <c r="AL80" t="str">
        <f t="shared" si="93"/>
        <v>TXF_Press_CAL_0_kPa_c_CMD_i</v>
      </c>
      <c r="AM80" t="b">
        <f t="shared" si="94"/>
        <v>1</v>
      </c>
      <c r="AN80" t="b">
        <f t="shared" si="56"/>
        <v>1</v>
      </c>
      <c r="AO80" t="b">
        <f t="shared" si="57"/>
        <v>0</v>
      </c>
      <c r="AP80" t="b">
        <f t="shared" si="58"/>
        <v>0</v>
      </c>
      <c r="AQ80" t="str">
        <f t="shared" si="59"/>
        <v>[TagPrefixFull]TXF_Press_CAL_0_kPa_c_CMD_i</v>
      </c>
      <c r="AR80" t="str">
        <f>IF($AM80,VLOOKUP(B80,DataTypeMappings!$A$2:$B$18,2,"FALSE"),"")</f>
        <v>DIGITAL</v>
      </c>
      <c r="AS80" t="str">
        <f t="shared" si="60"/>
        <v>[PLC]</v>
      </c>
      <c r="AT80" t="str">
        <f t="shared" si="61"/>
        <v>LW_SS01_TXF.PRESS_CAL_0_KPA_c.CMD_i</v>
      </c>
      <c r="AU80" t="str">
        <f t="shared" si="95"/>
        <v/>
      </c>
      <c r="AV80" t="str">
        <f t="shared" si="96"/>
        <v/>
      </c>
      <c r="AW80" t="str">
        <f t="shared" si="97"/>
        <v/>
      </c>
      <c r="AX80" t="str">
        <f t="shared" si="98"/>
        <v/>
      </c>
      <c r="AY80" t="str">
        <f t="shared" si="99"/>
        <v/>
      </c>
      <c r="AZ80" t="str">
        <f t="shared" si="100"/>
        <v/>
      </c>
      <c r="BA80" t="str">
        <f t="shared" si="62"/>
        <v>[Desc] - Transformer Calibrate the Zero KPA for the Transformer Pressure Sensor</v>
      </c>
      <c r="BJ80" t="str">
        <f t="shared" si="63"/>
        <v>[Cluster]</v>
      </c>
      <c r="BK80" t="str">
        <f t="shared" si="64"/>
        <v>[Equip]</v>
      </c>
      <c r="BL80" t="str">
        <f t="shared" si="65"/>
        <v/>
      </c>
      <c r="BM80" t="str">
        <f t="shared" si="66"/>
        <v>[Historian]</v>
      </c>
      <c r="BN80" t="str">
        <f t="shared" si="67"/>
        <v>[DigAlmName]</v>
      </c>
      <c r="BO80" t="str">
        <f t="shared" si="68"/>
        <v>[Desc]</v>
      </c>
      <c r="BP80" t="str">
        <f t="shared" si="101"/>
        <v>Alm_Event</v>
      </c>
      <c r="BQ80" t="str">
        <f t="shared" si="102"/>
        <v/>
      </c>
      <c r="BU80" t="str">
        <f t="shared" si="103"/>
        <v/>
      </c>
      <c r="BV80" t="str">
        <f t="shared" si="69"/>
        <v>[TagPrefixFull]TXF_Press_CAL_0_kPa_c_CMD_i</v>
      </c>
      <c r="BW80" t="str">
        <f t="shared" si="70"/>
        <v>[TagPrefixFull]TXF_Press_CAL_0_kPa_c_CMD_i</v>
      </c>
      <c r="BX80" t="str">
        <f t="shared" si="71"/>
        <v>[Desc] - Transformer Calibrate the Zero KPA for the Transformer Pressure Sensor</v>
      </c>
      <c r="BY80" t="str">
        <f t="shared" si="72"/>
        <v>[TagPrefixFull]TXF_Press_CAL_0_kPa_c_CMD_i</v>
      </c>
      <c r="BZ80" t="str">
        <f t="shared" si="73"/>
        <v>[VariableB]</v>
      </c>
      <c r="CA80" t="str">
        <f t="shared" si="104"/>
        <v>Alm_Event</v>
      </c>
      <c r="CB80" t="str">
        <f t="shared" si="74"/>
        <v>[Help]</v>
      </c>
      <c r="CC80" t="str">
        <f t="shared" si="75"/>
        <v>Priv_Alarm</v>
      </c>
      <c r="CD80" t="str">
        <f t="shared" si="76"/>
        <v>[Area]</v>
      </c>
      <c r="CE80" t="str">
        <f t="shared" si="77"/>
        <v>[Desc] - Transformer Calibrate the Zero KPA for the Transformer Pressure Sensor</v>
      </c>
      <c r="CH80" t="str">
        <f t="shared" si="78"/>
        <v>[DigAlmName]</v>
      </c>
      <c r="CP80" t="str">
        <f t="shared" si="79"/>
        <v>[Cluster]</v>
      </c>
      <c r="CV80" t="str">
        <f t="shared" si="80"/>
        <v>[Equip]</v>
      </c>
      <c r="CW80" t="e">
        <f t="shared" si="81"/>
        <v>#VALUE!</v>
      </c>
      <c r="CY80" t="str">
        <f t="shared" si="82"/>
        <v/>
      </c>
      <c r="CZ80" t="str">
        <f t="shared" si="83"/>
        <v/>
      </c>
      <c r="DB80" t="str">
        <f t="shared" si="105"/>
        <v/>
      </c>
      <c r="DE80" t="str">
        <f t="shared" si="106"/>
        <v/>
      </c>
      <c r="DF80" t="str">
        <f t="shared" si="107"/>
        <v/>
      </c>
      <c r="DG80" t="str">
        <f t="shared" si="84"/>
        <v/>
      </c>
      <c r="DH80" t="str">
        <f t="shared" si="85"/>
        <v/>
      </c>
      <c r="DI80" t="str">
        <f t="shared" si="86"/>
        <v/>
      </c>
      <c r="DJ80" t="str">
        <f t="shared" si="87"/>
        <v/>
      </c>
      <c r="DK80" t="str">
        <f t="shared" si="88"/>
        <v/>
      </c>
      <c r="DL80" t="str">
        <f t="shared" si="108"/>
        <v/>
      </c>
      <c r="DT80" t="str">
        <f t="shared" si="109"/>
        <v/>
      </c>
      <c r="DU80" t="str">
        <f t="shared" si="89"/>
        <v/>
      </c>
      <c r="DZ80" t="str">
        <f t="shared" si="90"/>
        <v/>
      </c>
      <c r="EA80" t="str">
        <f t="shared" si="91"/>
        <v/>
      </c>
      <c r="EC80" t="str">
        <f t="shared" si="110"/>
        <v/>
      </c>
      <c r="ED80" t="str">
        <f t="shared" si="111"/>
        <v/>
      </c>
    </row>
    <row r="81" spans="1:134" x14ac:dyDescent="0.3">
      <c r="A81" t="s">
        <v>571</v>
      </c>
      <c r="B81" t="s">
        <v>79</v>
      </c>
      <c r="C81" t="s">
        <v>788</v>
      </c>
      <c r="D81" t="s">
        <v>499</v>
      </c>
      <c r="E81" t="s">
        <v>381</v>
      </c>
      <c r="F81" t="s">
        <v>351</v>
      </c>
      <c r="G81" t="s">
        <v>789</v>
      </c>
      <c r="H81" t="s">
        <v>785</v>
      </c>
      <c r="K81" t="s">
        <v>788</v>
      </c>
      <c r="U81" t="s">
        <v>308</v>
      </c>
      <c r="W81" s="32"/>
      <c r="Y81" t="s">
        <v>962</v>
      </c>
      <c r="AF81" t="s">
        <v>718</v>
      </c>
      <c r="AK81" t="str">
        <f t="shared" si="92"/>
        <v>TXF_Press_CAL_50_kPa_c_CMD_i</v>
      </c>
      <c r="AL81" t="str">
        <f t="shared" si="93"/>
        <v>TXF_Press_CAL_50_kPa_c_CMD_i</v>
      </c>
      <c r="AM81" t="b">
        <f t="shared" si="94"/>
        <v>1</v>
      </c>
      <c r="AN81" t="b">
        <f t="shared" si="56"/>
        <v>1</v>
      </c>
      <c r="AO81" t="b">
        <f t="shared" si="57"/>
        <v>0</v>
      </c>
      <c r="AP81" t="b">
        <f t="shared" si="58"/>
        <v>0</v>
      </c>
      <c r="AQ81" t="str">
        <f t="shared" si="59"/>
        <v>[TagPrefixFull]TXF_Press_CAL_50_kPa_c_CMD_i</v>
      </c>
      <c r="AR81" t="str">
        <f>IF($AM81,VLOOKUP(B81,DataTypeMappings!$A$2:$B$18,2,"FALSE"),"")</f>
        <v>DIGITAL</v>
      </c>
      <c r="AS81" t="str">
        <f t="shared" si="60"/>
        <v>[PLC]</v>
      </c>
      <c r="AT81" t="str">
        <f t="shared" si="61"/>
        <v>LW_SS01_TXF.PRESS_CAL_50_KPA_c.CMD_i</v>
      </c>
      <c r="AU81" t="str">
        <f t="shared" si="95"/>
        <v/>
      </c>
      <c r="AV81" t="str">
        <f t="shared" si="96"/>
        <v/>
      </c>
      <c r="AW81" t="str">
        <f t="shared" si="97"/>
        <v/>
      </c>
      <c r="AX81" t="str">
        <f t="shared" si="98"/>
        <v/>
      </c>
      <c r="AY81" t="str">
        <f t="shared" si="99"/>
        <v/>
      </c>
      <c r="AZ81" t="str">
        <f t="shared" si="100"/>
        <v/>
      </c>
      <c r="BA81" t="str">
        <f t="shared" si="62"/>
        <v>[Desc] - Transformer Calibrate the 50 KPA for the Transformer Pressure Sensor</v>
      </c>
      <c r="BJ81" t="str">
        <f t="shared" si="63"/>
        <v>[Cluster]</v>
      </c>
      <c r="BK81" t="str">
        <f t="shared" si="64"/>
        <v>[Equip]</v>
      </c>
      <c r="BL81" t="str">
        <f t="shared" si="65"/>
        <v/>
      </c>
      <c r="BM81" t="str">
        <f t="shared" si="66"/>
        <v>[Historian]</v>
      </c>
      <c r="BN81" t="str">
        <f t="shared" si="67"/>
        <v>[DigAlmName]</v>
      </c>
      <c r="BO81" t="str">
        <f t="shared" si="68"/>
        <v>[Desc]</v>
      </c>
      <c r="BP81" t="str">
        <f t="shared" si="101"/>
        <v>Alm_Event</v>
      </c>
      <c r="BQ81" t="str">
        <f t="shared" si="102"/>
        <v/>
      </c>
      <c r="BU81" t="str">
        <f t="shared" si="103"/>
        <v/>
      </c>
      <c r="BV81" t="str">
        <f t="shared" si="69"/>
        <v>[TagPrefixFull]TXF_Press_CAL_50_kPa_c_CMD_i</v>
      </c>
      <c r="BW81" t="str">
        <f t="shared" si="70"/>
        <v>[TagPrefixFull]TXF_Press_CAL_50_kPa_c_CMD_i</v>
      </c>
      <c r="BX81" t="str">
        <f t="shared" si="71"/>
        <v>[Desc] - Transformer Calibrate the 50 KPA for the Transformer Pressure Sensor</v>
      </c>
      <c r="BY81" t="str">
        <f t="shared" si="72"/>
        <v>[TagPrefixFull]TXF_Press_CAL_50_kPa_c_CMD_i</v>
      </c>
      <c r="BZ81" t="str">
        <f t="shared" si="73"/>
        <v>[VariableB]</v>
      </c>
      <c r="CA81" t="str">
        <f t="shared" si="104"/>
        <v>Alm_Event</v>
      </c>
      <c r="CB81" t="str">
        <f t="shared" si="74"/>
        <v>[Help]</v>
      </c>
      <c r="CC81" t="str">
        <f t="shared" si="75"/>
        <v>Priv_Alarm</v>
      </c>
      <c r="CD81" t="str">
        <f t="shared" si="76"/>
        <v>[Area]</v>
      </c>
      <c r="CE81" t="str">
        <f t="shared" si="77"/>
        <v>[Desc] - Transformer Calibrate the 50 KPA for the Transformer Pressure Sensor</v>
      </c>
      <c r="CH81" t="str">
        <f t="shared" si="78"/>
        <v>[DigAlmName]</v>
      </c>
      <c r="CP81" t="str">
        <f t="shared" si="79"/>
        <v>[Cluster]</v>
      </c>
      <c r="CV81" t="str">
        <f t="shared" si="80"/>
        <v>[Equip]</v>
      </c>
      <c r="CW81" t="e">
        <f t="shared" si="81"/>
        <v>#VALUE!</v>
      </c>
      <c r="CY81" t="str">
        <f t="shared" si="82"/>
        <v/>
      </c>
      <c r="CZ81" t="str">
        <f t="shared" si="83"/>
        <v/>
      </c>
      <c r="DB81" t="str">
        <f t="shared" si="105"/>
        <v/>
      </c>
      <c r="DE81" t="str">
        <f t="shared" si="106"/>
        <v/>
      </c>
      <c r="DF81" t="str">
        <f t="shared" si="107"/>
        <v/>
      </c>
      <c r="DG81" t="str">
        <f t="shared" si="84"/>
        <v/>
      </c>
      <c r="DH81" t="str">
        <f t="shared" si="85"/>
        <v/>
      </c>
      <c r="DI81" t="str">
        <f t="shared" si="86"/>
        <v/>
      </c>
      <c r="DJ81" t="str">
        <f t="shared" si="87"/>
        <v/>
      </c>
      <c r="DK81" t="str">
        <f t="shared" si="88"/>
        <v/>
      </c>
      <c r="DL81" t="str">
        <f t="shared" si="108"/>
        <v/>
      </c>
      <c r="DT81" t="str">
        <f t="shared" si="109"/>
        <v/>
      </c>
      <c r="DU81" t="str">
        <f t="shared" si="89"/>
        <v/>
      </c>
      <c r="DZ81" t="str">
        <f t="shared" si="90"/>
        <v/>
      </c>
      <c r="EA81" t="str">
        <f t="shared" si="91"/>
        <v/>
      </c>
      <c r="EC81" t="str">
        <f t="shared" si="110"/>
        <v/>
      </c>
      <c r="ED81" t="str">
        <f t="shared" si="111"/>
        <v/>
      </c>
    </row>
    <row r="82" spans="1:134" x14ac:dyDescent="0.3">
      <c r="A82" t="s">
        <v>572</v>
      </c>
      <c r="B82" t="s">
        <v>79</v>
      </c>
      <c r="C82" t="s">
        <v>790</v>
      </c>
      <c r="D82" t="s">
        <v>500</v>
      </c>
      <c r="E82" t="s">
        <v>381</v>
      </c>
      <c r="F82" t="s">
        <v>351</v>
      </c>
      <c r="G82" t="s">
        <v>791</v>
      </c>
      <c r="H82" t="s">
        <v>785</v>
      </c>
      <c r="K82" t="s">
        <v>790</v>
      </c>
      <c r="U82" t="s">
        <v>308</v>
      </c>
      <c r="W82" s="32"/>
      <c r="Y82" t="s">
        <v>963</v>
      </c>
      <c r="AF82" t="s">
        <v>718</v>
      </c>
      <c r="AK82" t="str">
        <f t="shared" si="92"/>
        <v>TXF_Press_CAL_100_kPa_c_CMD_i</v>
      </c>
      <c r="AL82" t="str">
        <f t="shared" si="93"/>
        <v>TXF_Press_CAL_100_kPa_c_CMD_i</v>
      </c>
      <c r="AM82" t="b">
        <f t="shared" si="94"/>
        <v>1</v>
      </c>
      <c r="AN82" t="b">
        <f t="shared" si="56"/>
        <v>1</v>
      </c>
      <c r="AO82" t="b">
        <f t="shared" si="57"/>
        <v>0</v>
      </c>
      <c r="AP82" t="b">
        <f t="shared" si="58"/>
        <v>0</v>
      </c>
      <c r="AQ82" t="str">
        <f t="shared" si="59"/>
        <v>[TagPrefixFull]TXF_Press_CAL_100_kPa_c_CMD_i</v>
      </c>
      <c r="AR82" t="str">
        <f>IF($AM82,VLOOKUP(B82,DataTypeMappings!$A$2:$B$18,2,"FALSE"),"")</f>
        <v>DIGITAL</v>
      </c>
      <c r="AS82" t="str">
        <f t="shared" si="60"/>
        <v>[PLC]</v>
      </c>
      <c r="AT82" t="str">
        <f t="shared" si="61"/>
        <v>LW_SS01_TXF.PRESS_CAL_100_KPA_c.CMD_i</v>
      </c>
      <c r="AU82" t="str">
        <f t="shared" si="95"/>
        <v/>
      </c>
      <c r="AV82" t="str">
        <f t="shared" si="96"/>
        <v/>
      </c>
      <c r="AW82" t="str">
        <f t="shared" si="97"/>
        <v/>
      </c>
      <c r="AX82" t="str">
        <f t="shared" si="98"/>
        <v/>
      </c>
      <c r="AY82" t="str">
        <f t="shared" si="99"/>
        <v/>
      </c>
      <c r="AZ82" t="str">
        <f t="shared" si="100"/>
        <v/>
      </c>
      <c r="BA82" t="str">
        <f t="shared" si="62"/>
        <v>[Desc] - Transformer Calibrate the 100 KPA for the Transformer Pressure Sensor</v>
      </c>
      <c r="BJ82" t="str">
        <f t="shared" si="63"/>
        <v>[Cluster]</v>
      </c>
      <c r="BK82" t="str">
        <f t="shared" si="64"/>
        <v>[Equip]</v>
      </c>
      <c r="BL82" t="str">
        <f t="shared" si="65"/>
        <v/>
      </c>
      <c r="BM82" t="str">
        <f t="shared" si="66"/>
        <v>[Historian]</v>
      </c>
      <c r="BN82" t="str">
        <f t="shared" si="67"/>
        <v>[DigAlmName]</v>
      </c>
      <c r="BO82" t="str">
        <f t="shared" si="68"/>
        <v>[Desc]</v>
      </c>
      <c r="BP82" t="str">
        <f t="shared" si="101"/>
        <v>Alm_Event</v>
      </c>
      <c r="BQ82" t="str">
        <f t="shared" si="102"/>
        <v/>
      </c>
      <c r="BU82" t="str">
        <f t="shared" si="103"/>
        <v/>
      </c>
      <c r="BV82" t="str">
        <f t="shared" si="69"/>
        <v>[TagPrefixFull]TXF_Press_CAL_100_kPa_c_CMD_i</v>
      </c>
      <c r="BW82" t="str">
        <f t="shared" si="70"/>
        <v>[TagPrefixFull]TXF_Press_CAL_100_kPa_c_CMD_i</v>
      </c>
      <c r="BX82" t="str">
        <f t="shared" si="71"/>
        <v>[Desc] - Transformer Calibrate the 100 KPA for the Transformer Pressure Sensor</v>
      </c>
      <c r="BY82" t="str">
        <f t="shared" si="72"/>
        <v>[TagPrefixFull]TXF_Press_CAL_100_kPa_c_CMD_i</v>
      </c>
      <c r="BZ82" t="str">
        <f t="shared" si="73"/>
        <v>[VariableB]</v>
      </c>
      <c r="CA82" t="str">
        <f t="shared" si="104"/>
        <v>Alm_Event</v>
      </c>
      <c r="CB82" t="str">
        <f t="shared" si="74"/>
        <v>[Help]</v>
      </c>
      <c r="CC82" t="str">
        <f t="shared" si="75"/>
        <v>Priv_Alarm</v>
      </c>
      <c r="CD82" t="str">
        <f t="shared" si="76"/>
        <v>[Area]</v>
      </c>
      <c r="CE82" t="str">
        <f t="shared" si="77"/>
        <v>[Desc] - Transformer Calibrate the 100 KPA for the Transformer Pressure Sensor</v>
      </c>
      <c r="CH82" t="str">
        <f t="shared" si="78"/>
        <v>[DigAlmName]</v>
      </c>
      <c r="CP82" t="str">
        <f t="shared" si="79"/>
        <v>[Cluster]</v>
      </c>
      <c r="CV82" t="str">
        <f t="shared" si="80"/>
        <v>[Equip]</v>
      </c>
      <c r="CW82" t="e">
        <f t="shared" si="81"/>
        <v>#VALUE!</v>
      </c>
      <c r="CY82" t="str">
        <f t="shared" si="82"/>
        <v/>
      </c>
      <c r="CZ82" t="str">
        <f t="shared" si="83"/>
        <v/>
      </c>
      <c r="DB82" t="str">
        <f t="shared" si="105"/>
        <v/>
      </c>
      <c r="DE82" t="str">
        <f t="shared" si="106"/>
        <v/>
      </c>
      <c r="DF82" t="str">
        <f t="shared" si="107"/>
        <v/>
      </c>
      <c r="DG82" t="str">
        <f t="shared" si="84"/>
        <v/>
      </c>
      <c r="DH82" t="str">
        <f t="shared" si="85"/>
        <v/>
      </c>
      <c r="DI82" t="str">
        <f t="shared" si="86"/>
        <v/>
      </c>
      <c r="DJ82" t="str">
        <f t="shared" si="87"/>
        <v/>
      </c>
      <c r="DK82" t="str">
        <f t="shared" si="88"/>
        <v/>
      </c>
      <c r="DL82" t="str">
        <f t="shared" si="108"/>
        <v/>
      </c>
      <c r="DT82" t="str">
        <f t="shared" si="109"/>
        <v/>
      </c>
      <c r="DU82" t="str">
        <f t="shared" si="89"/>
        <v/>
      </c>
      <c r="DZ82" t="str">
        <f t="shared" si="90"/>
        <v/>
      </c>
      <c r="EA82" t="str">
        <f t="shared" si="91"/>
        <v/>
      </c>
      <c r="EC82" t="str">
        <f t="shared" si="110"/>
        <v/>
      </c>
      <c r="ED82" t="str">
        <f t="shared" si="111"/>
        <v/>
      </c>
    </row>
    <row r="83" spans="1:134" x14ac:dyDescent="0.3">
      <c r="A83" t="s">
        <v>552</v>
      </c>
      <c r="B83" t="s">
        <v>79</v>
      </c>
      <c r="C83" t="s">
        <v>545</v>
      </c>
      <c r="K83" t="s">
        <v>837</v>
      </c>
      <c r="U83" t="s">
        <v>308</v>
      </c>
      <c r="W83" s="32"/>
      <c r="Y83" t="s">
        <v>964</v>
      </c>
      <c r="AF83" t="s">
        <v>718</v>
      </c>
      <c r="AK83" t="str">
        <f t="shared" si="92"/>
        <v>START_c_CMD_i</v>
      </c>
      <c r="AL83" t="str">
        <f t="shared" si="93"/>
        <v>START_c_CMD_i</v>
      </c>
      <c r="AM83" t="b">
        <f t="shared" si="94"/>
        <v>1</v>
      </c>
      <c r="AN83" t="b">
        <f t="shared" si="56"/>
        <v>1</v>
      </c>
      <c r="AO83" t="b">
        <f t="shared" si="57"/>
        <v>0</v>
      </c>
      <c r="AP83" t="b">
        <f t="shared" si="58"/>
        <v>0</v>
      </c>
      <c r="AQ83" t="str">
        <f t="shared" si="59"/>
        <v>[TagPrefixFull]START_c_CMD_i</v>
      </c>
      <c r="AR83" t="str">
        <f>IF($AM83,VLOOKUP(B83,DataTypeMappings!$A$2:$B$18,2,"FALSE"),"")</f>
        <v>DIGITAL</v>
      </c>
      <c r="AS83" t="str">
        <f t="shared" si="60"/>
        <v>[PLC]</v>
      </c>
      <c r="AT83" t="str">
        <f t="shared" si="61"/>
        <v>LW_SS01_START_c.CMD_i</v>
      </c>
      <c r="AU83" t="str">
        <f t="shared" si="95"/>
        <v/>
      </c>
      <c r="AV83" t="str">
        <f t="shared" si="96"/>
        <v/>
      </c>
      <c r="AW83" t="str">
        <f t="shared" si="97"/>
        <v/>
      </c>
      <c r="AX83" t="str">
        <f t="shared" si="98"/>
        <v/>
      </c>
      <c r="AY83" t="str">
        <f t="shared" si="99"/>
        <v/>
      </c>
      <c r="AZ83" t="str">
        <f t="shared" si="100"/>
        <v/>
      </c>
      <c r="BA83" t="str">
        <f t="shared" si="62"/>
        <v>[Desc] - Start Substation CMD</v>
      </c>
      <c r="BJ83" t="str">
        <f t="shared" si="63"/>
        <v>[Cluster]</v>
      </c>
      <c r="BK83" t="str">
        <f t="shared" si="64"/>
        <v>[Equip]</v>
      </c>
      <c r="BL83" t="str">
        <f t="shared" si="65"/>
        <v/>
      </c>
      <c r="BM83" t="str">
        <f t="shared" si="66"/>
        <v>[Historian]</v>
      </c>
      <c r="BN83" t="str">
        <f t="shared" si="67"/>
        <v>[DigAlmName]</v>
      </c>
      <c r="BO83" t="str">
        <f t="shared" si="68"/>
        <v>[Desc]</v>
      </c>
      <c r="BP83" t="str">
        <f t="shared" si="101"/>
        <v>Alm_Event</v>
      </c>
      <c r="BQ83" t="str">
        <f t="shared" si="102"/>
        <v/>
      </c>
      <c r="BU83" t="str">
        <f t="shared" si="103"/>
        <v/>
      </c>
      <c r="BV83" t="str">
        <f t="shared" si="69"/>
        <v>[TagPrefixFull]START_c_CMD_i</v>
      </c>
      <c r="BW83" t="str">
        <f t="shared" si="70"/>
        <v>[TagPrefixFull]START_c_CMD_i</v>
      </c>
      <c r="BX83" t="str">
        <f t="shared" si="71"/>
        <v>[Desc] - Start Substation CMD</v>
      </c>
      <c r="BY83" t="str">
        <f t="shared" si="72"/>
        <v>[TagPrefixFull]START_c_CMD_i</v>
      </c>
      <c r="BZ83" t="str">
        <f t="shared" si="73"/>
        <v>[VariableB]</v>
      </c>
      <c r="CA83" t="str">
        <f t="shared" si="104"/>
        <v>Alm_Event</v>
      </c>
      <c r="CB83" t="str">
        <f t="shared" si="74"/>
        <v>[Help]</v>
      </c>
      <c r="CC83" t="str">
        <f t="shared" si="75"/>
        <v>Priv_Alarm</v>
      </c>
      <c r="CD83" t="str">
        <f t="shared" si="76"/>
        <v>[Area]</v>
      </c>
      <c r="CE83" t="str">
        <f t="shared" si="77"/>
        <v>[Desc] - Start Substation CMD</v>
      </c>
      <c r="CH83" t="str">
        <f t="shared" si="78"/>
        <v>[DigAlmName]</v>
      </c>
      <c r="CP83" t="str">
        <f t="shared" si="79"/>
        <v>[Cluster]</v>
      </c>
      <c r="CV83" t="str">
        <f t="shared" si="80"/>
        <v>[Equip]</v>
      </c>
      <c r="CW83" t="e">
        <f t="shared" si="81"/>
        <v>#VALUE!</v>
      </c>
      <c r="CY83" t="str">
        <f t="shared" si="82"/>
        <v/>
      </c>
      <c r="CZ83" t="str">
        <f t="shared" si="83"/>
        <v/>
      </c>
      <c r="DB83" t="str">
        <f t="shared" si="105"/>
        <v/>
      </c>
      <c r="DE83" t="str">
        <f t="shared" si="106"/>
        <v/>
      </c>
      <c r="DF83" t="str">
        <f t="shared" si="107"/>
        <v/>
      </c>
      <c r="DG83" t="str">
        <f t="shared" si="84"/>
        <v/>
      </c>
      <c r="DH83" t="str">
        <f t="shared" si="85"/>
        <v/>
      </c>
      <c r="DI83" t="str">
        <f t="shared" si="86"/>
        <v/>
      </c>
      <c r="DJ83" t="str">
        <f t="shared" si="87"/>
        <v/>
      </c>
      <c r="DK83" t="str">
        <f t="shared" si="88"/>
        <v/>
      </c>
      <c r="DL83" t="str">
        <f t="shared" si="108"/>
        <v/>
      </c>
      <c r="DT83" t="str">
        <f t="shared" si="109"/>
        <v/>
      </c>
      <c r="DU83" t="str">
        <f t="shared" si="89"/>
        <v/>
      </c>
      <c r="DZ83" t="str">
        <f t="shared" si="90"/>
        <v/>
      </c>
      <c r="EA83" t="str">
        <f t="shared" si="91"/>
        <v/>
      </c>
      <c r="EC83" t="str">
        <f t="shared" si="110"/>
        <v/>
      </c>
      <c r="ED83" t="str">
        <f t="shared" si="111"/>
        <v/>
      </c>
    </row>
    <row r="84" spans="1:134" x14ac:dyDescent="0.3">
      <c r="A84" t="s">
        <v>379</v>
      </c>
      <c r="B84" t="s">
        <v>79</v>
      </c>
      <c r="C84" t="s">
        <v>618</v>
      </c>
      <c r="H84" t="s">
        <v>616</v>
      </c>
      <c r="K84" t="s">
        <v>618</v>
      </c>
      <c r="W84" s="32"/>
      <c r="Y84" t="s">
        <v>965</v>
      </c>
      <c r="AF84" t="s">
        <v>718</v>
      </c>
      <c r="AK84" t="str">
        <f t="shared" si="92"/>
        <v>RST_s</v>
      </c>
      <c r="AL84" t="str">
        <f t="shared" si="93"/>
        <v>RST_s</v>
      </c>
      <c r="AM84" t="b">
        <f t="shared" si="94"/>
        <v>1</v>
      </c>
      <c r="AN84" t="b">
        <f t="shared" si="56"/>
        <v>0</v>
      </c>
      <c r="AO84" t="b">
        <f t="shared" si="57"/>
        <v>0</v>
      </c>
      <c r="AP84" t="b">
        <f t="shared" si="58"/>
        <v>0</v>
      </c>
      <c r="AQ84" t="str">
        <f t="shared" si="59"/>
        <v>[TagPrefixFull]RST_s</v>
      </c>
      <c r="AR84" t="str">
        <f>IF($AM84,VLOOKUP(B84,DataTypeMappings!$A$2:$B$18,2,"FALSE"),"")</f>
        <v>DIGITAL</v>
      </c>
      <c r="AS84" t="str">
        <f t="shared" si="60"/>
        <v>[PLC]</v>
      </c>
      <c r="AT84" t="str">
        <f t="shared" si="61"/>
        <v>LW_SS01_RST.RST_s</v>
      </c>
      <c r="AU84" t="str">
        <f t="shared" si="95"/>
        <v/>
      </c>
      <c r="AV84" t="str">
        <f t="shared" si="96"/>
        <v/>
      </c>
      <c r="AW84" t="str">
        <f t="shared" si="97"/>
        <v/>
      </c>
      <c r="AX84" t="str">
        <f t="shared" si="98"/>
        <v/>
      </c>
      <c r="AY84" t="str">
        <f t="shared" si="99"/>
        <v/>
      </c>
      <c r="AZ84" t="str">
        <f t="shared" si="100"/>
        <v/>
      </c>
      <c r="BA84" t="str">
        <f t="shared" si="62"/>
        <v>[Desc] - General Alarm Button</v>
      </c>
      <c r="BJ84" t="str">
        <f t="shared" si="63"/>
        <v>[Cluster]</v>
      </c>
      <c r="BK84" t="str">
        <f t="shared" si="64"/>
        <v>[Equip]</v>
      </c>
      <c r="BL84" t="str">
        <f t="shared" si="65"/>
        <v/>
      </c>
      <c r="BM84" t="str">
        <f t="shared" si="66"/>
        <v>[Historian]</v>
      </c>
      <c r="BN84" t="str">
        <f t="shared" si="67"/>
        <v>[DigAlmName]</v>
      </c>
      <c r="BO84" t="str">
        <f t="shared" si="68"/>
        <v>[Desc]</v>
      </c>
      <c r="BP84" t="str">
        <f t="shared" si="101"/>
        <v/>
      </c>
      <c r="BQ84" t="str">
        <f t="shared" si="102"/>
        <v/>
      </c>
      <c r="BU84" t="str">
        <f t="shared" si="103"/>
        <v/>
      </c>
      <c r="BV84" t="str">
        <f t="shared" si="69"/>
        <v/>
      </c>
      <c r="BW84" t="str">
        <f t="shared" si="70"/>
        <v/>
      </c>
      <c r="BX84" t="str">
        <f t="shared" si="71"/>
        <v/>
      </c>
      <c r="BY84" t="str">
        <f t="shared" si="72"/>
        <v/>
      </c>
      <c r="BZ84" t="str">
        <f t="shared" si="73"/>
        <v/>
      </c>
      <c r="CA84" t="str">
        <f t="shared" si="104"/>
        <v/>
      </c>
      <c r="CB84" t="str">
        <f t="shared" si="74"/>
        <v/>
      </c>
      <c r="CC84" t="str">
        <f t="shared" si="75"/>
        <v/>
      </c>
      <c r="CD84" t="str">
        <f t="shared" si="76"/>
        <v/>
      </c>
      <c r="CE84" t="str">
        <f t="shared" si="77"/>
        <v/>
      </c>
      <c r="CH84" t="str">
        <f t="shared" si="78"/>
        <v/>
      </c>
      <c r="CP84" t="str">
        <f t="shared" si="79"/>
        <v/>
      </c>
      <c r="CV84" t="str">
        <f t="shared" si="80"/>
        <v/>
      </c>
      <c r="CW84" t="str">
        <f t="shared" si="81"/>
        <v/>
      </c>
      <c r="CY84" t="str">
        <f t="shared" si="82"/>
        <v/>
      </c>
      <c r="CZ84" t="str">
        <f t="shared" si="83"/>
        <v/>
      </c>
      <c r="DB84" t="str">
        <f t="shared" si="105"/>
        <v/>
      </c>
      <c r="DE84" t="str">
        <f t="shared" si="106"/>
        <v/>
      </c>
      <c r="DF84" t="str">
        <f t="shared" si="107"/>
        <v/>
      </c>
      <c r="DG84" t="str">
        <f t="shared" si="84"/>
        <v/>
      </c>
      <c r="DH84" t="str">
        <f t="shared" si="85"/>
        <v/>
      </c>
      <c r="DI84" t="str">
        <f t="shared" si="86"/>
        <v/>
      </c>
      <c r="DJ84" t="str">
        <f t="shared" si="87"/>
        <v/>
      </c>
      <c r="DK84" t="str">
        <f t="shared" si="88"/>
        <v/>
      </c>
      <c r="DL84" t="str">
        <f t="shared" si="108"/>
        <v/>
      </c>
      <c r="DT84" t="str">
        <f t="shared" si="109"/>
        <v/>
      </c>
      <c r="DU84" t="str">
        <f t="shared" si="89"/>
        <v/>
      </c>
      <c r="DZ84" t="str">
        <f t="shared" si="90"/>
        <v/>
      </c>
      <c r="EA84" t="str">
        <f t="shared" si="91"/>
        <v/>
      </c>
      <c r="EC84" t="str">
        <f t="shared" si="110"/>
        <v/>
      </c>
      <c r="ED84" t="str">
        <f t="shared" si="111"/>
        <v/>
      </c>
    </row>
    <row r="85" spans="1:134" x14ac:dyDescent="0.3">
      <c r="A85" t="s">
        <v>553</v>
      </c>
      <c r="B85" t="s">
        <v>79</v>
      </c>
      <c r="C85" t="s">
        <v>546</v>
      </c>
      <c r="H85" t="s">
        <v>616</v>
      </c>
      <c r="K85" t="s">
        <v>546</v>
      </c>
      <c r="W85" s="32"/>
      <c r="Y85" t="s">
        <v>966</v>
      </c>
      <c r="AF85" t="s">
        <v>718</v>
      </c>
      <c r="AK85" t="str">
        <f t="shared" si="92"/>
        <v>RST_LOCK_PRG_s</v>
      </c>
      <c r="AL85" t="str">
        <f t="shared" si="93"/>
        <v>RST_LOCK_PRG_s</v>
      </c>
      <c r="AM85" t="b">
        <f t="shared" si="94"/>
        <v>1</v>
      </c>
      <c r="AN85" t="b">
        <f t="shared" si="56"/>
        <v>0</v>
      </c>
      <c r="AO85" t="b">
        <f t="shared" si="57"/>
        <v>0</v>
      </c>
      <c r="AP85" t="b">
        <f t="shared" si="58"/>
        <v>0</v>
      </c>
      <c r="AQ85" t="str">
        <f t="shared" si="59"/>
        <v>[TagPrefixFull]RST_LOCK_PRG_s</v>
      </c>
      <c r="AR85" t="str">
        <f>IF($AM85,VLOOKUP(B85,DataTypeMappings!$A$2:$B$18,2,"FALSE"),"")</f>
        <v>DIGITAL</v>
      </c>
      <c r="AS85" t="str">
        <f t="shared" si="60"/>
        <v>[PLC]</v>
      </c>
      <c r="AT85" t="str">
        <f t="shared" si="61"/>
        <v>LW_SS01_RST.LOCK_PRG_s</v>
      </c>
      <c r="AU85" t="str">
        <f t="shared" si="95"/>
        <v/>
      </c>
      <c r="AV85" t="str">
        <f t="shared" si="96"/>
        <v/>
      </c>
      <c r="AW85" t="str">
        <f t="shared" si="97"/>
        <v/>
      </c>
      <c r="AX85" t="str">
        <f t="shared" si="98"/>
        <v/>
      </c>
      <c r="AY85" t="str">
        <f t="shared" si="99"/>
        <v/>
      </c>
      <c r="AZ85" t="str">
        <f t="shared" si="100"/>
        <v/>
      </c>
      <c r="BA85" t="str">
        <f t="shared" si="62"/>
        <v>[Desc] - PLC Program Lock Reset</v>
      </c>
      <c r="BJ85" t="str">
        <f t="shared" si="63"/>
        <v>[Cluster]</v>
      </c>
      <c r="BK85" t="str">
        <f t="shared" si="64"/>
        <v>[Equip]</v>
      </c>
      <c r="BL85" t="str">
        <f t="shared" si="65"/>
        <v/>
      </c>
      <c r="BM85" t="str">
        <f t="shared" si="66"/>
        <v>[Historian]</v>
      </c>
      <c r="BN85" t="str">
        <f t="shared" si="67"/>
        <v>[DigAlmName]</v>
      </c>
      <c r="BO85" t="str">
        <f t="shared" si="68"/>
        <v>[Desc]</v>
      </c>
      <c r="BP85" t="str">
        <f t="shared" si="101"/>
        <v/>
      </c>
      <c r="BQ85" t="str">
        <f t="shared" si="102"/>
        <v/>
      </c>
      <c r="BU85" t="str">
        <f t="shared" si="103"/>
        <v/>
      </c>
      <c r="BV85" t="str">
        <f t="shared" si="69"/>
        <v/>
      </c>
      <c r="BW85" t="str">
        <f t="shared" si="70"/>
        <v/>
      </c>
      <c r="BX85" t="str">
        <f t="shared" si="71"/>
        <v/>
      </c>
      <c r="BY85" t="str">
        <f t="shared" si="72"/>
        <v/>
      </c>
      <c r="BZ85" t="str">
        <f t="shared" si="73"/>
        <v/>
      </c>
      <c r="CA85" t="str">
        <f t="shared" si="104"/>
        <v/>
      </c>
      <c r="CB85" t="str">
        <f t="shared" si="74"/>
        <v/>
      </c>
      <c r="CC85" t="str">
        <f t="shared" si="75"/>
        <v/>
      </c>
      <c r="CD85" t="str">
        <f t="shared" si="76"/>
        <v/>
      </c>
      <c r="CE85" t="str">
        <f t="shared" si="77"/>
        <v/>
      </c>
      <c r="CH85" t="str">
        <f t="shared" si="78"/>
        <v/>
      </c>
      <c r="CP85" t="str">
        <f t="shared" si="79"/>
        <v/>
      </c>
      <c r="CV85" t="str">
        <f t="shared" si="80"/>
        <v/>
      </c>
      <c r="CW85" t="str">
        <f t="shared" si="81"/>
        <v/>
      </c>
      <c r="CY85" t="str">
        <f t="shared" si="82"/>
        <v/>
      </c>
      <c r="CZ85" t="str">
        <f t="shared" si="83"/>
        <v/>
      </c>
      <c r="DB85" t="str">
        <f t="shared" si="105"/>
        <v/>
      </c>
      <c r="DE85" t="str">
        <f t="shared" si="106"/>
        <v/>
      </c>
      <c r="DF85" t="str">
        <f t="shared" si="107"/>
        <v/>
      </c>
      <c r="DG85" t="str">
        <f t="shared" si="84"/>
        <v/>
      </c>
      <c r="DH85" t="str">
        <f t="shared" si="85"/>
        <v/>
      </c>
      <c r="DI85" t="str">
        <f t="shared" si="86"/>
        <v/>
      </c>
      <c r="DJ85" t="str">
        <f t="shared" si="87"/>
        <v/>
      </c>
      <c r="DK85" t="str">
        <f t="shared" si="88"/>
        <v/>
      </c>
      <c r="DL85" t="str">
        <f t="shared" si="108"/>
        <v/>
      </c>
      <c r="DT85" t="str">
        <f t="shared" si="109"/>
        <v/>
      </c>
      <c r="DU85" t="str">
        <f t="shared" si="89"/>
        <v/>
      </c>
      <c r="DZ85" t="str">
        <f t="shared" si="90"/>
        <v/>
      </c>
      <c r="EA85" t="str">
        <f t="shared" si="91"/>
        <v/>
      </c>
      <c r="EC85" t="str">
        <f t="shared" si="110"/>
        <v/>
      </c>
      <c r="ED85" t="str">
        <f t="shared" si="111"/>
        <v/>
      </c>
    </row>
    <row r="86" spans="1:134" x14ac:dyDescent="0.3">
      <c r="A86" t="s">
        <v>554</v>
      </c>
      <c r="B86" t="s">
        <v>79</v>
      </c>
      <c r="C86" t="s">
        <v>547</v>
      </c>
      <c r="H86" t="s">
        <v>616</v>
      </c>
      <c r="K86" t="s">
        <v>547</v>
      </c>
      <c r="W86" s="32"/>
      <c r="Y86" t="s">
        <v>967</v>
      </c>
      <c r="AF86" t="s">
        <v>718</v>
      </c>
      <c r="AK86" t="str">
        <f t="shared" si="92"/>
        <v>RST_LOCK_TRP_s</v>
      </c>
      <c r="AL86" t="str">
        <f t="shared" si="93"/>
        <v>RST_LOCK_TRP_s</v>
      </c>
      <c r="AM86" t="b">
        <f t="shared" si="94"/>
        <v>1</v>
      </c>
      <c r="AN86" t="b">
        <f t="shared" si="56"/>
        <v>0</v>
      </c>
      <c r="AO86" t="b">
        <f t="shared" si="57"/>
        <v>0</v>
      </c>
      <c r="AP86" t="b">
        <f t="shared" si="58"/>
        <v>0</v>
      </c>
      <c r="AQ86" t="str">
        <f t="shared" si="59"/>
        <v>[TagPrefixFull]RST_LOCK_TRP_s</v>
      </c>
      <c r="AR86" t="str">
        <f>IF($AM86,VLOOKUP(B86,DataTypeMappings!$A$2:$B$18,2,"FALSE"),"")</f>
        <v>DIGITAL</v>
      </c>
      <c r="AS86" t="str">
        <f t="shared" si="60"/>
        <v>[PLC]</v>
      </c>
      <c r="AT86" t="str">
        <f t="shared" si="61"/>
        <v>LW_SS01_RST.LOCK_TRP_s</v>
      </c>
      <c r="AU86" t="str">
        <f t="shared" si="95"/>
        <v/>
      </c>
      <c r="AV86" t="str">
        <f t="shared" si="96"/>
        <v/>
      </c>
      <c r="AW86" t="str">
        <f t="shared" si="97"/>
        <v/>
      </c>
      <c r="AX86" t="str">
        <f t="shared" si="98"/>
        <v/>
      </c>
      <c r="AY86" t="str">
        <f t="shared" si="99"/>
        <v/>
      </c>
      <c r="AZ86" t="str">
        <f t="shared" si="100"/>
        <v/>
      </c>
      <c r="BA86" t="str">
        <f t="shared" si="62"/>
        <v>[Desc] - Trip Locked Reset</v>
      </c>
      <c r="BJ86" t="str">
        <f t="shared" si="63"/>
        <v>[Cluster]</v>
      </c>
      <c r="BK86" t="str">
        <f t="shared" si="64"/>
        <v>[Equip]</v>
      </c>
      <c r="BL86" t="str">
        <f t="shared" si="65"/>
        <v/>
      </c>
      <c r="BM86" t="str">
        <f t="shared" si="66"/>
        <v>[Historian]</v>
      </c>
      <c r="BN86" t="str">
        <f t="shared" si="67"/>
        <v>[DigAlmName]</v>
      </c>
      <c r="BO86" t="str">
        <f t="shared" si="68"/>
        <v>[Desc]</v>
      </c>
      <c r="BP86" t="str">
        <f t="shared" si="101"/>
        <v/>
      </c>
      <c r="BQ86" t="str">
        <f t="shared" si="102"/>
        <v/>
      </c>
      <c r="BU86" t="str">
        <f t="shared" si="103"/>
        <v/>
      </c>
      <c r="BV86" t="str">
        <f t="shared" si="69"/>
        <v/>
      </c>
      <c r="BW86" t="str">
        <f t="shared" si="70"/>
        <v/>
      </c>
      <c r="BX86" t="str">
        <f t="shared" si="71"/>
        <v/>
      </c>
      <c r="BY86" t="str">
        <f t="shared" si="72"/>
        <v/>
      </c>
      <c r="BZ86" t="str">
        <f t="shared" si="73"/>
        <v/>
      </c>
      <c r="CA86" t="str">
        <f t="shared" si="104"/>
        <v/>
      </c>
      <c r="CB86" t="str">
        <f t="shared" si="74"/>
        <v/>
      </c>
      <c r="CC86" t="str">
        <f t="shared" si="75"/>
        <v/>
      </c>
      <c r="CD86" t="str">
        <f t="shared" si="76"/>
        <v/>
      </c>
      <c r="CE86" t="str">
        <f t="shared" si="77"/>
        <v/>
      </c>
      <c r="CH86" t="str">
        <f t="shared" si="78"/>
        <v/>
      </c>
      <c r="CP86" t="str">
        <f t="shared" si="79"/>
        <v/>
      </c>
      <c r="CV86" t="str">
        <f t="shared" si="80"/>
        <v/>
      </c>
      <c r="CW86" t="str">
        <f t="shared" si="81"/>
        <v/>
      </c>
      <c r="CY86" t="str">
        <f t="shared" si="82"/>
        <v/>
      </c>
      <c r="CZ86" t="str">
        <f t="shared" si="83"/>
        <v/>
      </c>
      <c r="DB86" t="str">
        <f t="shared" si="105"/>
        <v/>
      </c>
      <c r="DE86" t="str">
        <f t="shared" si="106"/>
        <v/>
      </c>
      <c r="DF86" t="str">
        <f t="shared" si="107"/>
        <v/>
      </c>
      <c r="DG86" t="str">
        <f t="shared" si="84"/>
        <v/>
      </c>
      <c r="DH86" t="str">
        <f t="shared" si="85"/>
        <v/>
      </c>
      <c r="DI86" t="str">
        <f t="shared" si="86"/>
        <v/>
      </c>
      <c r="DJ86" t="str">
        <f t="shared" si="87"/>
        <v/>
      </c>
      <c r="DK86" t="str">
        <f t="shared" si="88"/>
        <v/>
      </c>
      <c r="DL86" t="str">
        <f t="shared" si="108"/>
        <v/>
      </c>
      <c r="DT86" t="str">
        <f t="shared" si="109"/>
        <v/>
      </c>
      <c r="DU86" t="str">
        <f t="shared" si="89"/>
        <v/>
      </c>
      <c r="DZ86" t="str">
        <f t="shared" si="90"/>
        <v/>
      </c>
      <c r="EA86" t="str">
        <f t="shared" si="91"/>
        <v/>
      </c>
      <c r="EC86" t="str">
        <f t="shared" si="110"/>
        <v/>
      </c>
      <c r="ED86" t="str">
        <f t="shared" si="111"/>
        <v/>
      </c>
    </row>
    <row r="87" spans="1:134" x14ac:dyDescent="0.3">
      <c r="A87" t="s">
        <v>555</v>
      </c>
      <c r="B87" t="s">
        <v>79</v>
      </c>
      <c r="C87" t="s">
        <v>548</v>
      </c>
      <c r="H87" t="s">
        <v>616</v>
      </c>
      <c r="K87" t="s">
        <v>548</v>
      </c>
      <c r="W87" s="32"/>
      <c r="Y87" t="s">
        <v>968</v>
      </c>
      <c r="AF87" t="s">
        <v>718</v>
      </c>
      <c r="AK87" t="str">
        <f t="shared" si="92"/>
        <v>RST_RST_i</v>
      </c>
      <c r="AL87" t="str">
        <f t="shared" si="93"/>
        <v>RST_RST_i</v>
      </c>
      <c r="AM87" t="b">
        <f t="shared" si="94"/>
        <v>1</v>
      </c>
      <c r="AN87" t="b">
        <f t="shared" si="56"/>
        <v>0</v>
      </c>
      <c r="AO87" t="b">
        <f t="shared" si="57"/>
        <v>0</v>
      </c>
      <c r="AP87" t="b">
        <f t="shared" si="58"/>
        <v>0</v>
      </c>
      <c r="AQ87" t="str">
        <f t="shared" si="59"/>
        <v>[TagPrefixFull]RST_RST_i</v>
      </c>
      <c r="AR87" t="str">
        <f>IF($AM87,VLOOKUP(B87,DataTypeMappings!$A$2:$B$18,2,"FALSE"),"")</f>
        <v>DIGITAL</v>
      </c>
      <c r="AS87" t="str">
        <f t="shared" si="60"/>
        <v>[PLC]</v>
      </c>
      <c r="AT87" t="str">
        <f t="shared" si="61"/>
        <v>LW_SS01_RST.RST_i</v>
      </c>
      <c r="AU87" t="str">
        <f t="shared" si="95"/>
        <v/>
      </c>
      <c r="AV87" t="str">
        <f t="shared" si="96"/>
        <v/>
      </c>
      <c r="AW87" t="str">
        <f t="shared" si="97"/>
        <v/>
      </c>
      <c r="AX87" t="str">
        <f t="shared" si="98"/>
        <v/>
      </c>
      <c r="AY87" t="str">
        <f t="shared" si="99"/>
        <v/>
      </c>
      <c r="AZ87" t="str">
        <f t="shared" si="100"/>
        <v/>
      </c>
      <c r="BA87" t="str">
        <f t="shared" si="62"/>
        <v>[Desc] - General Reset Button</v>
      </c>
      <c r="BJ87" t="str">
        <f t="shared" si="63"/>
        <v>[Cluster]</v>
      </c>
      <c r="BK87" t="str">
        <f t="shared" si="64"/>
        <v>[Equip]</v>
      </c>
      <c r="BL87" t="str">
        <f t="shared" si="65"/>
        <v/>
      </c>
      <c r="BM87" t="str">
        <f t="shared" si="66"/>
        <v>[Historian]</v>
      </c>
      <c r="BN87" t="str">
        <f t="shared" si="67"/>
        <v>[DigAlmName]</v>
      </c>
      <c r="BO87" t="str">
        <f t="shared" si="68"/>
        <v>[Desc]</v>
      </c>
      <c r="BP87" t="str">
        <f t="shared" si="101"/>
        <v/>
      </c>
      <c r="BQ87" t="str">
        <f t="shared" si="102"/>
        <v/>
      </c>
      <c r="BU87" t="str">
        <f t="shared" si="103"/>
        <v/>
      </c>
      <c r="BV87" t="str">
        <f t="shared" si="69"/>
        <v/>
      </c>
      <c r="BW87" t="str">
        <f t="shared" si="70"/>
        <v/>
      </c>
      <c r="BX87" t="str">
        <f t="shared" si="71"/>
        <v/>
      </c>
      <c r="BY87" t="str">
        <f t="shared" si="72"/>
        <v/>
      </c>
      <c r="BZ87" t="str">
        <f t="shared" si="73"/>
        <v/>
      </c>
      <c r="CA87" t="str">
        <f t="shared" si="104"/>
        <v/>
      </c>
      <c r="CB87" t="str">
        <f t="shared" si="74"/>
        <v/>
      </c>
      <c r="CC87" t="str">
        <f t="shared" si="75"/>
        <v/>
      </c>
      <c r="CD87" t="str">
        <f t="shared" si="76"/>
        <v/>
      </c>
      <c r="CE87" t="str">
        <f t="shared" si="77"/>
        <v/>
      </c>
      <c r="CH87" t="str">
        <f t="shared" si="78"/>
        <v/>
      </c>
      <c r="CP87" t="str">
        <f t="shared" si="79"/>
        <v/>
      </c>
      <c r="CV87" t="str">
        <f t="shared" si="80"/>
        <v/>
      </c>
      <c r="CW87" t="str">
        <f t="shared" si="81"/>
        <v/>
      </c>
      <c r="CY87" t="str">
        <f t="shared" si="82"/>
        <v/>
      </c>
      <c r="CZ87" t="str">
        <f t="shared" si="83"/>
        <v/>
      </c>
      <c r="DB87" t="str">
        <f t="shared" si="105"/>
        <v/>
      </c>
      <c r="DE87" t="str">
        <f t="shared" si="106"/>
        <v/>
      </c>
      <c r="DF87" t="str">
        <f t="shared" si="107"/>
        <v/>
      </c>
      <c r="DG87" t="str">
        <f t="shared" si="84"/>
        <v/>
      </c>
      <c r="DH87" t="str">
        <f t="shared" si="85"/>
        <v/>
      </c>
      <c r="DI87" t="str">
        <f t="shared" si="86"/>
        <v/>
      </c>
      <c r="DJ87" t="str">
        <f t="shared" si="87"/>
        <v/>
      </c>
      <c r="DK87" t="str">
        <f t="shared" si="88"/>
        <v/>
      </c>
      <c r="DL87" t="str">
        <f t="shared" si="108"/>
        <v/>
      </c>
      <c r="DT87" t="str">
        <f t="shared" si="109"/>
        <v/>
      </c>
      <c r="DU87" t="str">
        <f t="shared" si="89"/>
        <v/>
      </c>
      <c r="DZ87" t="str">
        <f t="shared" si="90"/>
        <v/>
      </c>
      <c r="EA87" t="str">
        <f t="shared" si="91"/>
        <v/>
      </c>
      <c r="EC87" t="str">
        <f t="shared" si="110"/>
        <v/>
      </c>
      <c r="ED87" t="str">
        <f t="shared" si="111"/>
        <v/>
      </c>
    </row>
    <row r="88" spans="1:134" x14ac:dyDescent="0.3">
      <c r="A88" t="s">
        <v>556</v>
      </c>
      <c r="B88" t="s">
        <v>79</v>
      </c>
      <c r="C88" t="s">
        <v>546</v>
      </c>
      <c r="H88" t="s">
        <v>616</v>
      </c>
      <c r="K88" t="s">
        <v>546</v>
      </c>
      <c r="W88" s="32"/>
      <c r="Y88" t="s">
        <v>969</v>
      </c>
      <c r="AF88" t="s">
        <v>833</v>
      </c>
      <c r="AK88" t="str">
        <f t="shared" si="92"/>
        <v>RST_LOCK_PRG_HTY_i</v>
      </c>
      <c r="AL88" t="str">
        <f t="shared" si="93"/>
        <v>RST_LOCK_PRG_HTY_i</v>
      </c>
      <c r="AM88" t="b">
        <f t="shared" si="94"/>
        <v>1</v>
      </c>
      <c r="AN88" t="b">
        <f t="shared" si="56"/>
        <v>0</v>
      </c>
      <c r="AO88" t="b">
        <f t="shared" si="57"/>
        <v>0</v>
      </c>
      <c r="AP88" t="b">
        <f t="shared" si="58"/>
        <v>0</v>
      </c>
      <c r="AQ88" t="str">
        <f t="shared" si="59"/>
        <v>[TagPrefixFull]RST_LOCK_PRG_HTY_i</v>
      </c>
      <c r="AR88" t="str">
        <f>IF($AM88,VLOOKUP(B88,DataTypeMappings!$A$2:$B$18,2,"FALSE"),"")</f>
        <v>DIGITAL</v>
      </c>
      <c r="AS88" t="str">
        <f t="shared" si="60"/>
        <v>[PLC]</v>
      </c>
      <c r="AT88" t="str">
        <f t="shared" si="61"/>
        <v>LW_SS01_RST.LOCK_PRG_HTY_i</v>
      </c>
      <c r="AU88" t="str">
        <f t="shared" si="95"/>
        <v/>
      </c>
      <c r="AV88" t="str">
        <f t="shared" si="96"/>
        <v/>
      </c>
      <c r="AW88" t="str">
        <f t="shared" si="97"/>
        <v/>
      </c>
      <c r="AX88" t="str">
        <f t="shared" si="98"/>
        <v/>
      </c>
      <c r="AY88" t="str">
        <f t="shared" si="99"/>
        <v/>
      </c>
      <c r="AZ88" t="str">
        <f t="shared" si="100"/>
        <v/>
      </c>
      <c r="BA88" t="str">
        <f t="shared" si="62"/>
        <v>[Desc] - PLC Program Lock Reset</v>
      </c>
      <c r="BJ88" t="str">
        <f t="shared" si="63"/>
        <v>[Cluster]</v>
      </c>
      <c r="BK88" t="str">
        <f t="shared" si="64"/>
        <v>[Equip]</v>
      </c>
      <c r="BL88" t="str">
        <f t="shared" si="65"/>
        <v/>
      </c>
      <c r="BM88" t="str">
        <f t="shared" si="66"/>
        <v>[Historian]</v>
      </c>
      <c r="BN88" t="str">
        <f t="shared" si="67"/>
        <v>[DigAlmName]</v>
      </c>
      <c r="BO88" t="str">
        <f t="shared" si="68"/>
        <v>[Desc]</v>
      </c>
      <c r="BP88" t="str">
        <f t="shared" si="101"/>
        <v/>
      </c>
      <c r="BQ88" t="str">
        <f t="shared" si="102"/>
        <v/>
      </c>
      <c r="BU88" t="str">
        <f t="shared" si="103"/>
        <v/>
      </c>
      <c r="BV88" t="str">
        <f t="shared" si="69"/>
        <v/>
      </c>
      <c r="BW88" t="str">
        <f t="shared" si="70"/>
        <v/>
      </c>
      <c r="BX88" t="str">
        <f t="shared" si="71"/>
        <v/>
      </c>
      <c r="BY88" t="str">
        <f t="shared" si="72"/>
        <v/>
      </c>
      <c r="BZ88" t="str">
        <f t="shared" si="73"/>
        <v/>
      </c>
      <c r="CA88" t="str">
        <f t="shared" si="104"/>
        <v/>
      </c>
      <c r="CB88" t="str">
        <f t="shared" si="74"/>
        <v/>
      </c>
      <c r="CC88" t="str">
        <f t="shared" si="75"/>
        <v/>
      </c>
      <c r="CD88" t="str">
        <f t="shared" si="76"/>
        <v/>
      </c>
      <c r="CE88" t="str">
        <f t="shared" si="77"/>
        <v/>
      </c>
      <c r="CH88" t="str">
        <f t="shared" si="78"/>
        <v/>
      </c>
      <c r="CP88" t="str">
        <f t="shared" si="79"/>
        <v/>
      </c>
      <c r="CV88" t="str">
        <f t="shared" si="80"/>
        <v/>
      </c>
      <c r="CW88" t="str">
        <f t="shared" si="81"/>
        <v/>
      </c>
      <c r="CY88" t="str">
        <f t="shared" si="82"/>
        <v/>
      </c>
      <c r="CZ88" t="str">
        <f t="shared" si="83"/>
        <v/>
      </c>
      <c r="DB88" t="str">
        <f t="shared" si="105"/>
        <v/>
      </c>
      <c r="DE88" t="str">
        <f t="shared" si="106"/>
        <v/>
      </c>
      <c r="DF88" t="str">
        <f t="shared" si="107"/>
        <v/>
      </c>
      <c r="DG88" t="str">
        <f t="shared" si="84"/>
        <v/>
      </c>
      <c r="DH88" t="str">
        <f t="shared" si="85"/>
        <v/>
      </c>
      <c r="DI88" t="str">
        <f t="shared" si="86"/>
        <v/>
      </c>
      <c r="DJ88" t="str">
        <f t="shared" si="87"/>
        <v/>
      </c>
      <c r="DK88" t="str">
        <f t="shared" si="88"/>
        <v/>
      </c>
      <c r="DL88" t="str">
        <f t="shared" si="108"/>
        <v/>
      </c>
      <c r="DT88" t="str">
        <f t="shared" si="109"/>
        <v/>
      </c>
      <c r="DU88" t="str">
        <f t="shared" si="89"/>
        <v/>
      </c>
      <c r="DZ88" t="str">
        <f t="shared" si="90"/>
        <v/>
      </c>
      <c r="EA88" t="str">
        <f t="shared" si="91"/>
        <v/>
      </c>
      <c r="EC88" t="str">
        <f t="shared" si="110"/>
        <v/>
      </c>
      <c r="ED88" t="str">
        <f t="shared" si="111"/>
        <v/>
      </c>
    </row>
    <row r="89" spans="1:134" x14ac:dyDescent="0.3">
      <c r="A89" t="s">
        <v>557</v>
      </c>
      <c r="B89" t="s">
        <v>79</v>
      </c>
      <c r="C89" t="s">
        <v>549</v>
      </c>
      <c r="H89" t="s">
        <v>616</v>
      </c>
      <c r="K89" t="s">
        <v>549</v>
      </c>
      <c r="W89" s="32"/>
      <c r="Y89" t="s">
        <v>970</v>
      </c>
      <c r="AF89" t="s">
        <v>718</v>
      </c>
      <c r="AK89" t="str">
        <f t="shared" si="92"/>
        <v>RST_LOCK_TRP_HTY_i</v>
      </c>
      <c r="AL89" t="str">
        <f t="shared" si="93"/>
        <v>RST_LOCK_TRP_HTY_i</v>
      </c>
      <c r="AM89" t="b">
        <f t="shared" si="94"/>
        <v>1</v>
      </c>
      <c r="AN89" t="b">
        <f t="shared" si="56"/>
        <v>0</v>
      </c>
      <c r="AO89" t="b">
        <f t="shared" si="57"/>
        <v>0</v>
      </c>
      <c r="AP89" t="b">
        <f t="shared" si="58"/>
        <v>0</v>
      </c>
      <c r="AQ89" t="str">
        <f t="shared" si="59"/>
        <v>[TagPrefixFull]RST_LOCK_TRP_HTY_i</v>
      </c>
      <c r="AR89" t="str">
        <f>IF($AM89,VLOOKUP(B89,DataTypeMappings!$A$2:$B$18,2,"FALSE"),"")</f>
        <v>DIGITAL</v>
      </c>
      <c r="AS89" t="str">
        <f t="shared" si="60"/>
        <v>[PLC]</v>
      </c>
      <c r="AT89" t="str">
        <f t="shared" si="61"/>
        <v>LW_SS01_RST.LOCK_TRP_HTY_i</v>
      </c>
      <c r="AU89" t="str">
        <f t="shared" si="95"/>
        <v/>
      </c>
      <c r="AV89" t="str">
        <f t="shared" si="96"/>
        <v/>
      </c>
      <c r="AW89" t="str">
        <f t="shared" si="97"/>
        <v/>
      </c>
      <c r="AX89" t="str">
        <f t="shared" si="98"/>
        <v/>
      </c>
      <c r="AY89" t="str">
        <f t="shared" si="99"/>
        <v/>
      </c>
      <c r="AZ89" t="str">
        <f t="shared" si="100"/>
        <v/>
      </c>
      <c r="BA89" t="str">
        <f t="shared" si="62"/>
        <v>[Desc] - Trip Locked Reset from button</v>
      </c>
      <c r="BJ89" t="str">
        <f t="shared" si="63"/>
        <v>[Cluster]</v>
      </c>
      <c r="BK89" t="str">
        <f t="shared" si="64"/>
        <v>[Equip]</v>
      </c>
      <c r="BL89" t="str">
        <f t="shared" si="65"/>
        <v/>
      </c>
      <c r="BM89" t="str">
        <f t="shared" si="66"/>
        <v>[Historian]</v>
      </c>
      <c r="BN89" t="str">
        <f t="shared" si="67"/>
        <v>[DigAlmName]</v>
      </c>
      <c r="BO89" t="str">
        <f t="shared" si="68"/>
        <v>[Desc]</v>
      </c>
      <c r="BP89" t="str">
        <f t="shared" si="101"/>
        <v/>
      </c>
      <c r="BQ89" t="str">
        <f t="shared" si="102"/>
        <v/>
      </c>
      <c r="BU89" t="str">
        <f t="shared" si="103"/>
        <v/>
      </c>
      <c r="BV89" t="str">
        <f t="shared" si="69"/>
        <v/>
      </c>
      <c r="BW89" t="str">
        <f t="shared" si="70"/>
        <v/>
      </c>
      <c r="BX89" t="str">
        <f t="shared" si="71"/>
        <v/>
      </c>
      <c r="BY89" t="str">
        <f t="shared" si="72"/>
        <v/>
      </c>
      <c r="BZ89" t="str">
        <f t="shared" si="73"/>
        <v/>
      </c>
      <c r="CA89" t="str">
        <f t="shared" si="104"/>
        <v/>
      </c>
      <c r="CB89" t="str">
        <f t="shared" si="74"/>
        <v/>
      </c>
      <c r="CC89" t="str">
        <f t="shared" si="75"/>
        <v/>
      </c>
      <c r="CD89" t="str">
        <f t="shared" si="76"/>
        <v/>
      </c>
      <c r="CE89" t="str">
        <f t="shared" si="77"/>
        <v/>
      </c>
      <c r="CH89" t="str">
        <f t="shared" si="78"/>
        <v/>
      </c>
      <c r="CP89" t="str">
        <f t="shared" si="79"/>
        <v/>
      </c>
      <c r="CV89" t="str">
        <f t="shared" si="80"/>
        <v/>
      </c>
      <c r="CW89" t="str">
        <f t="shared" si="81"/>
        <v/>
      </c>
      <c r="CY89" t="str">
        <f t="shared" si="82"/>
        <v/>
      </c>
      <c r="CZ89" t="str">
        <f t="shared" si="83"/>
        <v/>
      </c>
      <c r="DB89" t="str">
        <f t="shared" si="105"/>
        <v/>
      </c>
      <c r="DE89" t="str">
        <f t="shared" si="106"/>
        <v/>
      </c>
      <c r="DF89" t="str">
        <f t="shared" si="107"/>
        <v/>
      </c>
      <c r="DG89" t="str">
        <f t="shared" si="84"/>
        <v/>
      </c>
      <c r="DH89" t="str">
        <f t="shared" si="85"/>
        <v/>
      </c>
      <c r="DI89" t="str">
        <f t="shared" si="86"/>
        <v/>
      </c>
      <c r="DJ89" t="str">
        <f t="shared" si="87"/>
        <v/>
      </c>
      <c r="DK89" t="str">
        <f t="shared" si="88"/>
        <v/>
      </c>
      <c r="DL89" t="str">
        <f t="shared" si="108"/>
        <v/>
      </c>
      <c r="DT89" t="str">
        <f t="shared" si="109"/>
        <v/>
      </c>
      <c r="DU89" t="str">
        <f t="shared" si="89"/>
        <v/>
      </c>
      <c r="DZ89" t="str">
        <f t="shared" si="90"/>
        <v/>
      </c>
      <c r="EA89" t="str">
        <f t="shared" si="91"/>
        <v/>
      </c>
      <c r="EC89" t="str">
        <f t="shared" si="110"/>
        <v/>
      </c>
      <c r="ED89" t="str">
        <f t="shared" si="111"/>
        <v/>
      </c>
    </row>
    <row r="90" spans="1:134" x14ac:dyDescent="0.3">
      <c r="A90" t="s">
        <v>558</v>
      </c>
      <c r="B90" t="s">
        <v>79</v>
      </c>
      <c r="C90" t="s">
        <v>550</v>
      </c>
      <c r="H90" t="s">
        <v>616</v>
      </c>
      <c r="K90" t="s">
        <v>550</v>
      </c>
      <c r="W90" s="32"/>
      <c r="Y90" t="s">
        <v>971</v>
      </c>
      <c r="AF90" t="s">
        <v>718</v>
      </c>
      <c r="AK90" t="str">
        <f t="shared" si="92"/>
        <v>RST_LOCK_RST_s</v>
      </c>
      <c r="AL90" t="str">
        <f t="shared" si="93"/>
        <v>RST_LOCK_RST_s</v>
      </c>
      <c r="AM90" t="b">
        <f t="shared" si="94"/>
        <v>1</v>
      </c>
      <c r="AN90" t="b">
        <f t="shared" si="56"/>
        <v>0</v>
      </c>
      <c r="AO90" t="b">
        <f t="shared" si="57"/>
        <v>0</v>
      </c>
      <c r="AP90" t="b">
        <f t="shared" si="58"/>
        <v>0</v>
      </c>
      <c r="AQ90" t="str">
        <f t="shared" si="59"/>
        <v>[TagPrefixFull]RST_LOCK_RST_s</v>
      </c>
      <c r="AR90" t="str">
        <f>IF($AM90,VLOOKUP(B90,DataTypeMappings!$A$2:$B$18,2,"FALSE"),"")</f>
        <v>DIGITAL</v>
      </c>
      <c r="AS90" t="str">
        <f t="shared" si="60"/>
        <v>[PLC]</v>
      </c>
      <c r="AT90" t="str">
        <f t="shared" si="61"/>
        <v>LW_SS01_RST.LOCK_RST_s</v>
      </c>
      <c r="AU90" t="str">
        <f t="shared" si="95"/>
        <v/>
      </c>
      <c r="AV90" t="str">
        <f t="shared" si="96"/>
        <v/>
      </c>
      <c r="AW90" t="str">
        <f t="shared" si="97"/>
        <v/>
      </c>
      <c r="AX90" t="str">
        <f t="shared" si="98"/>
        <v/>
      </c>
      <c r="AY90" t="str">
        <f t="shared" si="99"/>
        <v/>
      </c>
      <c r="AZ90" t="str">
        <f t="shared" si="100"/>
        <v/>
      </c>
      <c r="BA90" t="str">
        <f t="shared" si="62"/>
        <v>[Desc] - Lock Reset</v>
      </c>
      <c r="BJ90" t="str">
        <f t="shared" si="63"/>
        <v>[Cluster]</v>
      </c>
      <c r="BK90" t="str">
        <f t="shared" si="64"/>
        <v>[Equip]</v>
      </c>
      <c r="BL90" t="str">
        <f t="shared" si="65"/>
        <v/>
      </c>
      <c r="BM90" t="str">
        <f t="shared" si="66"/>
        <v>[Historian]</v>
      </c>
      <c r="BN90" t="str">
        <f t="shared" si="67"/>
        <v>[DigAlmName]</v>
      </c>
      <c r="BO90" t="str">
        <f t="shared" si="68"/>
        <v>[Desc]</v>
      </c>
      <c r="BP90" t="str">
        <f t="shared" si="101"/>
        <v/>
      </c>
      <c r="BQ90" t="str">
        <f t="shared" si="102"/>
        <v/>
      </c>
      <c r="BU90" t="str">
        <f t="shared" si="103"/>
        <v/>
      </c>
      <c r="BV90" t="str">
        <f t="shared" si="69"/>
        <v/>
      </c>
      <c r="BW90" t="str">
        <f t="shared" si="70"/>
        <v/>
      </c>
      <c r="BX90" t="str">
        <f t="shared" si="71"/>
        <v/>
      </c>
      <c r="BY90" t="str">
        <f t="shared" si="72"/>
        <v/>
      </c>
      <c r="BZ90" t="str">
        <f t="shared" si="73"/>
        <v/>
      </c>
      <c r="CA90" t="str">
        <f t="shared" si="104"/>
        <v/>
      </c>
      <c r="CB90" t="str">
        <f t="shared" si="74"/>
        <v/>
      </c>
      <c r="CC90" t="str">
        <f t="shared" si="75"/>
        <v/>
      </c>
      <c r="CD90" t="str">
        <f t="shared" si="76"/>
        <v/>
      </c>
      <c r="CE90" t="str">
        <f t="shared" si="77"/>
        <v/>
      </c>
      <c r="CH90" t="str">
        <f t="shared" si="78"/>
        <v/>
      </c>
      <c r="CP90" t="str">
        <f t="shared" si="79"/>
        <v/>
      </c>
      <c r="CV90" t="str">
        <f t="shared" si="80"/>
        <v/>
      </c>
      <c r="CW90" t="str">
        <f t="shared" si="81"/>
        <v/>
      </c>
      <c r="CY90" t="str">
        <f t="shared" si="82"/>
        <v/>
      </c>
      <c r="CZ90" t="str">
        <f t="shared" si="83"/>
        <v/>
      </c>
      <c r="DB90" t="str">
        <f t="shared" si="105"/>
        <v/>
      </c>
      <c r="DE90" t="str">
        <f t="shared" si="106"/>
        <v/>
      </c>
      <c r="DF90" t="str">
        <f t="shared" si="107"/>
        <v/>
      </c>
      <c r="DG90" t="str">
        <f t="shared" si="84"/>
        <v/>
      </c>
      <c r="DH90" t="str">
        <f t="shared" si="85"/>
        <v/>
      </c>
      <c r="DI90" t="str">
        <f t="shared" si="86"/>
        <v/>
      </c>
      <c r="DJ90" t="str">
        <f t="shared" si="87"/>
        <v/>
      </c>
      <c r="DK90" t="str">
        <f t="shared" si="88"/>
        <v/>
      </c>
      <c r="DL90" t="str">
        <f t="shared" si="108"/>
        <v/>
      </c>
      <c r="DT90" t="str">
        <f t="shared" si="109"/>
        <v/>
      </c>
      <c r="DU90" t="str">
        <f t="shared" si="89"/>
        <v/>
      </c>
      <c r="DZ90" t="str">
        <f t="shared" si="90"/>
        <v/>
      </c>
      <c r="EA90" t="str">
        <f t="shared" si="91"/>
        <v/>
      </c>
      <c r="EC90" t="str">
        <f t="shared" si="110"/>
        <v/>
      </c>
      <c r="ED90" t="str">
        <f t="shared" si="111"/>
        <v/>
      </c>
    </row>
    <row r="91" spans="1:134" x14ac:dyDescent="0.3">
      <c r="A91" t="s">
        <v>559</v>
      </c>
      <c r="B91" t="s">
        <v>79</v>
      </c>
      <c r="C91" t="s">
        <v>551</v>
      </c>
      <c r="H91" t="s">
        <v>616</v>
      </c>
      <c r="K91" t="s">
        <v>551</v>
      </c>
      <c r="W91" s="32"/>
      <c r="Y91" t="s">
        <v>972</v>
      </c>
      <c r="AF91" t="s">
        <v>718</v>
      </c>
      <c r="AK91" t="str">
        <f t="shared" si="92"/>
        <v>RST_PU_LAT_s</v>
      </c>
      <c r="AL91" t="str">
        <f t="shared" si="93"/>
        <v>RST_PU_LAT_s</v>
      </c>
      <c r="AM91" t="b">
        <f t="shared" si="94"/>
        <v>1</v>
      </c>
      <c r="AN91" t="b">
        <f t="shared" si="56"/>
        <v>0</v>
      </c>
      <c r="AO91" t="b">
        <f t="shared" si="57"/>
        <v>0</v>
      </c>
      <c r="AP91" t="b">
        <f t="shared" si="58"/>
        <v>0</v>
      </c>
      <c r="AQ91" t="str">
        <f t="shared" si="59"/>
        <v>[TagPrefixFull]RST_PU_LAT_s</v>
      </c>
      <c r="AR91" t="str">
        <f>IF($AM91,VLOOKUP(B91,DataTypeMappings!$A$2:$B$18,2,"FALSE"),"")</f>
        <v>DIGITAL</v>
      </c>
      <c r="AS91" t="str">
        <f t="shared" si="60"/>
        <v>[PLC]</v>
      </c>
      <c r="AT91" t="str">
        <f t="shared" si="61"/>
        <v>LW_SS01_RST.PU_LAT_s</v>
      </c>
      <c r="AU91" t="str">
        <f t="shared" si="95"/>
        <v/>
      </c>
      <c r="AV91" t="str">
        <f t="shared" si="96"/>
        <v/>
      </c>
      <c r="AW91" t="str">
        <f t="shared" si="97"/>
        <v/>
      </c>
      <c r="AX91" t="str">
        <f t="shared" si="98"/>
        <v/>
      </c>
      <c r="AY91" t="str">
        <f t="shared" si="99"/>
        <v/>
      </c>
      <c r="AZ91" t="str">
        <f t="shared" si="100"/>
        <v/>
      </c>
      <c r="BA91" t="str">
        <f t="shared" si="62"/>
        <v>[Desc] - Power Up Latch</v>
      </c>
      <c r="BJ91" t="str">
        <f t="shared" si="63"/>
        <v>[Cluster]</v>
      </c>
      <c r="BK91" t="str">
        <f t="shared" si="64"/>
        <v>[Equip]</v>
      </c>
      <c r="BL91" t="str">
        <f t="shared" si="65"/>
        <v/>
      </c>
      <c r="BM91" t="str">
        <f t="shared" si="66"/>
        <v>[Historian]</v>
      </c>
      <c r="BN91" t="str">
        <f t="shared" si="67"/>
        <v>[DigAlmName]</v>
      </c>
      <c r="BO91" t="str">
        <f t="shared" si="68"/>
        <v>[Desc]</v>
      </c>
      <c r="BP91" t="str">
        <f t="shared" si="101"/>
        <v/>
      </c>
      <c r="BQ91" t="str">
        <f t="shared" si="102"/>
        <v/>
      </c>
      <c r="BU91" t="str">
        <f t="shared" si="103"/>
        <v/>
      </c>
      <c r="BV91" t="str">
        <f t="shared" si="69"/>
        <v/>
      </c>
      <c r="BW91" t="str">
        <f t="shared" si="70"/>
        <v/>
      </c>
      <c r="BX91" t="str">
        <f t="shared" si="71"/>
        <v/>
      </c>
      <c r="BY91" t="str">
        <f t="shared" si="72"/>
        <v/>
      </c>
      <c r="BZ91" t="str">
        <f t="shared" si="73"/>
        <v/>
      </c>
      <c r="CA91" t="str">
        <f t="shared" si="104"/>
        <v/>
      </c>
      <c r="CB91" t="str">
        <f t="shared" si="74"/>
        <v/>
      </c>
      <c r="CC91" t="str">
        <f t="shared" si="75"/>
        <v/>
      </c>
      <c r="CD91" t="str">
        <f t="shared" si="76"/>
        <v/>
      </c>
      <c r="CE91" t="str">
        <f t="shared" si="77"/>
        <v/>
      </c>
      <c r="CH91" t="str">
        <f t="shared" si="78"/>
        <v/>
      </c>
      <c r="CP91" t="str">
        <f t="shared" si="79"/>
        <v/>
      </c>
      <c r="CV91" t="str">
        <f t="shared" si="80"/>
        <v/>
      </c>
      <c r="CW91" t="str">
        <f t="shared" si="81"/>
        <v/>
      </c>
      <c r="CY91" t="str">
        <f t="shared" si="82"/>
        <v/>
      </c>
      <c r="CZ91" t="str">
        <f t="shared" si="83"/>
        <v/>
      </c>
      <c r="DB91" t="str">
        <f t="shared" si="105"/>
        <v/>
      </c>
      <c r="DE91" t="str">
        <f t="shared" si="106"/>
        <v/>
      </c>
      <c r="DF91" t="str">
        <f t="shared" si="107"/>
        <v/>
      </c>
      <c r="DG91" t="str">
        <f t="shared" si="84"/>
        <v/>
      </c>
      <c r="DH91" t="str">
        <f t="shared" si="85"/>
        <v/>
      </c>
      <c r="DI91" t="str">
        <f t="shared" si="86"/>
        <v/>
      </c>
      <c r="DJ91" t="str">
        <f t="shared" si="87"/>
        <v/>
      </c>
      <c r="DK91" t="str">
        <f t="shared" si="88"/>
        <v/>
      </c>
      <c r="DL91" t="str">
        <f t="shared" si="108"/>
        <v/>
      </c>
      <c r="DT91" t="str">
        <f t="shared" si="109"/>
        <v/>
      </c>
      <c r="DU91" t="str">
        <f t="shared" si="89"/>
        <v/>
      </c>
      <c r="DZ91" t="str">
        <f t="shared" si="90"/>
        <v/>
      </c>
      <c r="EA91" t="str">
        <f t="shared" si="91"/>
        <v/>
      </c>
      <c r="EC91" t="str">
        <f t="shared" si="110"/>
        <v/>
      </c>
      <c r="ED91" t="str">
        <f t="shared" si="111"/>
        <v/>
      </c>
    </row>
    <row r="92" spans="1:134" x14ac:dyDescent="0.3">
      <c r="A92" t="s">
        <v>560</v>
      </c>
      <c r="B92" t="s">
        <v>79</v>
      </c>
      <c r="C92" t="s">
        <v>828</v>
      </c>
      <c r="H92" t="s">
        <v>617</v>
      </c>
      <c r="K92" t="s">
        <v>828</v>
      </c>
      <c r="U92" t="s">
        <v>308</v>
      </c>
      <c r="W92" s="32"/>
      <c r="Y92" t="s">
        <v>973</v>
      </c>
      <c r="AF92" t="s">
        <v>718</v>
      </c>
      <c r="AK92" t="str">
        <f t="shared" si="92"/>
        <v>RST_RST_c_CMD_i</v>
      </c>
      <c r="AL92" t="str">
        <f t="shared" si="93"/>
        <v>RST_RST_c_CMD_i</v>
      </c>
      <c r="AM92" t="b">
        <f t="shared" si="94"/>
        <v>1</v>
      </c>
      <c r="AN92" t="b">
        <f t="shared" si="56"/>
        <v>1</v>
      </c>
      <c r="AO92" t="b">
        <f t="shared" si="57"/>
        <v>0</v>
      </c>
      <c r="AP92" t="b">
        <f t="shared" si="58"/>
        <v>0</v>
      </c>
      <c r="AQ92" t="str">
        <f t="shared" si="59"/>
        <v>[TagPrefixFull]RST_RST_c_CMD_i</v>
      </c>
      <c r="AR92" t="str">
        <f>IF($AM92,VLOOKUP(B92,DataTypeMappings!$A$2:$B$18,2,"FALSE"),"")</f>
        <v>DIGITAL</v>
      </c>
      <c r="AS92" t="str">
        <f t="shared" si="60"/>
        <v>[PLC]</v>
      </c>
      <c r="AT92" t="str">
        <f t="shared" si="61"/>
        <v>LW_SS01_RST.RST_c.CMD_i</v>
      </c>
      <c r="AU92" t="str">
        <f t="shared" si="95"/>
        <v/>
      </c>
      <c r="AV92" t="str">
        <f t="shared" si="96"/>
        <v/>
      </c>
      <c r="AW92" t="str">
        <f t="shared" si="97"/>
        <v/>
      </c>
      <c r="AX92" t="str">
        <f t="shared" si="98"/>
        <v/>
      </c>
      <c r="AY92" t="str">
        <f t="shared" si="99"/>
        <v/>
      </c>
      <c r="AZ92" t="str">
        <f t="shared" si="100"/>
        <v/>
      </c>
      <c r="BA92" t="str">
        <f t="shared" si="62"/>
        <v>[Desc] - Reset Command</v>
      </c>
      <c r="BJ92" t="str">
        <f t="shared" si="63"/>
        <v>[Cluster]</v>
      </c>
      <c r="BK92" t="str">
        <f t="shared" si="64"/>
        <v>[Equip]</v>
      </c>
      <c r="BL92" t="str">
        <f t="shared" si="65"/>
        <v/>
      </c>
      <c r="BM92" t="str">
        <f t="shared" si="66"/>
        <v>[Historian]</v>
      </c>
      <c r="BN92" t="str">
        <f t="shared" si="67"/>
        <v>[DigAlmName]</v>
      </c>
      <c r="BO92" t="str">
        <f t="shared" si="68"/>
        <v>[Desc]</v>
      </c>
      <c r="BP92" t="str">
        <f t="shared" si="101"/>
        <v>Alm_Event</v>
      </c>
      <c r="BQ92" t="str">
        <f t="shared" si="102"/>
        <v/>
      </c>
      <c r="BU92" t="str">
        <f t="shared" si="103"/>
        <v/>
      </c>
      <c r="BV92" t="str">
        <f t="shared" si="69"/>
        <v>[TagPrefixFull]RST_RST_c_CMD_i</v>
      </c>
      <c r="BW92" t="str">
        <f t="shared" si="70"/>
        <v>[TagPrefixFull]RST_RST_c_CMD_i</v>
      </c>
      <c r="BX92" t="str">
        <f t="shared" si="71"/>
        <v>[Desc] - Reset Command</v>
      </c>
      <c r="BY92" t="str">
        <f t="shared" si="72"/>
        <v>[TagPrefixFull]RST_RST_c_CMD_i</v>
      </c>
      <c r="BZ92" t="str">
        <f t="shared" si="73"/>
        <v>[VariableB]</v>
      </c>
      <c r="CA92" t="str">
        <f t="shared" si="104"/>
        <v>Alm_Event</v>
      </c>
      <c r="CB92" t="str">
        <f t="shared" si="74"/>
        <v>[Help]</v>
      </c>
      <c r="CC92" t="str">
        <f t="shared" si="75"/>
        <v>Priv_Alarm</v>
      </c>
      <c r="CD92" t="str">
        <f t="shared" si="76"/>
        <v>[Area]</v>
      </c>
      <c r="CE92" t="str">
        <f t="shared" si="77"/>
        <v>[Desc] - Reset Command</v>
      </c>
      <c r="CH92" t="str">
        <f t="shared" si="78"/>
        <v>[DigAlmName]</v>
      </c>
      <c r="CP92" t="str">
        <f t="shared" si="79"/>
        <v>[Cluster]</v>
      </c>
      <c r="CV92" t="str">
        <f t="shared" si="80"/>
        <v>[Equip]</v>
      </c>
      <c r="CW92" t="e">
        <f t="shared" si="81"/>
        <v>#VALUE!</v>
      </c>
      <c r="CY92" t="str">
        <f t="shared" si="82"/>
        <v/>
      </c>
      <c r="CZ92" t="str">
        <f t="shared" si="83"/>
        <v/>
      </c>
      <c r="DB92" t="str">
        <f t="shared" si="105"/>
        <v/>
      </c>
      <c r="DE92" t="str">
        <f t="shared" si="106"/>
        <v/>
      </c>
      <c r="DF92" t="str">
        <f t="shared" si="107"/>
        <v/>
      </c>
      <c r="DG92" t="str">
        <f t="shared" si="84"/>
        <v/>
      </c>
      <c r="DH92" t="str">
        <f t="shared" si="85"/>
        <v/>
      </c>
      <c r="DI92" t="str">
        <f t="shared" si="86"/>
        <v/>
      </c>
      <c r="DJ92" t="str">
        <f t="shared" si="87"/>
        <v/>
      </c>
      <c r="DK92" t="str">
        <f t="shared" si="88"/>
        <v/>
      </c>
      <c r="DL92" t="str">
        <f t="shared" si="108"/>
        <v/>
      </c>
      <c r="DT92" t="str">
        <f t="shared" si="109"/>
        <v/>
      </c>
      <c r="DU92" t="str">
        <f t="shared" si="89"/>
        <v/>
      </c>
      <c r="DZ92" t="str">
        <f t="shared" si="90"/>
        <v/>
      </c>
      <c r="EA92" t="str">
        <f t="shared" si="91"/>
        <v/>
      </c>
      <c r="EC92" t="str">
        <f t="shared" si="110"/>
        <v/>
      </c>
      <c r="ED92" t="str">
        <f t="shared" si="111"/>
        <v/>
      </c>
    </row>
    <row r="93" spans="1:134" x14ac:dyDescent="0.3">
      <c r="A93" t="s">
        <v>568</v>
      </c>
      <c r="B93" t="s">
        <v>79</v>
      </c>
      <c r="C93" t="s">
        <v>829</v>
      </c>
      <c r="H93" t="s">
        <v>617</v>
      </c>
      <c r="K93" t="s">
        <v>829</v>
      </c>
      <c r="U93" t="s">
        <v>308</v>
      </c>
      <c r="W93" s="32"/>
      <c r="Y93" t="s">
        <v>974</v>
      </c>
      <c r="AF93" t="s">
        <v>718</v>
      </c>
      <c r="AK93" t="str">
        <f t="shared" si="92"/>
        <v>RST_RST_Face_C_CMD_i</v>
      </c>
      <c r="AL93" t="str">
        <f t="shared" si="93"/>
        <v>RST_RST_Face_C_CMD_i</v>
      </c>
      <c r="AM93" t="b">
        <f t="shared" si="94"/>
        <v>1</v>
      </c>
      <c r="AN93" t="b">
        <f t="shared" si="56"/>
        <v>1</v>
      </c>
      <c r="AO93" t="b">
        <f t="shared" si="57"/>
        <v>0</v>
      </c>
      <c r="AP93" t="b">
        <f t="shared" si="58"/>
        <v>0</v>
      </c>
      <c r="AQ93" t="str">
        <f t="shared" si="59"/>
        <v>[TagPrefixFull]RST_RST_Face_C_CMD_i</v>
      </c>
      <c r="AR93" t="str">
        <f>IF($AM93,VLOOKUP(B93,DataTypeMappings!$A$2:$B$18,2,"FALSE"),"")</f>
        <v>DIGITAL</v>
      </c>
      <c r="AS93" t="str">
        <f t="shared" si="60"/>
        <v>[PLC]</v>
      </c>
      <c r="AT93" t="str">
        <f t="shared" si="61"/>
        <v>LW_SS01_RST.RST_FACE_C.CMD_i</v>
      </c>
      <c r="AU93" t="str">
        <f t="shared" si="95"/>
        <v/>
      </c>
      <c r="AV93" t="str">
        <f t="shared" si="96"/>
        <v/>
      </c>
      <c r="AW93" t="str">
        <f t="shared" si="97"/>
        <v/>
      </c>
      <c r="AX93" t="str">
        <f t="shared" si="98"/>
        <v/>
      </c>
      <c r="AY93" t="str">
        <f t="shared" si="99"/>
        <v/>
      </c>
      <c r="AZ93" t="str">
        <f t="shared" si="100"/>
        <v/>
      </c>
      <c r="BA93" t="str">
        <f t="shared" si="62"/>
        <v>[Desc] - Reset Face Command</v>
      </c>
      <c r="BJ93" t="str">
        <f t="shared" si="63"/>
        <v>[Cluster]</v>
      </c>
      <c r="BK93" t="str">
        <f t="shared" si="64"/>
        <v>[Equip]</v>
      </c>
      <c r="BL93" t="str">
        <f t="shared" si="65"/>
        <v/>
      </c>
      <c r="BM93" t="str">
        <f t="shared" si="66"/>
        <v>[Historian]</v>
      </c>
      <c r="BN93" t="str">
        <f t="shared" si="67"/>
        <v>[DigAlmName]</v>
      </c>
      <c r="BO93" t="str">
        <f t="shared" si="68"/>
        <v>[Desc]</v>
      </c>
      <c r="BP93" t="str">
        <f t="shared" si="101"/>
        <v>Alm_Event</v>
      </c>
      <c r="BQ93" t="str">
        <f t="shared" si="102"/>
        <v/>
      </c>
      <c r="BU93" t="str">
        <f t="shared" si="103"/>
        <v/>
      </c>
      <c r="BV93" t="str">
        <f t="shared" si="69"/>
        <v>[TagPrefixFull]RST_RST_Face_C_CMD_i</v>
      </c>
      <c r="BW93" t="str">
        <f t="shared" si="70"/>
        <v>[TagPrefixFull]RST_RST_Face_C_CMD_i</v>
      </c>
      <c r="BX93" t="str">
        <f t="shared" si="71"/>
        <v>[Desc] - Reset Face Command</v>
      </c>
      <c r="BY93" t="str">
        <f t="shared" si="72"/>
        <v>[TagPrefixFull]RST_RST_Face_C_CMD_i</v>
      </c>
      <c r="BZ93" t="str">
        <f t="shared" si="73"/>
        <v>[VariableB]</v>
      </c>
      <c r="CA93" t="str">
        <f t="shared" si="104"/>
        <v>Alm_Event</v>
      </c>
      <c r="CB93" t="str">
        <f t="shared" si="74"/>
        <v>[Help]</v>
      </c>
      <c r="CC93" t="str">
        <f t="shared" si="75"/>
        <v>Priv_Alarm</v>
      </c>
      <c r="CD93" t="str">
        <f t="shared" si="76"/>
        <v>[Area]</v>
      </c>
      <c r="CE93" t="str">
        <f t="shared" si="77"/>
        <v>[Desc] - Reset Face Command</v>
      </c>
      <c r="CH93" t="str">
        <f t="shared" si="78"/>
        <v>[DigAlmName]</v>
      </c>
      <c r="CP93" t="str">
        <f t="shared" si="79"/>
        <v>[Cluster]</v>
      </c>
      <c r="CV93" t="str">
        <f t="shared" si="80"/>
        <v>[Equip]</v>
      </c>
      <c r="CW93" t="e">
        <f t="shared" si="81"/>
        <v>#VALUE!</v>
      </c>
      <c r="CY93" t="str">
        <f t="shared" si="82"/>
        <v/>
      </c>
      <c r="CZ93" t="str">
        <f t="shared" si="83"/>
        <v/>
      </c>
      <c r="DB93" t="str">
        <f t="shared" si="105"/>
        <v/>
      </c>
      <c r="DE93" t="str">
        <f t="shared" si="106"/>
        <v/>
      </c>
      <c r="DF93" t="str">
        <f t="shared" si="107"/>
        <v/>
      </c>
      <c r="DG93" t="str">
        <f t="shared" si="84"/>
        <v/>
      </c>
      <c r="DH93" t="str">
        <f t="shared" si="85"/>
        <v/>
      </c>
      <c r="DI93" t="str">
        <f t="shared" si="86"/>
        <v/>
      </c>
      <c r="DJ93" t="str">
        <f t="shared" si="87"/>
        <v/>
      </c>
      <c r="DK93" t="str">
        <f t="shared" si="88"/>
        <v/>
      </c>
      <c r="DL93" t="str">
        <f t="shared" si="108"/>
        <v/>
      </c>
      <c r="DT93" t="str">
        <f t="shared" si="109"/>
        <v/>
      </c>
      <c r="DU93" t="str">
        <f t="shared" si="89"/>
        <v/>
      </c>
      <c r="DZ93" t="str">
        <f t="shared" si="90"/>
        <v/>
      </c>
      <c r="EA93" t="str">
        <f t="shared" si="91"/>
        <v/>
      </c>
      <c r="EC93" t="str">
        <f t="shared" si="110"/>
        <v/>
      </c>
      <c r="ED93" t="str">
        <f t="shared" si="111"/>
        <v/>
      </c>
    </row>
    <row r="94" spans="1:134" x14ac:dyDescent="0.3">
      <c r="A94" t="s">
        <v>569</v>
      </c>
      <c r="B94" t="s">
        <v>80</v>
      </c>
      <c r="C94" t="s">
        <v>602</v>
      </c>
      <c r="H94" t="s">
        <v>616</v>
      </c>
      <c r="K94" t="s">
        <v>602</v>
      </c>
      <c r="W94" s="32"/>
      <c r="Y94" t="s">
        <v>975</v>
      </c>
      <c r="AF94" t="s">
        <v>718</v>
      </c>
      <c r="AK94" t="str">
        <f t="shared" si="92"/>
        <v>RST_Button_Dly_v</v>
      </c>
      <c r="AL94" t="str">
        <f t="shared" si="93"/>
        <v>RST_Button_Dly_v</v>
      </c>
      <c r="AM94" t="b">
        <f t="shared" si="94"/>
        <v>1</v>
      </c>
      <c r="AN94" t="b">
        <f t="shared" si="56"/>
        <v>0</v>
      </c>
      <c r="AO94" t="b">
        <f t="shared" si="57"/>
        <v>0</v>
      </c>
      <c r="AP94" t="b">
        <f t="shared" si="58"/>
        <v>0</v>
      </c>
      <c r="AQ94" t="str">
        <f t="shared" si="59"/>
        <v>[TagPrefixFull]RST_Button_Dly_v</v>
      </c>
      <c r="AR94" t="str">
        <f>IF($AM94,VLOOKUP(B94,DataTypeMappings!$A$2:$B$18,2,"FALSE"),"")</f>
        <v>LONG</v>
      </c>
      <c r="AS94" t="str">
        <f t="shared" si="60"/>
        <v>[PLC]</v>
      </c>
      <c r="AT94" t="str">
        <f t="shared" si="61"/>
        <v>LW_SS01_RST.BUTTON_DLY_v</v>
      </c>
      <c r="AU94" t="str">
        <f t="shared" si="95"/>
        <v/>
      </c>
      <c r="AV94" t="str">
        <f t="shared" si="96"/>
        <v/>
      </c>
      <c r="AW94" t="str">
        <f t="shared" si="97"/>
        <v/>
      </c>
      <c r="AX94" t="str">
        <f t="shared" si="98"/>
        <v/>
      </c>
      <c r="AY94" t="str">
        <f t="shared" si="99"/>
        <v/>
      </c>
      <c r="AZ94" t="str">
        <f t="shared" si="100"/>
        <v/>
      </c>
      <c r="BA94" t="str">
        <f t="shared" si="62"/>
        <v>[Desc] - Default Button Delay Push from SCADA</v>
      </c>
      <c r="BJ94" t="str">
        <f t="shared" si="63"/>
        <v>[Cluster]</v>
      </c>
      <c r="BK94" t="str">
        <f t="shared" si="64"/>
        <v>[Equip]</v>
      </c>
      <c r="BL94" t="str">
        <f t="shared" si="65"/>
        <v/>
      </c>
      <c r="BM94" t="str">
        <f t="shared" si="66"/>
        <v>[Historian]</v>
      </c>
      <c r="BN94" t="str">
        <f t="shared" si="67"/>
        <v>[DigAlmName]</v>
      </c>
      <c r="BO94" t="str">
        <f t="shared" si="68"/>
        <v>[Desc]</v>
      </c>
      <c r="BP94" t="str">
        <f t="shared" si="101"/>
        <v/>
      </c>
      <c r="BQ94" t="str">
        <f t="shared" si="102"/>
        <v/>
      </c>
      <c r="BU94" t="str">
        <f t="shared" si="103"/>
        <v/>
      </c>
      <c r="BV94" t="str">
        <f t="shared" si="69"/>
        <v/>
      </c>
      <c r="BW94" t="str">
        <f t="shared" si="70"/>
        <v/>
      </c>
      <c r="BX94" t="str">
        <f t="shared" si="71"/>
        <v/>
      </c>
      <c r="BY94" t="str">
        <f t="shared" si="72"/>
        <v/>
      </c>
      <c r="BZ94" t="str">
        <f t="shared" si="73"/>
        <v/>
      </c>
      <c r="CA94" t="str">
        <f t="shared" si="104"/>
        <v/>
      </c>
      <c r="CB94" t="str">
        <f t="shared" si="74"/>
        <v/>
      </c>
      <c r="CC94" t="str">
        <f t="shared" si="75"/>
        <v/>
      </c>
      <c r="CD94" t="str">
        <f t="shared" si="76"/>
        <v/>
      </c>
      <c r="CE94" t="str">
        <f t="shared" si="77"/>
        <v/>
      </c>
      <c r="CH94" t="str">
        <f t="shared" si="78"/>
        <v/>
      </c>
      <c r="CP94" t="str">
        <f t="shared" si="79"/>
        <v/>
      </c>
      <c r="CV94" t="str">
        <f t="shared" si="80"/>
        <v/>
      </c>
      <c r="CW94" t="str">
        <f t="shared" si="81"/>
        <v/>
      </c>
      <c r="CY94" t="str">
        <f t="shared" si="82"/>
        <v/>
      </c>
      <c r="CZ94" t="str">
        <f t="shared" si="83"/>
        <v/>
      </c>
      <c r="DB94" t="str">
        <f t="shared" si="105"/>
        <v/>
      </c>
      <c r="DE94" t="str">
        <f t="shared" si="106"/>
        <v/>
      </c>
      <c r="DF94" t="str">
        <f t="shared" si="107"/>
        <v/>
      </c>
      <c r="DG94" t="str">
        <f t="shared" si="84"/>
        <v/>
      </c>
      <c r="DH94" t="str">
        <f t="shared" si="85"/>
        <v/>
      </c>
      <c r="DI94" t="str">
        <f t="shared" si="86"/>
        <v/>
      </c>
      <c r="DJ94" t="str">
        <f t="shared" si="87"/>
        <v/>
      </c>
      <c r="DK94" t="str">
        <f t="shared" si="88"/>
        <v/>
      </c>
      <c r="DL94" t="str">
        <f t="shared" si="108"/>
        <v/>
      </c>
      <c r="DT94" t="str">
        <f t="shared" si="109"/>
        <v/>
      </c>
      <c r="DU94" t="str">
        <f t="shared" si="89"/>
        <v/>
      </c>
      <c r="DZ94" t="str">
        <f t="shared" si="90"/>
        <v/>
      </c>
      <c r="EA94" t="str">
        <f t="shared" si="91"/>
        <v/>
      </c>
      <c r="EC94" t="str">
        <f t="shared" si="110"/>
        <v/>
      </c>
      <c r="ED94" t="str">
        <f t="shared" si="111"/>
        <v/>
      </c>
    </row>
    <row r="95" spans="1:134" x14ac:dyDescent="0.3">
      <c r="A95" t="s">
        <v>566</v>
      </c>
      <c r="B95" t="s">
        <v>79</v>
      </c>
      <c r="C95" t="s">
        <v>619</v>
      </c>
      <c r="D95" t="s">
        <v>562</v>
      </c>
      <c r="E95" t="s">
        <v>79</v>
      </c>
      <c r="F95" t="s">
        <v>377</v>
      </c>
      <c r="G95" t="s">
        <v>563</v>
      </c>
      <c r="H95" t="s">
        <v>383</v>
      </c>
      <c r="K95" t="s">
        <v>619</v>
      </c>
      <c r="W95" s="32"/>
      <c r="Y95" t="s">
        <v>976</v>
      </c>
      <c r="AF95" t="s">
        <v>718</v>
      </c>
      <c r="AK95" t="str">
        <f t="shared" si="92"/>
        <v>Compartment_VOR_ON_i</v>
      </c>
      <c r="AL95" t="str">
        <f t="shared" si="93"/>
        <v>Compartment_VOR_ON_i</v>
      </c>
      <c r="AM95" t="b">
        <f t="shared" si="94"/>
        <v>1</v>
      </c>
      <c r="AN95" t="b">
        <f t="shared" si="56"/>
        <v>0</v>
      </c>
      <c r="AO95" t="b">
        <f t="shared" si="57"/>
        <v>0</v>
      </c>
      <c r="AP95" t="b">
        <f t="shared" si="58"/>
        <v>0</v>
      </c>
      <c r="AQ95" t="str">
        <f t="shared" si="59"/>
        <v>[TagPrefixFull]Compartment_VOR_ON_i</v>
      </c>
      <c r="AR95" t="str">
        <f>IF($AM95,VLOOKUP(B95,DataTypeMappings!$A$2:$B$18,2,"FALSE"),"")</f>
        <v>DIGITAL</v>
      </c>
      <c r="AS95" t="str">
        <f t="shared" si="60"/>
        <v>[PLC]</v>
      </c>
      <c r="AT95" t="str">
        <f t="shared" si="61"/>
        <v>LW_SS01_Comp.VOR_ON_i</v>
      </c>
      <c r="AU95" t="str">
        <f t="shared" si="95"/>
        <v/>
      </c>
      <c r="AV95" t="str">
        <f t="shared" si="96"/>
        <v/>
      </c>
      <c r="AW95" t="str">
        <f t="shared" si="97"/>
        <v/>
      </c>
      <c r="AX95" t="str">
        <f t="shared" si="98"/>
        <v/>
      </c>
      <c r="AY95" t="str">
        <f t="shared" si="99"/>
        <v/>
      </c>
      <c r="AZ95" t="str">
        <f t="shared" si="100"/>
        <v/>
      </c>
      <c r="BA95" t="str">
        <f t="shared" si="62"/>
        <v>[Desc] - Compartment Temp - Vortex Cooler On</v>
      </c>
      <c r="BJ95" t="str">
        <f t="shared" si="63"/>
        <v>[Cluster]</v>
      </c>
      <c r="BK95" t="str">
        <f t="shared" si="64"/>
        <v>[Equip]</v>
      </c>
      <c r="BL95" t="str">
        <f t="shared" si="65"/>
        <v/>
      </c>
      <c r="BM95" t="str">
        <f t="shared" si="66"/>
        <v>[Historian]</v>
      </c>
      <c r="BN95" t="str">
        <f t="shared" si="67"/>
        <v>[DigAlmName]</v>
      </c>
      <c r="BO95" t="str">
        <f t="shared" si="68"/>
        <v>[Desc]</v>
      </c>
      <c r="BP95" t="str">
        <f t="shared" si="101"/>
        <v/>
      </c>
      <c r="BQ95" t="str">
        <f t="shared" si="102"/>
        <v/>
      </c>
      <c r="BU95" t="str">
        <f t="shared" si="103"/>
        <v/>
      </c>
      <c r="BV95" t="str">
        <f t="shared" si="69"/>
        <v/>
      </c>
      <c r="BW95" t="str">
        <f t="shared" si="70"/>
        <v/>
      </c>
      <c r="BX95" t="str">
        <f t="shared" si="71"/>
        <v/>
      </c>
      <c r="BY95" t="str">
        <f t="shared" si="72"/>
        <v/>
      </c>
      <c r="BZ95" t="str">
        <f t="shared" si="73"/>
        <v/>
      </c>
      <c r="CA95" t="str">
        <f t="shared" si="104"/>
        <v/>
      </c>
      <c r="CB95" t="str">
        <f t="shared" si="74"/>
        <v/>
      </c>
      <c r="CC95" t="str">
        <f t="shared" si="75"/>
        <v/>
      </c>
      <c r="CD95" t="str">
        <f t="shared" si="76"/>
        <v/>
      </c>
      <c r="CE95" t="str">
        <f t="shared" si="77"/>
        <v/>
      </c>
      <c r="CH95" t="str">
        <f t="shared" si="78"/>
        <v/>
      </c>
      <c r="CP95" t="str">
        <f t="shared" si="79"/>
        <v/>
      </c>
      <c r="CV95" t="str">
        <f t="shared" si="80"/>
        <v/>
      </c>
      <c r="CW95" t="str">
        <f t="shared" si="81"/>
        <v/>
      </c>
      <c r="CY95" t="str">
        <f t="shared" si="82"/>
        <v/>
      </c>
      <c r="CZ95" t="str">
        <f t="shared" si="83"/>
        <v/>
      </c>
      <c r="DB95" t="str">
        <f t="shared" si="105"/>
        <v/>
      </c>
      <c r="DE95" t="str">
        <f t="shared" si="106"/>
        <v/>
      </c>
      <c r="DF95" t="str">
        <f t="shared" si="107"/>
        <v/>
      </c>
      <c r="DG95" t="str">
        <f t="shared" si="84"/>
        <v/>
      </c>
      <c r="DH95" t="str">
        <f t="shared" si="85"/>
        <v/>
      </c>
      <c r="DI95" t="str">
        <f t="shared" si="86"/>
        <v/>
      </c>
      <c r="DJ95" t="str">
        <f t="shared" si="87"/>
        <v/>
      </c>
      <c r="DK95" t="str">
        <f t="shared" si="88"/>
        <v/>
      </c>
      <c r="DL95" t="str">
        <f t="shared" si="108"/>
        <v/>
      </c>
      <c r="DT95" t="str">
        <f t="shared" si="109"/>
        <v/>
      </c>
      <c r="DU95" t="str">
        <f t="shared" si="89"/>
        <v/>
      </c>
      <c r="DZ95" t="str">
        <f t="shared" si="90"/>
        <v/>
      </c>
      <c r="EA95" t="str">
        <f t="shared" si="91"/>
        <v/>
      </c>
      <c r="EC95" t="str">
        <f t="shared" si="110"/>
        <v/>
      </c>
      <c r="ED95" t="str">
        <f t="shared" si="111"/>
        <v/>
      </c>
    </row>
    <row r="96" spans="1:134" x14ac:dyDescent="0.3">
      <c r="A96" t="s">
        <v>567</v>
      </c>
      <c r="B96" t="s">
        <v>79</v>
      </c>
      <c r="C96" t="s">
        <v>620</v>
      </c>
      <c r="D96" t="s">
        <v>564</v>
      </c>
      <c r="E96" t="s">
        <v>79</v>
      </c>
      <c r="F96" t="s">
        <v>377</v>
      </c>
      <c r="G96" t="s">
        <v>565</v>
      </c>
      <c r="H96" t="s">
        <v>383</v>
      </c>
      <c r="K96" t="s">
        <v>620</v>
      </c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6"/>
      <c r="W96" s="32"/>
      <c r="X96" s="97"/>
      <c r="Y96" t="s">
        <v>977</v>
      </c>
      <c r="AF96" t="s">
        <v>718</v>
      </c>
      <c r="AK96" t="str">
        <f t="shared" si="92"/>
        <v>Compartment_VOR_Water_Detected_i</v>
      </c>
      <c r="AL96" t="str">
        <f t="shared" si="93"/>
        <v>Compartment_VOR_Water_Detected_i</v>
      </c>
      <c r="AM96" t="b">
        <f t="shared" si="94"/>
        <v>1</v>
      </c>
      <c r="AN96" t="b">
        <f t="shared" si="56"/>
        <v>0</v>
      </c>
      <c r="AO96" t="b">
        <f t="shared" si="57"/>
        <v>0</v>
      </c>
      <c r="AP96" t="b">
        <f t="shared" si="58"/>
        <v>0</v>
      </c>
      <c r="AQ96" t="str">
        <f t="shared" si="59"/>
        <v>[TagPrefixFull]Compartment_VOR_Water_Detected_i</v>
      </c>
      <c r="AR96" t="str">
        <f>IF($AM96,VLOOKUP(B96,DataTypeMappings!$A$2:$B$18,2,"FALSE"),"")</f>
        <v>DIGITAL</v>
      </c>
      <c r="AS96" t="str">
        <f t="shared" si="60"/>
        <v>[PLC]</v>
      </c>
      <c r="AT96" t="str">
        <f t="shared" si="61"/>
        <v>LW_SS01_Comp.VOR_Water_Detected_i</v>
      </c>
      <c r="AU96" t="str">
        <f t="shared" si="95"/>
        <v/>
      </c>
      <c r="AV96" t="str">
        <f t="shared" si="96"/>
        <v/>
      </c>
      <c r="AW96" t="str">
        <f t="shared" si="97"/>
        <v/>
      </c>
      <c r="AX96" t="str">
        <f t="shared" si="98"/>
        <v/>
      </c>
      <c r="AY96" t="str">
        <f t="shared" si="99"/>
        <v/>
      </c>
      <c r="AZ96" t="str">
        <f t="shared" si="100"/>
        <v/>
      </c>
      <c r="BA96" t="str">
        <f t="shared" si="62"/>
        <v>[Desc] - Compartment Temp - Water Detected in Vortex</v>
      </c>
      <c r="BJ96" t="str">
        <f t="shared" si="63"/>
        <v>[Cluster]</v>
      </c>
      <c r="BK96" t="str">
        <f t="shared" si="64"/>
        <v>[Equip]</v>
      </c>
      <c r="BL96" t="str">
        <f t="shared" si="65"/>
        <v/>
      </c>
      <c r="BM96" t="str">
        <f t="shared" si="66"/>
        <v>[Historian]</v>
      </c>
      <c r="BN96" t="str">
        <f t="shared" si="67"/>
        <v>[DigAlmName]</v>
      </c>
      <c r="BO96" t="str">
        <f t="shared" si="68"/>
        <v>[Desc]</v>
      </c>
      <c r="BP96" t="str">
        <f t="shared" si="101"/>
        <v/>
      </c>
      <c r="BQ96" t="str">
        <f t="shared" si="102"/>
        <v/>
      </c>
      <c r="BU96" t="str">
        <f t="shared" si="103"/>
        <v/>
      </c>
      <c r="BV96" t="str">
        <f t="shared" si="69"/>
        <v/>
      </c>
      <c r="BW96" t="str">
        <f t="shared" si="70"/>
        <v/>
      </c>
      <c r="BX96" t="str">
        <f t="shared" si="71"/>
        <v/>
      </c>
      <c r="BY96" t="str">
        <f t="shared" si="72"/>
        <v/>
      </c>
      <c r="BZ96" t="str">
        <f t="shared" si="73"/>
        <v/>
      </c>
      <c r="CA96" t="str">
        <f t="shared" si="104"/>
        <v/>
      </c>
      <c r="CB96" t="str">
        <f t="shared" si="74"/>
        <v/>
      </c>
      <c r="CC96" t="str">
        <f t="shared" si="75"/>
        <v/>
      </c>
      <c r="CD96" t="str">
        <f t="shared" si="76"/>
        <v/>
      </c>
      <c r="CE96" t="str">
        <f t="shared" si="77"/>
        <v/>
      </c>
      <c r="CH96" t="str">
        <f t="shared" si="78"/>
        <v/>
      </c>
      <c r="CP96" t="str">
        <f t="shared" si="79"/>
        <v/>
      </c>
      <c r="CV96" t="str">
        <f t="shared" si="80"/>
        <v/>
      </c>
      <c r="CW96" t="str">
        <f t="shared" si="81"/>
        <v/>
      </c>
      <c r="CY96" t="str">
        <f t="shared" si="82"/>
        <v/>
      </c>
      <c r="CZ96" t="str">
        <f t="shared" si="83"/>
        <v/>
      </c>
      <c r="DB96" t="str">
        <f t="shared" si="105"/>
        <v/>
      </c>
      <c r="DE96" t="str">
        <f t="shared" si="106"/>
        <v/>
      </c>
      <c r="DF96" t="str">
        <f t="shared" si="107"/>
        <v/>
      </c>
      <c r="DG96" t="str">
        <f t="shared" si="84"/>
        <v/>
      </c>
      <c r="DH96" t="str">
        <f t="shared" si="85"/>
        <v/>
      </c>
      <c r="DI96" t="str">
        <f t="shared" si="86"/>
        <v/>
      </c>
      <c r="DJ96" t="str">
        <f t="shared" si="87"/>
        <v/>
      </c>
      <c r="DK96" t="str">
        <f t="shared" si="88"/>
        <v/>
      </c>
      <c r="DL96" t="str">
        <f t="shared" si="108"/>
        <v/>
      </c>
      <c r="DT96" t="str">
        <f t="shared" si="109"/>
        <v/>
      </c>
      <c r="DU96" t="str">
        <f t="shared" si="89"/>
        <v/>
      </c>
      <c r="DZ96" t="str">
        <f t="shared" si="90"/>
        <v/>
      </c>
      <c r="EA96" t="str">
        <f t="shared" si="91"/>
        <v/>
      </c>
      <c r="EC96" t="str">
        <f t="shared" si="110"/>
        <v/>
      </c>
      <c r="ED96" t="str">
        <f t="shared" si="111"/>
        <v/>
      </c>
    </row>
    <row r="97" spans="1:134" x14ac:dyDescent="0.3">
      <c r="A97" t="s">
        <v>593</v>
      </c>
      <c r="B97" t="s">
        <v>79</v>
      </c>
      <c r="C97" t="s">
        <v>659</v>
      </c>
      <c r="D97" t="s">
        <v>433</v>
      </c>
      <c r="E97" t="s">
        <v>434</v>
      </c>
      <c r="G97" t="s">
        <v>592</v>
      </c>
      <c r="H97" t="s">
        <v>601</v>
      </c>
      <c r="K97" t="s">
        <v>659</v>
      </c>
      <c r="L97" s="97"/>
      <c r="M97" s="97"/>
      <c r="N97" s="97"/>
      <c r="O97" s="97"/>
      <c r="P97" s="97"/>
      <c r="Q97" s="97"/>
      <c r="R97" s="97"/>
      <c r="S97" s="97"/>
      <c r="T97" s="97"/>
      <c r="U97" t="s">
        <v>308</v>
      </c>
      <c r="V97" s="6"/>
      <c r="W97" s="32"/>
      <c r="X97" s="97"/>
      <c r="Y97" t="s">
        <v>978</v>
      </c>
      <c r="AF97" t="s">
        <v>718</v>
      </c>
      <c r="AK97" t="str">
        <f t="shared" si="92"/>
        <v>CB_Face_CB_CLO_c_CMD_i</v>
      </c>
      <c r="AL97" t="str">
        <f t="shared" si="93"/>
        <v>CB_Face_CB_CLO_c_CMD_i</v>
      </c>
      <c r="AM97" t="b">
        <f t="shared" si="94"/>
        <v>1</v>
      </c>
      <c r="AN97" t="b">
        <f t="shared" si="56"/>
        <v>1</v>
      </c>
      <c r="AO97" t="b">
        <f t="shared" si="57"/>
        <v>0</v>
      </c>
      <c r="AP97" t="b">
        <f t="shared" si="58"/>
        <v>0</v>
      </c>
      <c r="AQ97" t="str">
        <f t="shared" si="59"/>
        <v>[TagPrefixFull]CB_Face_CB_CLO_c_CMD_i</v>
      </c>
      <c r="AR97" t="str">
        <f>IF($AM97,VLOOKUP(B97,DataTypeMappings!$A$2:$B$18,2,"FALSE"),"")</f>
        <v>DIGITAL</v>
      </c>
      <c r="AS97" t="str">
        <f t="shared" si="60"/>
        <v>[PLC]</v>
      </c>
      <c r="AT97" t="str">
        <f t="shared" si="61"/>
        <v>LW_SS01_CB_Face.CB.CLO_c.CMD_i</v>
      </c>
      <c r="AU97" t="str">
        <f t="shared" si="95"/>
        <v/>
      </c>
      <c r="AV97" t="str">
        <f t="shared" si="96"/>
        <v/>
      </c>
      <c r="AW97" t="str">
        <f t="shared" si="97"/>
        <v/>
      </c>
      <c r="AX97" t="str">
        <f t="shared" si="98"/>
        <v/>
      </c>
      <c r="AY97" t="str">
        <f t="shared" si="99"/>
        <v/>
      </c>
      <c r="AZ97" t="str">
        <f t="shared" si="100"/>
        <v/>
      </c>
      <c r="BA97" t="str">
        <f t="shared" si="62"/>
        <v>[Desc] - Face CB SCADA Close</v>
      </c>
      <c r="BJ97" t="str">
        <f t="shared" si="63"/>
        <v>[Cluster]</v>
      </c>
      <c r="BK97" t="str">
        <f t="shared" si="64"/>
        <v>[Equip]</v>
      </c>
      <c r="BL97" t="str">
        <f t="shared" si="65"/>
        <v/>
      </c>
      <c r="BM97" t="str">
        <f t="shared" si="66"/>
        <v>[Historian]</v>
      </c>
      <c r="BN97" t="str">
        <f t="shared" si="67"/>
        <v>[DigAlmName]</v>
      </c>
      <c r="BO97" t="str">
        <f t="shared" si="68"/>
        <v>[Desc]</v>
      </c>
      <c r="BP97" t="str">
        <f t="shared" si="101"/>
        <v>Alm_Event</v>
      </c>
      <c r="BQ97" t="str">
        <f t="shared" si="102"/>
        <v/>
      </c>
      <c r="BU97" t="str">
        <f t="shared" si="103"/>
        <v/>
      </c>
      <c r="BV97" t="str">
        <f t="shared" si="69"/>
        <v>[TagPrefixFull]CB_Face_CB_CLO_c_CMD_i</v>
      </c>
      <c r="BW97" t="str">
        <f t="shared" si="70"/>
        <v>[TagPrefixFull]CB_Face_CB_CLO_c_CMD_i</v>
      </c>
      <c r="BX97" t="str">
        <f t="shared" si="71"/>
        <v>[Desc] - Face CB SCADA Close</v>
      </c>
      <c r="BY97" t="str">
        <f t="shared" si="72"/>
        <v>[TagPrefixFull]CB_Face_CB_CLO_c_CMD_i</v>
      </c>
      <c r="BZ97" t="str">
        <f t="shared" si="73"/>
        <v>[VariableB]</v>
      </c>
      <c r="CA97" t="str">
        <f t="shared" si="104"/>
        <v>Alm_Event</v>
      </c>
      <c r="CB97" t="str">
        <f t="shared" si="74"/>
        <v>[Help]</v>
      </c>
      <c r="CC97" t="str">
        <f t="shared" si="75"/>
        <v>Priv_Alarm</v>
      </c>
      <c r="CD97" t="str">
        <f t="shared" si="76"/>
        <v>[Area]</v>
      </c>
      <c r="CE97" t="str">
        <f t="shared" si="77"/>
        <v>[Desc] - Face CB SCADA Close</v>
      </c>
      <c r="CH97" t="str">
        <f t="shared" si="78"/>
        <v>[DigAlmName]</v>
      </c>
      <c r="CP97" t="str">
        <f t="shared" si="79"/>
        <v>[Cluster]</v>
      </c>
      <c r="CV97" t="str">
        <f t="shared" si="80"/>
        <v>[Equip]</v>
      </c>
      <c r="CW97" t="e">
        <f t="shared" si="81"/>
        <v>#VALUE!</v>
      </c>
      <c r="CY97" t="str">
        <f t="shared" si="82"/>
        <v/>
      </c>
      <c r="CZ97" t="str">
        <f t="shared" si="83"/>
        <v/>
      </c>
      <c r="DB97" t="str">
        <f t="shared" si="105"/>
        <v/>
      </c>
      <c r="DE97" t="str">
        <f t="shared" si="106"/>
        <v/>
      </c>
      <c r="DF97" t="str">
        <f t="shared" si="107"/>
        <v/>
      </c>
      <c r="DG97" t="str">
        <f t="shared" si="84"/>
        <v/>
      </c>
      <c r="DH97" t="str">
        <f t="shared" si="85"/>
        <v/>
      </c>
      <c r="DI97" t="str">
        <f t="shared" si="86"/>
        <v/>
      </c>
      <c r="DJ97" t="str">
        <f t="shared" si="87"/>
        <v/>
      </c>
      <c r="DK97" t="str">
        <f t="shared" si="88"/>
        <v/>
      </c>
      <c r="DL97" t="str">
        <f t="shared" si="108"/>
        <v/>
      </c>
      <c r="DT97" t="str">
        <f t="shared" si="109"/>
        <v/>
      </c>
      <c r="DU97" t="str">
        <f t="shared" si="89"/>
        <v/>
      </c>
      <c r="DZ97" t="str">
        <f t="shared" si="90"/>
        <v/>
      </c>
      <c r="EA97" t="str">
        <f t="shared" si="91"/>
        <v/>
      </c>
      <c r="EC97" t="str">
        <f t="shared" si="110"/>
        <v/>
      </c>
      <c r="ED97" t="str">
        <f t="shared" si="111"/>
        <v/>
      </c>
    </row>
    <row r="98" spans="1:134" x14ac:dyDescent="0.3">
      <c r="A98" t="s">
        <v>594</v>
      </c>
      <c r="B98" t="s">
        <v>79</v>
      </c>
      <c r="C98" t="s">
        <v>660</v>
      </c>
      <c r="H98" t="s">
        <v>601</v>
      </c>
      <c r="K98" t="s">
        <v>660</v>
      </c>
      <c r="U98" t="s">
        <v>308</v>
      </c>
      <c r="W98" s="32"/>
      <c r="Y98" t="s">
        <v>979</v>
      </c>
      <c r="AF98" t="s">
        <v>718</v>
      </c>
      <c r="AK98" t="str">
        <f t="shared" si="92"/>
        <v>CB_Face_CB_OPN_c_CMD_i</v>
      </c>
      <c r="AL98" t="str">
        <f t="shared" si="93"/>
        <v>CB_Face_CB_OPN_c_CMD_i</v>
      </c>
      <c r="AM98" t="b">
        <f t="shared" si="94"/>
        <v>1</v>
      </c>
      <c r="AN98" t="b">
        <f t="shared" si="56"/>
        <v>1</v>
      </c>
      <c r="AO98" t="b">
        <f t="shared" si="57"/>
        <v>0</v>
      </c>
      <c r="AP98" t="b">
        <f t="shared" si="58"/>
        <v>0</v>
      </c>
      <c r="AQ98" t="str">
        <f t="shared" si="59"/>
        <v>[TagPrefixFull]CB_Face_CB_OPN_c_CMD_i</v>
      </c>
      <c r="AR98" t="str">
        <f>IF($AM98,VLOOKUP(B98,DataTypeMappings!$A$2:$B$18,2,"FALSE"),"")</f>
        <v>DIGITAL</v>
      </c>
      <c r="AS98" t="str">
        <f t="shared" si="60"/>
        <v>[PLC]</v>
      </c>
      <c r="AT98" t="str">
        <f t="shared" si="61"/>
        <v>LW_SS01_CB_Face.CB.OPN_c.CMD_i</v>
      </c>
      <c r="AU98" t="str">
        <f t="shared" si="95"/>
        <v/>
      </c>
      <c r="AV98" t="str">
        <f t="shared" si="96"/>
        <v/>
      </c>
      <c r="AW98" t="str">
        <f t="shared" si="97"/>
        <v/>
      </c>
      <c r="AX98" t="str">
        <f t="shared" si="98"/>
        <v/>
      </c>
      <c r="AY98" t="str">
        <f t="shared" si="99"/>
        <v/>
      </c>
      <c r="AZ98" t="str">
        <f t="shared" si="100"/>
        <v/>
      </c>
      <c r="BA98" t="str">
        <f t="shared" si="62"/>
        <v>[Desc] - Face CB SCADA Open</v>
      </c>
      <c r="BJ98" t="str">
        <f t="shared" si="63"/>
        <v>[Cluster]</v>
      </c>
      <c r="BK98" t="str">
        <f t="shared" si="64"/>
        <v>[Equip]</v>
      </c>
      <c r="BL98" t="str">
        <f t="shared" si="65"/>
        <v/>
      </c>
      <c r="BM98" t="str">
        <f t="shared" si="66"/>
        <v>[Historian]</v>
      </c>
      <c r="BN98" t="str">
        <f t="shared" si="67"/>
        <v>[DigAlmName]</v>
      </c>
      <c r="BO98" t="str">
        <f t="shared" si="68"/>
        <v>[Desc]</v>
      </c>
      <c r="BP98" t="str">
        <f t="shared" si="101"/>
        <v>Alm_Event</v>
      </c>
      <c r="BQ98" t="str">
        <f t="shared" si="102"/>
        <v/>
      </c>
      <c r="BU98" t="str">
        <f t="shared" si="103"/>
        <v/>
      </c>
      <c r="BV98" t="str">
        <f t="shared" si="69"/>
        <v>[TagPrefixFull]CB_Face_CB_OPN_c_CMD_i</v>
      </c>
      <c r="BW98" t="str">
        <f t="shared" si="70"/>
        <v>[TagPrefixFull]CB_Face_CB_OPN_c_CMD_i</v>
      </c>
      <c r="BX98" t="str">
        <f t="shared" si="71"/>
        <v>[Desc] - Face CB SCADA Open</v>
      </c>
      <c r="BY98" t="str">
        <f t="shared" si="72"/>
        <v>[TagPrefixFull]CB_Face_CB_OPN_c_CMD_i</v>
      </c>
      <c r="BZ98" t="str">
        <f t="shared" si="73"/>
        <v>[VariableB]</v>
      </c>
      <c r="CA98" t="str">
        <f t="shared" si="104"/>
        <v>Alm_Event</v>
      </c>
      <c r="CB98" t="str">
        <f t="shared" si="74"/>
        <v>[Help]</v>
      </c>
      <c r="CC98" t="str">
        <f t="shared" si="75"/>
        <v>Priv_Alarm</v>
      </c>
      <c r="CD98" t="str">
        <f t="shared" si="76"/>
        <v>[Area]</v>
      </c>
      <c r="CE98" t="str">
        <f t="shared" si="77"/>
        <v>[Desc] - Face CB SCADA Open</v>
      </c>
      <c r="CH98" t="str">
        <f t="shared" si="78"/>
        <v>[DigAlmName]</v>
      </c>
      <c r="CP98" t="str">
        <f t="shared" si="79"/>
        <v>[Cluster]</v>
      </c>
      <c r="CV98" t="str">
        <f t="shared" si="80"/>
        <v>[Equip]</v>
      </c>
      <c r="CW98" t="e">
        <f t="shared" si="81"/>
        <v>#VALUE!</v>
      </c>
      <c r="CY98" t="str">
        <f t="shared" si="82"/>
        <v/>
      </c>
      <c r="CZ98" t="str">
        <f t="shared" si="83"/>
        <v/>
      </c>
      <c r="DB98" t="str">
        <f t="shared" si="105"/>
        <v/>
      </c>
      <c r="DE98" t="str">
        <f t="shared" si="106"/>
        <v/>
      </c>
      <c r="DF98" t="str">
        <f t="shared" si="107"/>
        <v/>
      </c>
      <c r="DG98" t="str">
        <f t="shared" si="84"/>
        <v/>
      </c>
      <c r="DH98" t="str">
        <f t="shared" si="85"/>
        <v/>
      </c>
      <c r="DI98" t="str">
        <f t="shared" si="86"/>
        <v/>
      </c>
      <c r="DJ98" t="str">
        <f t="shared" si="87"/>
        <v/>
      </c>
      <c r="DK98" t="str">
        <f t="shared" si="88"/>
        <v/>
      </c>
      <c r="DL98" t="str">
        <f t="shared" si="108"/>
        <v/>
      </c>
      <c r="DT98" t="str">
        <f t="shared" si="109"/>
        <v/>
      </c>
      <c r="DU98" t="str">
        <f t="shared" si="89"/>
        <v/>
      </c>
      <c r="DZ98" t="str">
        <f t="shared" si="90"/>
        <v/>
      </c>
      <c r="EA98" t="str">
        <f t="shared" si="91"/>
        <v/>
      </c>
      <c r="EC98" t="str">
        <f t="shared" si="110"/>
        <v/>
      </c>
      <c r="ED98" t="str">
        <f t="shared" si="111"/>
        <v/>
      </c>
    </row>
    <row r="99" spans="1:134" x14ac:dyDescent="0.3">
      <c r="A99" t="s">
        <v>703</v>
      </c>
      <c r="B99" t="s">
        <v>79</v>
      </c>
      <c r="C99" t="s">
        <v>661</v>
      </c>
      <c r="H99" t="s">
        <v>601</v>
      </c>
      <c r="K99" t="s">
        <v>661</v>
      </c>
      <c r="U99" t="s">
        <v>308</v>
      </c>
      <c r="W99" s="32"/>
      <c r="Y99" t="s">
        <v>980</v>
      </c>
      <c r="AF99" t="s">
        <v>718</v>
      </c>
      <c r="AK99" t="str">
        <f t="shared" si="92"/>
        <v>CB_Face_CB_Tst_UV_c_CMD_i</v>
      </c>
      <c r="AL99" t="str">
        <f t="shared" si="93"/>
        <v>CB_Face_CB_Tst_UV_c_CMD_i</v>
      </c>
      <c r="AM99" t="b">
        <f t="shared" si="94"/>
        <v>1</v>
      </c>
      <c r="AN99" t="b">
        <f t="shared" si="56"/>
        <v>1</v>
      </c>
      <c r="AO99" t="b">
        <f t="shared" si="57"/>
        <v>0</v>
      </c>
      <c r="AP99" t="b">
        <f t="shared" si="58"/>
        <v>0</v>
      </c>
      <c r="AQ99" t="str">
        <f t="shared" si="59"/>
        <v>[TagPrefixFull]CB_Face_CB_Tst_UV_c_CMD_i</v>
      </c>
      <c r="AR99" t="str">
        <f>IF($AM99,VLOOKUP(B99,DataTypeMappings!$A$2:$B$18,2,"FALSE"),"")</f>
        <v>DIGITAL</v>
      </c>
      <c r="AS99" t="str">
        <f t="shared" si="60"/>
        <v>[PLC]</v>
      </c>
      <c r="AT99" t="str">
        <f t="shared" si="61"/>
        <v>LW_SS01_CB_Face.CB.Tst_UV_c.CMD_i</v>
      </c>
      <c r="AU99" t="str">
        <f t="shared" si="95"/>
        <v/>
      </c>
      <c r="AV99" t="str">
        <f t="shared" si="96"/>
        <v/>
      </c>
      <c r="AW99" t="str">
        <f t="shared" si="97"/>
        <v/>
      </c>
      <c r="AX99" t="str">
        <f t="shared" si="98"/>
        <v/>
      </c>
      <c r="AY99" t="str">
        <f t="shared" si="99"/>
        <v/>
      </c>
      <c r="AZ99" t="str">
        <f t="shared" si="100"/>
        <v/>
      </c>
      <c r="BA99" t="str">
        <f t="shared" si="62"/>
        <v>[Desc] - Face CB UV Trip Test</v>
      </c>
      <c r="BJ99" t="str">
        <f t="shared" si="63"/>
        <v>[Cluster]</v>
      </c>
      <c r="BK99" t="str">
        <f t="shared" si="64"/>
        <v>[Equip]</v>
      </c>
      <c r="BL99" t="str">
        <f t="shared" si="65"/>
        <v/>
      </c>
      <c r="BM99" t="str">
        <f t="shared" si="66"/>
        <v>[Historian]</v>
      </c>
      <c r="BN99" t="str">
        <f t="shared" si="67"/>
        <v>[DigAlmName]</v>
      </c>
      <c r="BO99" t="str">
        <f t="shared" si="68"/>
        <v>[Desc]</v>
      </c>
      <c r="BP99" t="str">
        <f t="shared" si="101"/>
        <v>Alm_Event</v>
      </c>
      <c r="BQ99" t="str">
        <f t="shared" si="102"/>
        <v/>
      </c>
      <c r="BU99" t="str">
        <f t="shared" si="103"/>
        <v/>
      </c>
      <c r="BV99" t="str">
        <f t="shared" si="69"/>
        <v>[TagPrefixFull]CB_Face_CB_Tst_UV_c_CMD_i</v>
      </c>
      <c r="BW99" t="str">
        <f t="shared" si="70"/>
        <v>[TagPrefixFull]CB_Face_CB_Tst_UV_c_CMD_i</v>
      </c>
      <c r="BX99" t="str">
        <f t="shared" si="71"/>
        <v>[Desc] - Face CB UV Trip Test</v>
      </c>
      <c r="BY99" t="str">
        <f t="shared" si="72"/>
        <v>[TagPrefixFull]CB_Face_CB_Tst_UV_c_CMD_i</v>
      </c>
      <c r="BZ99" t="str">
        <f t="shared" si="73"/>
        <v>[VariableB]</v>
      </c>
      <c r="CA99" t="str">
        <f t="shared" si="104"/>
        <v>Alm_Event</v>
      </c>
      <c r="CB99" t="str">
        <f t="shared" si="74"/>
        <v>[Help]</v>
      </c>
      <c r="CC99" t="str">
        <f t="shared" si="75"/>
        <v>Priv_Alarm</v>
      </c>
      <c r="CD99" t="str">
        <f t="shared" si="76"/>
        <v>[Area]</v>
      </c>
      <c r="CE99" t="str">
        <f t="shared" si="77"/>
        <v>[Desc] - Face CB UV Trip Test</v>
      </c>
      <c r="CH99" t="str">
        <f t="shared" si="78"/>
        <v>[DigAlmName]</v>
      </c>
      <c r="CP99" t="str">
        <f t="shared" si="79"/>
        <v>[Cluster]</v>
      </c>
      <c r="CV99" t="str">
        <f t="shared" si="80"/>
        <v>[Equip]</v>
      </c>
      <c r="CW99" t="e">
        <f t="shared" si="81"/>
        <v>#VALUE!</v>
      </c>
      <c r="CY99" t="str">
        <f t="shared" si="82"/>
        <v/>
      </c>
      <c r="CZ99" t="str">
        <f t="shared" si="83"/>
        <v/>
      </c>
      <c r="DB99" t="str">
        <f t="shared" si="105"/>
        <v/>
      </c>
      <c r="DE99" t="str">
        <f t="shared" si="106"/>
        <v/>
      </c>
      <c r="DF99" t="str">
        <f t="shared" si="107"/>
        <v/>
      </c>
      <c r="DG99" t="str">
        <f t="shared" si="84"/>
        <v/>
      </c>
      <c r="DH99" t="str">
        <f t="shared" si="85"/>
        <v/>
      </c>
      <c r="DI99" t="str">
        <f t="shared" si="86"/>
        <v/>
      </c>
      <c r="DJ99" t="str">
        <f t="shared" si="87"/>
        <v/>
      </c>
      <c r="DK99" t="str">
        <f t="shared" si="88"/>
        <v/>
      </c>
      <c r="DL99" t="str">
        <f t="shared" si="108"/>
        <v/>
      </c>
      <c r="DT99" t="str">
        <f t="shared" si="109"/>
        <v/>
      </c>
      <c r="DU99" t="str">
        <f t="shared" si="89"/>
        <v/>
      </c>
      <c r="DZ99" t="str">
        <f t="shared" si="90"/>
        <v/>
      </c>
      <c r="EA99" t="str">
        <f t="shared" si="91"/>
        <v/>
      </c>
      <c r="EC99" t="str">
        <f t="shared" si="110"/>
        <v/>
      </c>
      <c r="ED99" t="str">
        <f t="shared" si="111"/>
        <v/>
      </c>
    </row>
    <row r="100" spans="1:134" x14ac:dyDescent="0.3">
      <c r="O100" s="6"/>
      <c r="P100" s="44"/>
    </row>
    <row r="101" spans="1:134" x14ac:dyDescent="0.3">
      <c r="H101" s="100"/>
      <c r="W101" s="32"/>
    </row>
    <row r="102" spans="1:134" x14ac:dyDescent="0.3">
      <c r="H102" s="100"/>
      <c r="W102" s="32"/>
    </row>
    <row r="103" spans="1:134" x14ac:dyDescent="0.3">
      <c r="H103" s="100"/>
      <c r="W103" s="32"/>
    </row>
    <row r="104" spans="1:134" x14ac:dyDescent="0.3">
      <c r="H104" s="100"/>
      <c r="W104" s="32"/>
    </row>
    <row r="105" spans="1:134" x14ac:dyDescent="0.3">
      <c r="H105" s="100"/>
      <c r="W105" s="32"/>
    </row>
    <row r="106" spans="1:134" x14ac:dyDescent="0.3">
      <c r="H106" s="100"/>
      <c r="W106" s="32"/>
    </row>
    <row r="107" spans="1:134" x14ac:dyDescent="0.3">
      <c r="H107" s="100"/>
      <c r="W107" s="32"/>
    </row>
    <row r="108" spans="1:134" x14ac:dyDescent="0.3">
      <c r="H108" s="100"/>
      <c r="W108" s="32"/>
    </row>
    <row r="109" spans="1:134" x14ac:dyDescent="0.3">
      <c r="H109" s="100"/>
      <c r="W109" s="32"/>
    </row>
    <row r="110" spans="1:134" x14ac:dyDescent="0.3">
      <c r="W110" s="32"/>
    </row>
    <row r="111" spans="1:134" x14ac:dyDescent="0.3">
      <c r="W111" s="32"/>
    </row>
    <row r="112" spans="1:134" x14ac:dyDescent="0.3">
      <c r="W112" s="32"/>
    </row>
    <row r="113" spans="23:23" x14ac:dyDescent="0.3">
      <c r="W113" s="32"/>
    </row>
    <row r="114" spans="23:23" x14ac:dyDescent="0.3">
      <c r="W114" s="32"/>
    </row>
    <row r="115" spans="23:23" x14ac:dyDescent="0.3">
      <c r="W115" s="32"/>
    </row>
    <row r="116" spans="23:23" x14ac:dyDescent="0.3">
      <c r="W116" s="32"/>
    </row>
    <row r="117" spans="23:23" x14ac:dyDescent="0.3">
      <c r="W117" s="32"/>
    </row>
    <row r="118" spans="23:23" x14ac:dyDescent="0.3">
      <c r="W118" s="32"/>
    </row>
    <row r="119" spans="23:23" x14ac:dyDescent="0.3">
      <c r="W119" s="32"/>
    </row>
    <row r="120" spans="23:23" x14ac:dyDescent="0.3">
      <c r="W120" s="32"/>
    </row>
    <row r="121" spans="23:23" x14ac:dyDescent="0.3">
      <c r="W121" s="32"/>
    </row>
    <row r="122" spans="23:23" x14ac:dyDescent="0.3">
      <c r="W122" s="32"/>
    </row>
    <row r="123" spans="23:23" x14ac:dyDescent="0.3">
      <c r="W123" s="32"/>
    </row>
    <row r="124" spans="23:23" x14ac:dyDescent="0.3">
      <c r="W124" s="32"/>
    </row>
    <row r="125" spans="23:23" x14ac:dyDescent="0.3">
      <c r="W125" s="32"/>
    </row>
    <row r="126" spans="23:23" x14ac:dyDescent="0.3">
      <c r="W126" s="32"/>
    </row>
    <row r="127" spans="23:23" x14ac:dyDescent="0.3">
      <c r="W127" s="32"/>
    </row>
    <row r="128" spans="23:23" x14ac:dyDescent="0.3">
      <c r="W128" s="32"/>
    </row>
    <row r="129" spans="23:23" x14ac:dyDescent="0.3">
      <c r="W129" s="32"/>
    </row>
    <row r="130" spans="23:23" x14ac:dyDescent="0.3">
      <c r="W130" s="32"/>
    </row>
    <row r="131" spans="23:23" x14ac:dyDescent="0.3">
      <c r="W131" s="32"/>
    </row>
    <row r="132" spans="23:23" x14ac:dyDescent="0.3">
      <c r="W132" s="32"/>
    </row>
    <row r="133" spans="23:23" x14ac:dyDescent="0.3">
      <c r="W133" s="32"/>
    </row>
    <row r="134" spans="23:23" x14ac:dyDescent="0.3">
      <c r="W134" s="32"/>
    </row>
    <row r="135" spans="23:23" x14ac:dyDescent="0.3">
      <c r="W135" s="32"/>
    </row>
    <row r="136" spans="23:23" x14ac:dyDescent="0.3">
      <c r="W136" s="32"/>
    </row>
    <row r="137" spans="23:23" x14ac:dyDescent="0.3">
      <c r="W137" s="32"/>
    </row>
    <row r="138" spans="23:23" x14ac:dyDescent="0.3">
      <c r="W138" s="32"/>
    </row>
    <row r="139" spans="23:23" x14ac:dyDescent="0.3">
      <c r="W139" s="32"/>
    </row>
    <row r="140" spans="23:23" x14ac:dyDescent="0.3">
      <c r="W140" s="32"/>
    </row>
    <row r="141" spans="23:23" x14ac:dyDescent="0.3">
      <c r="W141" s="32"/>
    </row>
    <row r="142" spans="23:23" x14ac:dyDescent="0.3">
      <c r="W142" s="32"/>
    </row>
    <row r="143" spans="23:23" x14ac:dyDescent="0.3">
      <c r="W143" s="32"/>
    </row>
    <row r="144" spans="23:23" x14ac:dyDescent="0.3">
      <c r="W144" s="32"/>
    </row>
    <row r="145" spans="23:23" x14ac:dyDescent="0.3">
      <c r="W145" s="32"/>
    </row>
    <row r="146" spans="23:23" x14ac:dyDescent="0.3">
      <c r="W146" s="32"/>
    </row>
    <row r="147" spans="23:23" x14ac:dyDescent="0.3">
      <c r="W147" s="32"/>
    </row>
    <row r="148" spans="23:23" x14ac:dyDescent="0.3">
      <c r="W148" s="32"/>
    </row>
    <row r="149" spans="23:23" x14ac:dyDescent="0.3">
      <c r="W149" s="32"/>
    </row>
    <row r="150" spans="23:23" x14ac:dyDescent="0.3">
      <c r="W150" s="32"/>
    </row>
    <row r="151" spans="23:23" x14ac:dyDescent="0.3">
      <c r="W151" s="32"/>
    </row>
    <row r="152" spans="23:23" x14ac:dyDescent="0.3">
      <c r="W152" s="32"/>
    </row>
    <row r="153" spans="23:23" x14ac:dyDescent="0.3">
      <c r="W153" s="32"/>
    </row>
    <row r="154" spans="23:23" x14ac:dyDescent="0.3">
      <c r="W154" s="32"/>
    </row>
    <row r="155" spans="23:23" x14ac:dyDescent="0.3">
      <c r="W155" s="32"/>
    </row>
    <row r="156" spans="23:23" x14ac:dyDescent="0.3">
      <c r="W156" s="32"/>
    </row>
    <row r="157" spans="23:23" x14ac:dyDescent="0.3">
      <c r="W157" s="32"/>
    </row>
    <row r="158" spans="23:23" x14ac:dyDescent="0.3">
      <c r="W158" s="32"/>
    </row>
    <row r="159" spans="23:23" x14ac:dyDescent="0.3">
      <c r="W159" s="32"/>
    </row>
    <row r="160" spans="23:23" x14ac:dyDescent="0.3">
      <c r="W160" s="32"/>
    </row>
    <row r="161" spans="23:23" x14ac:dyDescent="0.3">
      <c r="W161" s="32"/>
    </row>
    <row r="162" spans="23:23" x14ac:dyDescent="0.3">
      <c r="W162" s="32"/>
    </row>
    <row r="163" spans="23:23" x14ac:dyDescent="0.3">
      <c r="W163" s="32"/>
    </row>
    <row r="164" spans="23:23" x14ac:dyDescent="0.3">
      <c r="W164" s="32"/>
    </row>
    <row r="165" spans="23:23" x14ac:dyDescent="0.3">
      <c r="W165" s="32"/>
    </row>
    <row r="166" spans="23:23" x14ac:dyDescent="0.3">
      <c r="W166" s="32"/>
    </row>
    <row r="167" spans="23:23" x14ac:dyDescent="0.3">
      <c r="W167" s="32"/>
    </row>
    <row r="168" spans="23:23" x14ac:dyDescent="0.3">
      <c r="W168" s="32"/>
    </row>
    <row r="169" spans="23:23" x14ac:dyDescent="0.3">
      <c r="W169" s="32"/>
    </row>
    <row r="170" spans="23:23" x14ac:dyDescent="0.3">
      <c r="W170" s="32"/>
    </row>
    <row r="171" spans="23:23" x14ac:dyDescent="0.3">
      <c r="W171" s="32"/>
    </row>
    <row r="172" spans="23:23" x14ac:dyDescent="0.3">
      <c r="W172" s="32"/>
    </row>
    <row r="173" spans="23:23" x14ac:dyDescent="0.3">
      <c r="W173" s="32"/>
    </row>
    <row r="174" spans="23:23" x14ac:dyDescent="0.3">
      <c r="W174" s="32"/>
    </row>
    <row r="175" spans="23:23" x14ac:dyDescent="0.3">
      <c r="W175" s="32"/>
    </row>
    <row r="176" spans="23:23" x14ac:dyDescent="0.3">
      <c r="W176" s="32"/>
    </row>
    <row r="177" spans="23:23" x14ac:dyDescent="0.3">
      <c r="W177" s="32"/>
    </row>
    <row r="178" spans="23:23" x14ac:dyDescent="0.3">
      <c r="W178" s="32"/>
    </row>
    <row r="179" spans="23:23" x14ac:dyDescent="0.3">
      <c r="W179" s="32"/>
    </row>
    <row r="180" spans="23:23" x14ac:dyDescent="0.3">
      <c r="W180" s="32"/>
    </row>
    <row r="181" spans="23:23" x14ac:dyDescent="0.3">
      <c r="W181" s="32"/>
    </row>
    <row r="182" spans="23:23" x14ac:dyDescent="0.3">
      <c r="W182" s="32"/>
    </row>
    <row r="183" spans="23:23" x14ac:dyDescent="0.3">
      <c r="W183" s="32"/>
    </row>
    <row r="184" spans="23:23" x14ac:dyDescent="0.3">
      <c r="W184" s="32"/>
    </row>
    <row r="185" spans="23:23" x14ac:dyDescent="0.3">
      <c r="W185" s="32"/>
    </row>
    <row r="186" spans="23:23" x14ac:dyDescent="0.3">
      <c r="W186" s="32"/>
    </row>
    <row r="187" spans="23:23" x14ac:dyDescent="0.3">
      <c r="W187" s="32"/>
    </row>
    <row r="188" spans="23:23" x14ac:dyDescent="0.3">
      <c r="W188" s="32"/>
    </row>
    <row r="189" spans="23:23" x14ac:dyDescent="0.3">
      <c r="W189" s="32"/>
    </row>
    <row r="190" spans="23:23" x14ac:dyDescent="0.3">
      <c r="W190" s="32"/>
    </row>
    <row r="191" spans="23:23" x14ac:dyDescent="0.3">
      <c r="W191" s="32"/>
    </row>
    <row r="192" spans="23:23" x14ac:dyDescent="0.3">
      <c r="W192" s="32"/>
    </row>
    <row r="193" spans="23:23" x14ac:dyDescent="0.3">
      <c r="W193" s="32"/>
    </row>
    <row r="194" spans="23:23" x14ac:dyDescent="0.3">
      <c r="W194" s="32"/>
    </row>
    <row r="195" spans="23:23" x14ac:dyDescent="0.3">
      <c r="W195" s="32"/>
    </row>
    <row r="196" spans="23:23" x14ac:dyDescent="0.3">
      <c r="W196" s="32"/>
    </row>
    <row r="197" spans="23:23" x14ac:dyDescent="0.3">
      <c r="W197" s="32"/>
    </row>
    <row r="198" spans="23:23" x14ac:dyDescent="0.3">
      <c r="W198" s="32"/>
    </row>
    <row r="199" spans="23:23" x14ac:dyDescent="0.3">
      <c r="W199" s="32"/>
    </row>
    <row r="200" spans="23:23" x14ac:dyDescent="0.3">
      <c r="W200" s="32"/>
    </row>
    <row r="201" spans="23:23" x14ac:dyDescent="0.3">
      <c r="W201" s="32"/>
    </row>
    <row r="202" spans="23:23" x14ac:dyDescent="0.3">
      <c r="W202" s="32"/>
    </row>
    <row r="203" spans="23:23" x14ac:dyDescent="0.3">
      <c r="W203" s="32"/>
    </row>
    <row r="204" spans="23:23" x14ac:dyDescent="0.3">
      <c r="W204" s="32"/>
    </row>
    <row r="205" spans="23:23" x14ac:dyDescent="0.3">
      <c r="W205" s="32"/>
    </row>
    <row r="206" spans="23:23" x14ac:dyDescent="0.3">
      <c r="W206" s="32"/>
    </row>
    <row r="207" spans="23:23" x14ac:dyDescent="0.3">
      <c r="W207" s="32"/>
    </row>
    <row r="208" spans="23:23" x14ac:dyDescent="0.3">
      <c r="W208" s="32"/>
    </row>
    <row r="209" spans="23:23" x14ac:dyDescent="0.3">
      <c r="W209" s="32"/>
    </row>
    <row r="210" spans="23:23" x14ac:dyDescent="0.3">
      <c r="W210" s="32"/>
    </row>
    <row r="211" spans="23:23" x14ac:dyDescent="0.3">
      <c r="W211" s="32"/>
    </row>
    <row r="212" spans="23:23" x14ac:dyDescent="0.3">
      <c r="W212" s="32"/>
    </row>
    <row r="213" spans="23:23" x14ac:dyDescent="0.3">
      <c r="W213" s="32"/>
    </row>
    <row r="214" spans="23:23" x14ac:dyDescent="0.3">
      <c r="W214" s="32"/>
    </row>
    <row r="215" spans="23:23" x14ac:dyDescent="0.3">
      <c r="W215" s="32"/>
    </row>
    <row r="216" spans="23:23" x14ac:dyDescent="0.3">
      <c r="W216" s="32"/>
    </row>
    <row r="217" spans="23:23" x14ac:dyDescent="0.3">
      <c r="W217" s="32"/>
    </row>
    <row r="218" spans="23:23" x14ac:dyDescent="0.3">
      <c r="W218" s="32"/>
    </row>
    <row r="219" spans="23:23" x14ac:dyDescent="0.3">
      <c r="W219" s="32"/>
    </row>
    <row r="220" spans="23:23" x14ac:dyDescent="0.3">
      <c r="W220" s="32"/>
    </row>
    <row r="221" spans="23:23" x14ac:dyDescent="0.3">
      <c r="W221" s="32"/>
    </row>
    <row r="222" spans="23:23" x14ac:dyDescent="0.3">
      <c r="W222" s="32"/>
    </row>
    <row r="223" spans="23:23" x14ac:dyDescent="0.3">
      <c r="W223" s="32"/>
    </row>
    <row r="224" spans="23:23" x14ac:dyDescent="0.3">
      <c r="W224" s="32"/>
    </row>
    <row r="225" spans="23:23" x14ac:dyDescent="0.3">
      <c r="W225" s="32"/>
    </row>
    <row r="226" spans="23:23" x14ac:dyDescent="0.3">
      <c r="W226" s="32"/>
    </row>
    <row r="227" spans="23:23" x14ac:dyDescent="0.3">
      <c r="W227" s="32"/>
    </row>
    <row r="228" spans="23:23" x14ac:dyDescent="0.3">
      <c r="W228" s="32"/>
    </row>
    <row r="229" spans="23:23" x14ac:dyDescent="0.3">
      <c r="W229" s="32"/>
    </row>
    <row r="230" spans="23:23" x14ac:dyDescent="0.3">
      <c r="W230" s="32"/>
    </row>
    <row r="231" spans="23:23" x14ac:dyDescent="0.3">
      <c r="W231" s="32"/>
    </row>
    <row r="232" spans="23:23" x14ac:dyDescent="0.3">
      <c r="W232" s="32"/>
    </row>
    <row r="233" spans="23:23" x14ac:dyDescent="0.3">
      <c r="W233" s="32"/>
    </row>
    <row r="234" spans="23:23" x14ac:dyDescent="0.3">
      <c r="W234" s="32"/>
    </row>
    <row r="235" spans="23:23" x14ac:dyDescent="0.3">
      <c r="W235" s="32"/>
    </row>
    <row r="236" spans="23:23" x14ac:dyDescent="0.3">
      <c r="W236" s="32"/>
    </row>
    <row r="237" spans="23:23" x14ac:dyDescent="0.3">
      <c r="W237" s="32"/>
    </row>
    <row r="238" spans="23:23" x14ac:dyDescent="0.3">
      <c r="W238" s="32"/>
    </row>
    <row r="239" spans="23:23" x14ac:dyDescent="0.3">
      <c r="W239" s="32"/>
    </row>
    <row r="240" spans="23:23" x14ac:dyDescent="0.3">
      <c r="W240" s="32"/>
    </row>
    <row r="241" spans="23:23" x14ac:dyDescent="0.3">
      <c r="W241" s="32"/>
    </row>
    <row r="242" spans="23:23" x14ac:dyDescent="0.3">
      <c r="W242" s="32"/>
    </row>
    <row r="243" spans="23:23" x14ac:dyDescent="0.3">
      <c r="W243" s="32"/>
    </row>
    <row r="244" spans="23:23" x14ac:dyDescent="0.3">
      <c r="W244" s="32"/>
    </row>
    <row r="245" spans="23:23" x14ac:dyDescent="0.3">
      <c r="W245" s="32"/>
    </row>
    <row r="246" spans="23:23" x14ac:dyDescent="0.3">
      <c r="W246" s="32"/>
    </row>
    <row r="247" spans="23:23" x14ac:dyDescent="0.3">
      <c r="W247" s="32"/>
    </row>
    <row r="248" spans="23:23" x14ac:dyDescent="0.3">
      <c r="W248" s="32"/>
    </row>
    <row r="249" spans="23:23" x14ac:dyDescent="0.3">
      <c r="W249" s="32"/>
    </row>
    <row r="250" spans="23:23" x14ac:dyDescent="0.3">
      <c r="W250" s="32"/>
    </row>
    <row r="251" spans="23:23" x14ac:dyDescent="0.3">
      <c r="W251" s="32"/>
    </row>
    <row r="252" spans="23:23" x14ac:dyDescent="0.3">
      <c r="W252" s="32"/>
    </row>
    <row r="253" spans="23:23" x14ac:dyDescent="0.3">
      <c r="W253" s="32"/>
    </row>
    <row r="254" spans="23:23" x14ac:dyDescent="0.3">
      <c r="W254" s="32"/>
    </row>
    <row r="255" spans="23:23" x14ac:dyDescent="0.3">
      <c r="W255" s="32"/>
    </row>
    <row r="256" spans="23:23" x14ac:dyDescent="0.3">
      <c r="W256" s="32"/>
    </row>
    <row r="257" spans="23:23" x14ac:dyDescent="0.3">
      <c r="W257" s="32"/>
    </row>
    <row r="258" spans="23:23" x14ac:dyDescent="0.3">
      <c r="W258" s="32"/>
    </row>
    <row r="259" spans="23:23" x14ac:dyDescent="0.3">
      <c r="W259" s="32"/>
    </row>
    <row r="260" spans="23:23" x14ac:dyDescent="0.3">
      <c r="W260" s="32"/>
    </row>
    <row r="261" spans="23:23" x14ac:dyDescent="0.3">
      <c r="W261" s="32"/>
    </row>
    <row r="262" spans="23:23" x14ac:dyDescent="0.3">
      <c r="W262" s="32"/>
    </row>
    <row r="263" spans="23:23" x14ac:dyDescent="0.3">
      <c r="W263" s="32"/>
    </row>
    <row r="264" spans="23:23" x14ac:dyDescent="0.3">
      <c r="W264" s="32"/>
    </row>
    <row r="265" spans="23:23" x14ac:dyDescent="0.3">
      <c r="W265" s="32"/>
    </row>
    <row r="266" spans="23:23" x14ac:dyDescent="0.3">
      <c r="W266" s="32"/>
    </row>
    <row r="267" spans="23:23" x14ac:dyDescent="0.3">
      <c r="W267" s="32"/>
    </row>
    <row r="268" spans="23:23" x14ac:dyDescent="0.3">
      <c r="W268" s="32"/>
    </row>
    <row r="269" spans="23:23" x14ac:dyDescent="0.3">
      <c r="W269" s="32"/>
    </row>
    <row r="270" spans="23:23" x14ac:dyDescent="0.3">
      <c r="W270" s="32"/>
    </row>
    <row r="271" spans="23:23" x14ac:dyDescent="0.3">
      <c r="W271" s="32"/>
    </row>
    <row r="272" spans="23:23" x14ac:dyDescent="0.3">
      <c r="W272" s="32"/>
    </row>
    <row r="273" spans="23:23" x14ac:dyDescent="0.3">
      <c r="W273" s="32"/>
    </row>
    <row r="274" spans="23:23" x14ac:dyDescent="0.3">
      <c r="W274" s="32"/>
    </row>
    <row r="275" spans="23:23" x14ac:dyDescent="0.3">
      <c r="W275" s="32"/>
    </row>
    <row r="276" spans="23:23" x14ac:dyDescent="0.3">
      <c r="W276" s="32"/>
    </row>
    <row r="277" spans="23:23" x14ac:dyDescent="0.3">
      <c r="W277" s="32"/>
    </row>
    <row r="278" spans="23:23" x14ac:dyDescent="0.3">
      <c r="W278" s="32"/>
    </row>
    <row r="279" spans="23:23" x14ac:dyDescent="0.3">
      <c r="W279" s="32"/>
    </row>
    <row r="280" spans="23:23" x14ac:dyDescent="0.3">
      <c r="W280" s="32"/>
    </row>
    <row r="281" spans="23:23" x14ac:dyDescent="0.3">
      <c r="W281" s="32"/>
    </row>
    <row r="282" spans="23:23" x14ac:dyDescent="0.3">
      <c r="W282" s="32"/>
    </row>
    <row r="283" spans="23:23" x14ac:dyDescent="0.3">
      <c r="W283" s="32"/>
    </row>
    <row r="284" spans="23:23" x14ac:dyDescent="0.3">
      <c r="W284" s="32"/>
    </row>
    <row r="285" spans="23:23" x14ac:dyDescent="0.3">
      <c r="W285" s="32"/>
    </row>
    <row r="286" spans="23:23" x14ac:dyDescent="0.3">
      <c r="W286" s="32"/>
    </row>
    <row r="287" spans="23:23" x14ac:dyDescent="0.3">
      <c r="W287" s="32"/>
    </row>
    <row r="288" spans="23:23" x14ac:dyDescent="0.3">
      <c r="W288" s="32"/>
    </row>
    <row r="289" spans="23:23" x14ac:dyDescent="0.3">
      <c r="W289" s="32"/>
    </row>
    <row r="290" spans="23:23" x14ac:dyDescent="0.3">
      <c r="W290" s="32"/>
    </row>
    <row r="291" spans="23:23" x14ac:dyDescent="0.3">
      <c r="W291" s="32"/>
    </row>
    <row r="292" spans="23:23" x14ac:dyDescent="0.3">
      <c r="W292" s="32"/>
    </row>
    <row r="293" spans="23:23" x14ac:dyDescent="0.3">
      <c r="W293" s="32"/>
    </row>
    <row r="294" spans="23:23" x14ac:dyDescent="0.3">
      <c r="W294" s="32"/>
    </row>
    <row r="295" spans="23:23" x14ac:dyDescent="0.3">
      <c r="W295" s="32"/>
    </row>
    <row r="296" spans="23:23" x14ac:dyDescent="0.3">
      <c r="W296" s="32"/>
    </row>
    <row r="297" spans="23:23" x14ac:dyDescent="0.3">
      <c r="W297" s="32"/>
    </row>
    <row r="298" spans="23:23" x14ac:dyDescent="0.3">
      <c r="W298" s="32"/>
    </row>
    <row r="299" spans="23:23" x14ac:dyDescent="0.3">
      <c r="W299" s="32"/>
    </row>
    <row r="300" spans="23:23" x14ac:dyDescent="0.3">
      <c r="W300" s="32"/>
    </row>
    <row r="301" spans="23:23" x14ac:dyDescent="0.3">
      <c r="W301" s="32"/>
    </row>
    <row r="302" spans="23:23" x14ac:dyDescent="0.3">
      <c r="W302" s="32"/>
    </row>
    <row r="303" spans="23:23" x14ac:dyDescent="0.3">
      <c r="W303" s="32"/>
    </row>
    <row r="304" spans="23:23" x14ac:dyDescent="0.3">
      <c r="W304" s="32"/>
    </row>
    <row r="305" spans="23:23" x14ac:dyDescent="0.3">
      <c r="W305" s="32"/>
    </row>
    <row r="306" spans="23:23" x14ac:dyDescent="0.3">
      <c r="W306" s="32"/>
    </row>
    <row r="307" spans="23:23" x14ac:dyDescent="0.3">
      <c r="W307" s="32"/>
    </row>
    <row r="308" spans="23:23" x14ac:dyDescent="0.3">
      <c r="W308" s="32"/>
    </row>
    <row r="309" spans="23:23" x14ac:dyDescent="0.3">
      <c r="W309" s="32"/>
    </row>
    <row r="310" spans="23:23" x14ac:dyDescent="0.3">
      <c r="W310" s="32"/>
    </row>
    <row r="311" spans="23:23" x14ac:dyDescent="0.3">
      <c r="W311" s="32"/>
    </row>
    <row r="312" spans="23:23" x14ac:dyDescent="0.3">
      <c r="W312" s="32"/>
    </row>
    <row r="313" spans="23:23" x14ac:dyDescent="0.3">
      <c r="W313" s="32"/>
    </row>
    <row r="314" spans="23:23" x14ac:dyDescent="0.3">
      <c r="W314" s="32"/>
    </row>
    <row r="315" spans="23:23" x14ac:dyDescent="0.3">
      <c r="W315" s="32"/>
    </row>
    <row r="316" spans="23:23" x14ac:dyDescent="0.3">
      <c r="W316" s="32"/>
    </row>
    <row r="317" spans="23:23" x14ac:dyDescent="0.3">
      <c r="W317" s="32"/>
    </row>
    <row r="318" spans="23:23" x14ac:dyDescent="0.3">
      <c r="W318" s="32"/>
    </row>
    <row r="319" spans="23:23" x14ac:dyDescent="0.3">
      <c r="W319" s="32"/>
    </row>
    <row r="320" spans="23:23" x14ac:dyDescent="0.3">
      <c r="W320" s="32"/>
    </row>
    <row r="321" spans="23:23" x14ac:dyDescent="0.3">
      <c r="W321" s="32"/>
    </row>
    <row r="322" spans="23:23" x14ac:dyDescent="0.3">
      <c r="W322" s="32"/>
    </row>
    <row r="323" spans="23:23" x14ac:dyDescent="0.3">
      <c r="W323" s="32"/>
    </row>
    <row r="324" spans="23:23" x14ac:dyDescent="0.3">
      <c r="W324" s="32"/>
    </row>
    <row r="325" spans="23:23" x14ac:dyDescent="0.3">
      <c r="W325" s="32"/>
    </row>
    <row r="326" spans="23:23" x14ac:dyDescent="0.3">
      <c r="W326" s="32"/>
    </row>
    <row r="327" spans="23:23" x14ac:dyDescent="0.3">
      <c r="W327" s="32"/>
    </row>
    <row r="328" spans="23:23" x14ac:dyDescent="0.3">
      <c r="W328" s="32"/>
    </row>
    <row r="329" spans="23:23" x14ac:dyDescent="0.3">
      <c r="W329" s="32"/>
    </row>
    <row r="330" spans="23:23" x14ac:dyDescent="0.3">
      <c r="W330" s="32"/>
    </row>
    <row r="331" spans="23:23" x14ac:dyDescent="0.3">
      <c r="W331" s="32"/>
    </row>
    <row r="332" spans="23:23" x14ac:dyDescent="0.3">
      <c r="W332" s="32"/>
    </row>
    <row r="333" spans="23:23" x14ac:dyDescent="0.3">
      <c r="W333" s="32"/>
    </row>
    <row r="334" spans="23:23" x14ac:dyDescent="0.3">
      <c r="W334" s="32"/>
    </row>
    <row r="335" spans="23:23" x14ac:dyDescent="0.3">
      <c r="W335" s="32"/>
    </row>
    <row r="336" spans="23:23" x14ac:dyDescent="0.3">
      <c r="W336" s="32"/>
    </row>
    <row r="337" spans="23:23" x14ac:dyDescent="0.3">
      <c r="W337" s="32"/>
    </row>
    <row r="338" spans="23:23" x14ac:dyDescent="0.3">
      <c r="W338" s="32"/>
    </row>
    <row r="339" spans="23:23" x14ac:dyDescent="0.3">
      <c r="W339" s="32"/>
    </row>
    <row r="340" spans="23:23" x14ac:dyDescent="0.3">
      <c r="W340" s="32"/>
    </row>
    <row r="341" spans="23:23" x14ac:dyDescent="0.3">
      <c r="W341" s="32"/>
    </row>
    <row r="342" spans="23:23" x14ac:dyDescent="0.3">
      <c r="W342" s="32"/>
    </row>
    <row r="343" spans="23:23" x14ac:dyDescent="0.3">
      <c r="W343" s="32"/>
    </row>
    <row r="344" spans="23:23" x14ac:dyDescent="0.3">
      <c r="W344" s="32"/>
    </row>
    <row r="345" spans="23:23" x14ac:dyDescent="0.3">
      <c r="W345" s="32"/>
    </row>
    <row r="346" spans="23:23" x14ac:dyDescent="0.3">
      <c r="W346" s="32"/>
    </row>
    <row r="347" spans="23:23" x14ac:dyDescent="0.3">
      <c r="W347" s="32"/>
    </row>
    <row r="348" spans="23:23" x14ac:dyDescent="0.3">
      <c r="W348" s="32"/>
    </row>
    <row r="349" spans="23:23" x14ac:dyDescent="0.3">
      <c r="W349" s="32"/>
    </row>
    <row r="350" spans="23:23" x14ac:dyDescent="0.3">
      <c r="W350" s="32"/>
    </row>
    <row r="351" spans="23:23" x14ac:dyDescent="0.3">
      <c r="W351" s="32"/>
    </row>
    <row r="352" spans="23:23" x14ac:dyDescent="0.3">
      <c r="W352" s="32"/>
    </row>
    <row r="353" spans="23:23" x14ac:dyDescent="0.3">
      <c r="W353" s="32"/>
    </row>
    <row r="354" spans="23:23" x14ac:dyDescent="0.3">
      <c r="W354" s="32"/>
    </row>
    <row r="355" spans="23:23" x14ac:dyDescent="0.3">
      <c r="W355" s="32"/>
    </row>
    <row r="356" spans="23:23" x14ac:dyDescent="0.3">
      <c r="W356" s="32"/>
    </row>
    <row r="357" spans="23:23" x14ac:dyDescent="0.3">
      <c r="W357" s="32"/>
    </row>
    <row r="358" spans="23:23" x14ac:dyDescent="0.3">
      <c r="W358" s="32"/>
    </row>
    <row r="359" spans="23:23" x14ac:dyDescent="0.3">
      <c r="W359" s="32"/>
    </row>
    <row r="360" spans="23:23" x14ac:dyDescent="0.3">
      <c r="W360" s="32"/>
    </row>
    <row r="361" spans="23:23" x14ac:dyDescent="0.3">
      <c r="W361" s="32"/>
    </row>
    <row r="362" spans="23:23" x14ac:dyDescent="0.3">
      <c r="W362" s="32"/>
    </row>
    <row r="363" spans="23:23" x14ac:dyDescent="0.3">
      <c r="W363" s="32"/>
    </row>
    <row r="364" spans="23:23" x14ac:dyDescent="0.3">
      <c r="W364" s="32"/>
    </row>
    <row r="365" spans="23:23" x14ac:dyDescent="0.3">
      <c r="W365" s="32"/>
    </row>
    <row r="366" spans="23:23" x14ac:dyDescent="0.3">
      <c r="W366" s="32"/>
    </row>
    <row r="367" spans="23:23" x14ac:dyDescent="0.3">
      <c r="W367" s="32"/>
    </row>
    <row r="368" spans="23:23" x14ac:dyDescent="0.3">
      <c r="W368" s="32"/>
    </row>
    <row r="369" spans="23:23" x14ac:dyDescent="0.3">
      <c r="W369" s="32"/>
    </row>
    <row r="370" spans="23:23" x14ac:dyDescent="0.3">
      <c r="W370" s="32"/>
    </row>
    <row r="371" spans="23:23" x14ac:dyDescent="0.3">
      <c r="W371" s="32"/>
    </row>
    <row r="372" spans="23:23" x14ac:dyDescent="0.3">
      <c r="W372" s="32"/>
    </row>
    <row r="373" spans="23:23" x14ac:dyDescent="0.3">
      <c r="W373" s="32"/>
    </row>
    <row r="374" spans="23:23" x14ac:dyDescent="0.3">
      <c r="W374" s="32"/>
    </row>
    <row r="375" spans="23:23" x14ac:dyDescent="0.3">
      <c r="W375" s="32"/>
    </row>
    <row r="376" spans="23:23" x14ac:dyDescent="0.3">
      <c r="W376" s="32"/>
    </row>
    <row r="377" spans="23:23" x14ac:dyDescent="0.3">
      <c r="W377" s="32"/>
    </row>
    <row r="378" spans="23:23" x14ac:dyDescent="0.3">
      <c r="W378" s="32"/>
    </row>
    <row r="379" spans="23:23" x14ac:dyDescent="0.3">
      <c r="W379" s="32"/>
    </row>
    <row r="380" spans="23:23" x14ac:dyDescent="0.3">
      <c r="W380" s="32"/>
    </row>
    <row r="381" spans="23:23" x14ac:dyDescent="0.3">
      <c r="W381" s="32"/>
    </row>
    <row r="382" spans="23:23" x14ac:dyDescent="0.3">
      <c r="W382" s="32"/>
    </row>
    <row r="383" spans="23:23" x14ac:dyDescent="0.3">
      <c r="W383" s="32"/>
    </row>
    <row r="384" spans="23:23" x14ac:dyDescent="0.3">
      <c r="W384" s="32"/>
    </row>
    <row r="385" spans="23:23" x14ac:dyDescent="0.3">
      <c r="W385" s="32"/>
    </row>
    <row r="386" spans="23:23" x14ac:dyDescent="0.3">
      <c r="W386" s="32"/>
    </row>
    <row r="387" spans="23:23" x14ac:dyDescent="0.3">
      <c r="W387" s="32"/>
    </row>
    <row r="388" spans="23:23" x14ac:dyDescent="0.3">
      <c r="W388" s="32"/>
    </row>
    <row r="389" spans="23:23" x14ac:dyDescent="0.3">
      <c r="W389" s="32"/>
    </row>
    <row r="390" spans="23:23" x14ac:dyDescent="0.3">
      <c r="W390" s="32"/>
    </row>
    <row r="391" spans="23:23" x14ac:dyDescent="0.3">
      <c r="W391" s="32"/>
    </row>
    <row r="392" spans="23:23" x14ac:dyDescent="0.3">
      <c r="W392" s="32"/>
    </row>
    <row r="393" spans="23:23" x14ac:dyDescent="0.3">
      <c r="W393" s="32"/>
    </row>
    <row r="394" spans="23:23" x14ac:dyDescent="0.3">
      <c r="W394" s="32"/>
    </row>
    <row r="395" spans="23:23" x14ac:dyDescent="0.3">
      <c r="W395" s="32"/>
    </row>
    <row r="396" spans="23:23" x14ac:dyDescent="0.3">
      <c r="W396" s="32"/>
    </row>
    <row r="397" spans="23:23" x14ac:dyDescent="0.3">
      <c r="W397" s="32"/>
    </row>
    <row r="398" spans="23:23" x14ac:dyDescent="0.3">
      <c r="W398" s="32"/>
    </row>
    <row r="399" spans="23:23" x14ac:dyDescent="0.3">
      <c r="W399" s="32"/>
    </row>
    <row r="400" spans="23:23" x14ac:dyDescent="0.3">
      <c r="W400" s="32"/>
    </row>
    <row r="401" spans="23:23" x14ac:dyDescent="0.3">
      <c r="W401" s="32"/>
    </row>
    <row r="402" spans="23:23" x14ac:dyDescent="0.3">
      <c r="W402" s="32"/>
    </row>
    <row r="403" spans="23:23" x14ac:dyDescent="0.3">
      <c r="W403" s="32"/>
    </row>
    <row r="404" spans="23:23" x14ac:dyDescent="0.3">
      <c r="W404" s="32"/>
    </row>
    <row r="405" spans="23:23" x14ac:dyDescent="0.3">
      <c r="W405" s="32"/>
    </row>
    <row r="406" spans="23:23" x14ac:dyDescent="0.3">
      <c r="W406" s="32"/>
    </row>
    <row r="407" spans="23:23" x14ac:dyDescent="0.3">
      <c r="W407" s="32"/>
    </row>
    <row r="408" spans="23:23" x14ac:dyDescent="0.3">
      <c r="W408" s="32"/>
    </row>
    <row r="409" spans="23:23" x14ac:dyDescent="0.3">
      <c r="W409" s="32"/>
    </row>
    <row r="410" spans="23:23" x14ac:dyDescent="0.3">
      <c r="W410" s="32"/>
    </row>
    <row r="411" spans="23:23" x14ac:dyDescent="0.3">
      <c r="W411" s="32"/>
    </row>
    <row r="412" spans="23:23" x14ac:dyDescent="0.3">
      <c r="W412" s="32"/>
    </row>
    <row r="413" spans="23:23" x14ac:dyDescent="0.3">
      <c r="W413" s="32"/>
    </row>
    <row r="414" spans="23:23" x14ac:dyDescent="0.3">
      <c r="W414" s="32"/>
    </row>
    <row r="415" spans="23:23" x14ac:dyDescent="0.3">
      <c r="W415" s="32"/>
    </row>
    <row r="416" spans="23:23" x14ac:dyDescent="0.3">
      <c r="W416" s="32"/>
    </row>
    <row r="417" spans="23:23" x14ac:dyDescent="0.3">
      <c r="W417" s="32"/>
    </row>
    <row r="418" spans="23:23" x14ac:dyDescent="0.3">
      <c r="W418" s="32"/>
    </row>
    <row r="419" spans="23:23" x14ac:dyDescent="0.3">
      <c r="W419" s="32"/>
    </row>
    <row r="420" spans="23:23" x14ac:dyDescent="0.3">
      <c r="W420" s="32"/>
    </row>
    <row r="421" spans="23:23" x14ac:dyDescent="0.3">
      <c r="W421" s="32"/>
    </row>
    <row r="422" spans="23:23" x14ac:dyDescent="0.3">
      <c r="W422" s="32"/>
    </row>
    <row r="423" spans="23:23" x14ac:dyDescent="0.3">
      <c r="W423" s="32"/>
    </row>
    <row r="424" spans="23:23" x14ac:dyDescent="0.3">
      <c r="W424" s="32"/>
    </row>
    <row r="425" spans="23:23" x14ac:dyDescent="0.3">
      <c r="W425" s="32"/>
    </row>
    <row r="426" spans="23:23" x14ac:dyDescent="0.3">
      <c r="W426" s="32"/>
    </row>
    <row r="427" spans="23:23" x14ac:dyDescent="0.3">
      <c r="W427" s="32"/>
    </row>
    <row r="428" spans="23:23" x14ac:dyDescent="0.3">
      <c r="W428" s="32"/>
    </row>
    <row r="429" spans="23:23" x14ac:dyDescent="0.3">
      <c r="W429" s="32"/>
    </row>
    <row r="430" spans="23:23" x14ac:dyDescent="0.3">
      <c r="W430" s="32"/>
    </row>
    <row r="431" spans="23:23" x14ac:dyDescent="0.3">
      <c r="W431" s="32"/>
    </row>
    <row r="432" spans="23:23" x14ac:dyDescent="0.3">
      <c r="W432" s="32"/>
    </row>
    <row r="433" spans="23:23" x14ac:dyDescent="0.3">
      <c r="W433" s="32"/>
    </row>
    <row r="434" spans="23:23" x14ac:dyDescent="0.3">
      <c r="W434" s="32"/>
    </row>
    <row r="435" spans="23:23" x14ac:dyDescent="0.3">
      <c r="W435" s="32"/>
    </row>
    <row r="436" spans="23:23" x14ac:dyDescent="0.3">
      <c r="W436" s="32"/>
    </row>
    <row r="437" spans="23:23" x14ac:dyDescent="0.3">
      <c r="W437" s="32"/>
    </row>
    <row r="438" spans="23:23" x14ac:dyDescent="0.3">
      <c r="W438" s="32"/>
    </row>
    <row r="439" spans="23:23" x14ac:dyDescent="0.3">
      <c r="W439" s="32"/>
    </row>
    <row r="440" spans="23:23" x14ac:dyDescent="0.3">
      <c r="W440" s="32"/>
    </row>
    <row r="441" spans="23:23" x14ac:dyDescent="0.3">
      <c r="W441" s="32"/>
    </row>
    <row r="442" spans="23:23" x14ac:dyDescent="0.3">
      <c r="W442" s="32"/>
    </row>
    <row r="443" spans="23:23" x14ac:dyDescent="0.3">
      <c r="W443" s="32"/>
    </row>
    <row r="444" spans="23:23" x14ac:dyDescent="0.3">
      <c r="W444" s="32"/>
    </row>
    <row r="445" spans="23:23" x14ac:dyDescent="0.3">
      <c r="W445" s="32"/>
    </row>
    <row r="446" spans="23:23" x14ac:dyDescent="0.3">
      <c r="W446" s="32"/>
    </row>
    <row r="447" spans="23:23" x14ac:dyDescent="0.3">
      <c r="W447" s="32"/>
    </row>
    <row r="448" spans="23:23" x14ac:dyDescent="0.3">
      <c r="W448" s="32"/>
    </row>
    <row r="449" spans="23:23" x14ac:dyDescent="0.3">
      <c r="W449" s="32"/>
    </row>
    <row r="450" spans="23:23" x14ac:dyDescent="0.3">
      <c r="W450" s="32"/>
    </row>
    <row r="451" spans="23:23" x14ac:dyDescent="0.3">
      <c r="W451" s="32"/>
    </row>
    <row r="452" spans="23:23" x14ac:dyDescent="0.3">
      <c r="W452" s="32"/>
    </row>
    <row r="453" spans="23:23" x14ac:dyDescent="0.3">
      <c r="W453" s="32"/>
    </row>
    <row r="454" spans="23:23" x14ac:dyDescent="0.3">
      <c r="W454" s="32"/>
    </row>
    <row r="455" spans="23:23" x14ac:dyDescent="0.3">
      <c r="W455" s="32"/>
    </row>
    <row r="456" spans="23:23" x14ac:dyDescent="0.3">
      <c r="W456" s="32"/>
    </row>
    <row r="457" spans="23:23" x14ac:dyDescent="0.3">
      <c r="W457" s="32"/>
    </row>
    <row r="458" spans="23:23" x14ac:dyDescent="0.3">
      <c r="W458" s="32"/>
    </row>
    <row r="459" spans="23:23" x14ac:dyDescent="0.3">
      <c r="W459" s="32"/>
    </row>
    <row r="460" spans="23:23" x14ac:dyDescent="0.3">
      <c r="W460" s="32"/>
    </row>
    <row r="461" spans="23:23" x14ac:dyDescent="0.3">
      <c r="W461" s="32"/>
    </row>
    <row r="462" spans="23:23" x14ac:dyDescent="0.3">
      <c r="W462" s="32"/>
    </row>
    <row r="463" spans="23:23" x14ac:dyDescent="0.3">
      <c r="W463" s="32"/>
    </row>
    <row r="464" spans="23:23" x14ac:dyDescent="0.3">
      <c r="W464" s="32"/>
    </row>
    <row r="465" spans="23:23" x14ac:dyDescent="0.3">
      <c r="W465" s="32"/>
    </row>
    <row r="466" spans="23:23" x14ac:dyDescent="0.3">
      <c r="W466" s="32"/>
    </row>
    <row r="467" spans="23:23" x14ac:dyDescent="0.3">
      <c r="W467" s="32"/>
    </row>
    <row r="468" spans="23:23" x14ac:dyDescent="0.3">
      <c r="W468" s="32"/>
    </row>
    <row r="469" spans="23:23" x14ac:dyDescent="0.3">
      <c r="W469" s="32"/>
    </row>
    <row r="470" spans="23:23" x14ac:dyDescent="0.3">
      <c r="W470" s="32"/>
    </row>
    <row r="471" spans="23:23" x14ac:dyDescent="0.3">
      <c r="W471" s="32"/>
    </row>
    <row r="472" spans="23:23" x14ac:dyDescent="0.3">
      <c r="W472" s="32"/>
    </row>
    <row r="473" spans="23:23" x14ac:dyDescent="0.3">
      <c r="W473" s="32"/>
    </row>
    <row r="474" spans="23:23" x14ac:dyDescent="0.3">
      <c r="W474" s="32"/>
    </row>
    <row r="475" spans="23:23" x14ac:dyDescent="0.3">
      <c r="W475" s="32"/>
    </row>
    <row r="476" spans="23:23" x14ac:dyDescent="0.3">
      <c r="W476" s="32"/>
    </row>
    <row r="477" spans="23:23" x14ac:dyDescent="0.3">
      <c r="W477" s="32"/>
    </row>
    <row r="478" spans="23:23" x14ac:dyDescent="0.3">
      <c r="W478" s="32"/>
    </row>
    <row r="479" spans="23:23" x14ac:dyDescent="0.3">
      <c r="W479" s="32"/>
    </row>
    <row r="480" spans="23:23" x14ac:dyDescent="0.3">
      <c r="W480" s="32"/>
    </row>
    <row r="481" spans="23:23" x14ac:dyDescent="0.3">
      <c r="W481" s="32"/>
    </row>
    <row r="482" spans="23:23" x14ac:dyDescent="0.3">
      <c r="W482" s="32"/>
    </row>
    <row r="483" spans="23:23" x14ac:dyDescent="0.3">
      <c r="W483" s="32"/>
    </row>
    <row r="484" spans="23:23" x14ac:dyDescent="0.3">
      <c r="W484" s="32"/>
    </row>
    <row r="485" spans="23:23" x14ac:dyDescent="0.3">
      <c r="W485" s="32"/>
    </row>
    <row r="486" spans="23:23" x14ac:dyDescent="0.3">
      <c r="W486" s="32"/>
    </row>
    <row r="487" spans="23:23" x14ac:dyDescent="0.3">
      <c r="W487" s="32"/>
    </row>
    <row r="488" spans="23:23" x14ac:dyDescent="0.3">
      <c r="W488" s="32"/>
    </row>
    <row r="489" spans="23:23" x14ac:dyDescent="0.3">
      <c r="W489" s="32"/>
    </row>
    <row r="490" spans="23:23" x14ac:dyDescent="0.3">
      <c r="W490" s="32"/>
    </row>
    <row r="491" spans="23:23" x14ac:dyDescent="0.3">
      <c r="W491" s="32"/>
    </row>
    <row r="492" spans="23:23" x14ac:dyDescent="0.3">
      <c r="W492" s="32"/>
    </row>
    <row r="493" spans="23:23" x14ac:dyDescent="0.3">
      <c r="W493" s="32"/>
    </row>
    <row r="494" spans="23:23" x14ac:dyDescent="0.3">
      <c r="W494" s="32"/>
    </row>
    <row r="495" spans="23:23" x14ac:dyDescent="0.3">
      <c r="W495" s="32"/>
    </row>
    <row r="496" spans="23:23" x14ac:dyDescent="0.3">
      <c r="W496" s="32"/>
    </row>
    <row r="497" spans="23:23" x14ac:dyDescent="0.3">
      <c r="W497" s="32"/>
    </row>
    <row r="498" spans="23:23" x14ac:dyDescent="0.3">
      <c r="W498" s="32"/>
    </row>
    <row r="499" spans="23:23" x14ac:dyDescent="0.3">
      <c r="W499" s="32"/>
    </row>
    <row r="500" spans="23:23" x14ac:dyDescent="0.3">
      <c r="W500" s="32"/>
    </row>
    <row r="501" spans="23:23" x14ac:dyDescent="0.3">
      <c r="W501" s="32"/>
    </row>
    <row r="502" spans="23:23" x14ac:dyDescent="0.3">
      <c r="W502" s="32"/>
    </row>
    <row r="503" spans="23:23" x14ac:dyDescent="0.3">
      <c r="W503" s="32"/>
    </row>
    <row r="504" spans="23:23" x14ac:dyDescent="0.3">
      <c r="W504" s="32"/>
    </row>
    <row r="505" spans="23:23" x14ac:dyDescent="0.3">
      <c r="W505" s="32"/>
    </row>
    <row r="506" spans="23:23" x14ac:dyDescent="0.3">
      <c r="W506" s="32"/>
    </row>
    <row r="507" spans="23:23" x14ac:dyDescent="0.3">
      <c r="W507" s="32"/>
    </row>
    <row r="508" spans="23:23" x14ac:dyDescent="0.3">
      <c r="W508" s="32"/>
    </row>
    <row r="509" spans="23:23" x14ac:dyDescent="0.3">
      <c r="W509" s="32"/>
    </row>
    <row r="510" spans="23:23" x14ac:dyDescent="0.3">
      <c r="W510" s="32"/>
    </row>
    <row r="511" spans="23:23" x14ac:dyDescent="0.3">
      <c r="W511" s="32"/>
    </row>
    <row r="512" spans="23:23" x14ac:dyDescent="0.3">
      <c r="W512" s="32"/>
    </row>
    <row r="513" spans="23:23" x14ac:dyDescent="0.3">
      <c r="W513" s="32"/>
    </row>
    <row r="514" spans="23:23" x14ac:dyDescent="0.3">
      <c r="W514" s="32"/>
    </row>
    <row r="515" spans="23:23" x14ac:dyDescent="0.3">
      <c r="W515" s="32"/>
    </row>
    <row r="516" spans="23:23" x14ac:dyDescent="0.3">
      <c r="W516" s="32"/>
    </row>
    <row r="517" spans="23:23" x14ac:dyDescent="0.3">
      <c r="W517" s="32"/>
    </row>
    <row r="518" spans="23:23" x14ac:dyDescent="0.3">
      <c r="W518" s="32"/>
    </row>
    <row r="519" spans="23:23" x14ac:dyDescent="0.3">
      <c r="W519" s="32"/>
    </row>
    <row r="520" spans="23:23" x14ac:dyDescent="0.3">
      <c r="W520" s="32"/>
    </row>
    <row r="521" spans="23:23" x14ac:dyDescent="0.3">
      <c r="W521" s="32"/>
    </row>
    <row r="522" spans="23:23" x14ac:dyDescent="0.3">
      <c r="W522" s="32"/>
    </row>
    <row r="523" spans="23:23" x14ac:dyDescent="0.3">
      <c r="W523" s="32"/>
    </row>
    <row r="524" spans="23:23" x14ac:dyDescent="0.3">
      <c r="W524" s="32"/>
    </row>
    <row r="525" spans="23:23" x14ac:dyDescent="0.3">
      <c r="W525" s="32"/>
    </row>
    <row r="526" spans="23:23" x14ac:dyDescent="0.3">
      <c r="W526" s="32"/>
    </row>
    <row r="527" spans="23:23" x14ac:dyDescent="0.3">
      <c r="W527" s="32"/>
    </row>
    <row r="528" spans="23:23" x14ac:dyDescent="0.3">
      <c r="W528" s="32"/>
    </row>
    <row r="529" spans="23:23" x14ac:dyDescent="0.3">
      <c r="W529" s="32"/>
    </row>
    <row r="530" spans="23:23" x14ac:dyDescent="0.3">
      <c r="W530" s="32"/>
    </row>
    <row r="531" spans="23:23" x14ac:dyDescent="0.3">
      <c r="W531" s="32"/>
    </row>
    <row r="532" spans="23:23" x14ac:dyDescent="0.3">
      <c r="W532" s="32"/>
    </row>
    <row r="533" spans="23:23" x14ac:dyDescent="0.3">
      <c r="W533" s="32"/>
    </row>
    <row r="534" spans="23:23" x14ac:dyDescent="0.3">
      <c r="W534" s="32"/>
    </row>
    <row r="535" spans="23:23" x14ac:dyDescent="0.3">
      <c r="W535" s="32"/>
    </row>
    <row r="536" spans="23:23" x14ac:dyDescent="0.3">
      <c r="W536" s="32"/>
    </row>
    <row r="537" spans="23:23" x14ac:dyDescent="0.3">
      <c r="W537" s="32"/>
    </row>
    <row r="538" spans="23:23" x14ac:dyDescent="0.3">
      <c r="W538" s="32"/>
    </row>
    <row r="539" spans="23:23" x14ac:dyDescent="0.3">
      <c r="W539" s="32"/>
    </row>
    <row r="540" spans="23:23" x14ac:dyDescent="0.3">
      <c r="W540" s="32"/>
    </row>
    <row r="541" spans="23:23" x14ac:dyDescent="0.3">
      <c r="W541" s="32"/>
    </row>
    <row r="542" spans="23:23" x14ac:dyDescent="0.3">
      <c r="W542" s="32"/>
    </row>
    <row r="543" spans="23:23" x14ac:dyDescent="0.3">
      <c r="W543" s="32"/>
    </row>
    <row r="544" spans="23:23" x14ac:dyDescent="0.3">
      <c r="W544" s="32"/>
    </row>
    <row r="545" spans="23:23" x14ac:dyDescent="0.3">
      <c r="W545" s="32"/>
    </row>
    <row r="546" spans="23:23" x14ac:dyDescent="0.3">
      <c r="W546" s="32"/>
    </row>
    <row r="547" spans="23:23" x14ac:dyDescent="0.3">
      <c r="W547" s="32"/>
    </row>
    <row r="548" spans="23:23" x14ac:dyDescent="0.3">
      <c r="W548" s="32"/>
    </row>
    <row r="549" spans="23:23" x14ac:dyDescent="0.3">
      <c r="W549" s="32"/>
    </row>
    <row r="550" spans="23:23" x14ac:dyDescent="0.3">
      <c r="W550" s="32"/>
    </row>
    <row r="551" spans="23:23" x14ac:dyDescent="0.3">
      <c r="W551" s="32"/>
    </row>
    <row r="552" spans="23:23" x14ac:dyDescent="0.3">
      <c r="W552" s="32"/>
    </row>
    <row r="553" spans="23:23" x14ac:dyDescent="0.3">
      <c r="W553" s="32"/>
    </row>
    <row r="554" spans="23:23" x14ac:dyDescent="0.3">
      <c r="W554" s="32"/>
    </row>
    <row r="555" spans="23:23" x14ac:dyDescent="0.3">
      <c r="W555" s="32"/>
    </row>
    <row r="556" spans="23:23" x14ac:dyDescent="0.3">
      <c r="W556" s="32"/>
    </row>
    <row r="557" spans="23:23" x14ac:dyDescent="0.3">
      <c r="W557" s="32"/>
    </row>
    <row r="558" spans="23:23" x14ac:dyDescent="0.3">
      <c r="W558" s="32"/>
    </row>
    <row r="559" spans="23:23" x14ac:dyDescent="0.3">
      <c r="W559" s="32"/>
    </row>
    <row r="560" spans="23:23" x14ac:dyDescent="0.3">
      <c r="W560" s="32"/>
    </row>
    <row r="561" spans="23:23" x14ac:dyDescent="0.3">
      <c r="W561" s="32"/>
    </row>
    <row r="562" spans="23:23" x14ac:dyDescent="0.3">
      <c r="W562" s="32"/>
    </row>
    <row r="563" spans="23:23" x14ac:dyDescent="0.3">
      <c r="W563" s="32"/>
    </row>
    <row r="564" spans="23:23" x14ac:dyDescent="0.3">
      <c r="W564" s="32"/>
    </row>
    <row r="565" spans="23:23" x14ac:dyDescent="0.3">
      <c r="W565" s="32"/>
    </row>
    <row r="566" spans="23:23" x14ac:dyDescent="0.3">
      <c r="W566" s="32"/>
    </row>
    <row r="567" spans="23:23" x14ac:dyDescent="0.3">
      <c r="W567" s="32"/>
    </row>
    <row r="568" spans="23:23" x14ac:dyDescent="0.3">
      <c r="W568" s="32"/>
    </row>
    <row r="569" spans="23:23" x14ac:dyDescent="0.3">
      <c r="W569" s="32"/>
    </row>
    <row r="570" spans="23:23" x14ac:dyDescent="0.3">
      <c r="W570" s="32"/>
    </row>
    <row r="571" spans="23:23" x14ac:dyDescent="0.3">
      <c r="W571" s="32"/>
    </row>
    <row r="572" spans="23:23" x14ac:dyDescent="0.3">
      <c r="W572" s="32"/>
    </row>
    <row r="573" spans="23:23" x14ac:dyDescent="0.3">
      <c r="W573" s="32"/>
    </row>
    <row r="574" spans="23:23" x14ac:dyDescent="0.3">
      <c r="W574" s="32"/>
    </row>
    <row r="575" spans="23:23" x14ac:dyDescent="0.3">
      <c r="W575" s="32"/>
    </row>
    <row r="576" spans="23:23" x14ac:dyDescent="0.3">
      <c r="W576" s="32"/>
    </row>
    <row r="577" spans="23:23" x14ac:dyDescent="0.3">
      <c r="W577" s="32"/>
    </row>
    <row r="578" spans="23:23" x14ac:dyDescent="0.3">
      <c r="W578" s="32"/>
    </row>
    <row r="579" spans="23:23" x14ac:dyDescent="0.3">
      <c r="W579" s="32"/>
    </row>
    <row r="580" spans="23:23" x14ac:dyDescent="0.3">
      <c r="W580" s="32"/>
    </row>
    <row r="581" spans="23:23" x14ac:dyDescent="0.3">
      <c r="W581" s="32"/>
    </row>
    <row r="582" spans="23:23" x14ac:dyDescent="0.3">
      <c r="W582" s="32"/>
    </row>
    <row r="583" spans="23:23" x14ac:dyDescent="0.3">
      <c r="W583" s="32"/>
    </row>
    <row r="584" spans="23:23" x14ac:dyDescent="0.3">
      <c r="W584" s="32"/>
    </row>
    <row r="585" spans="23:23" x14ac:dyDescent="0.3">
      <c r="W585" s="32"/>
    </row>
    <row r="586" spans="23:23" x14ac:dyDescent="0.3">
      <c r="W586" s="32"/>
    </row>
    <row r="587" spans="23:23" x14ac:dyDescent="0.3">
      <c r="W587" s="32"/>
    </row>
    <row r="588" spans="23:23" x14ac:dyDescent="0.3">
      <c r="W588" s="32"/>
    </row>
    <row r="589" spans="23:23" x14ac:dyDescent="0.3">
      <c r="W589" s="32"/>
    </row>
    <row r="590" spans="23:23" x14ac:dyDescent="0.3">
      <c r="W590" s="32"/>
    </row>
    <row r="591" spans="23:23" x14ac:dyDescent="0.3">
      <c r="W591" s="32"/>
    </row>
    <row r="592" spans="23:23" x14ac:dyDescent="0.3">
      <c r="W592" s="32"/>
    </row>
    <row r="593" spans="23:23" x14ac:dyDescent="0.3">
      <c r="W593" s="32"/>
    </row>
    <row r="594" spans="23:23" x14ac:dyDescent="0.3">
      <c r="W594" s="32"/>
    </row>
    <row r="595" spans="23:23" x14ac:dyDescent="0.3">
      <c r="W595" s="32"/>
    </row>
    <row r="596" spans="23:23" x14ac:dyDescent="0.3">
      <c r="W596" s="32"/>
    </row>
    <row r="597" spans="23:23" x14ac:dyDescent="0.3">
      <c r="W597" s="32"/>
    </row>
    <row r="598" spans="23:23" x14ac:dyDescent="0.3">
      <c r="W598" s="32"/>
    </row>
    <row r="599" spans="23:23" x14ac:dyDescent="0.3">
      <c r="W599" s="32"/>
    </row>
    <row r="600" spans="23:23" x14ac:dyDescent="0.3">
      <c r="W600" s="32"/>
    </row>
    <row r="601" spans="23:23" x14ac:dyDescent="0.3">
      <c r="W601" s="32"/>
    </row>
    <row r="602" spans="23:23" x14ac:dyDescent="0.3">
      <c r="W602" s="32"/>
    </row>
    <row r="603" spans="23:23" x14ac:dyDescent="0.3">
      <c r="W603" s="32"/>
    </row>
    <row r="604" spans="23:23" x14ac:dyDescent="0.3">
      <c r="W604" s="32"/>
    </row>
    <row r="605" spans="23:23" x14ac:dyDescent="0.3">
      <c r="W605" s="32"/>
    </row>
    <row r="606" spans="23:23" x14ac:dyDescent="0.3">
      <c r="W606" s="32"/>
    </row>
    <row r="607" spans="23:23" x14ac:dyDescent="0.3">
      <c r="W607" s="32"/>
    </row>
    <row r="608" spans="23:23" x14ac:dyDescent="0.3">
      <c r="W608" s="32"/>
    </row>
    <row r="609" spans="23:23" x14ac:dyDescent="0.3">
      <c r="W609" s="32"/>
    </row>
    <row r="610" spans="23:23" x14ac:dyDescent="0.3">
      <c r="W610" s="32"/>
    </row>
    <row r="611" spans="23:23" x14ac:dyDescent="0.3">
      <c r="W611" s="32"/>
    </row>
    <row r="612" spans="23:23" x14ac:dyDescent="0.3">
      <c r="W612" s="32"/>
    </row>
    <row r="613" spans="23:23" x14ac:dyDescent="0.3">
      <c r="W613" s="32"/>
    </row>
    <row r="614" spans="23:23" x14ac:dyDescent="0.3">
      <c r="W614" s="32"/>
    </row>
    <row r="615" spans="23:23" x14ac:dyDescent="0.3">
      <c r="W615" s="32"/>
    </row>
    <row r="616" spans="23:23" x14ac:dyDescent="0.3">
      <c r="W616" s="32"/>
    </row>
    <row r="617" spans="23:23" x14ac:dyDescent="0.3">
      <c r="W617" s="32"/>
    </row>
    <row r="618" spans="23:23" x14ac:dyDescent="0.3">
      <c r="W618" s="32"/>
    </row>
    <row r="619" spans="23:23" x14ac:dyDescent="0.3">
      <c r="W619" s="32"/>
    </row>
    <row r="620" spans="23:23" x14ac:dyDescent="0.3">
      <c r="W620" s="32"/>
    </row>
    <row r="621" spans="23:23" x14ac:dyDescent="0.3">
      <c r="W621" s="32"/>
    </row>
    <row r="622" spans="23:23" x14ac:dyDescent="0.3">
      <c r="W622" s="32"/>
    </row>
    <row r="623" spans="23:23" x14ac:dyDescent="0.3">
      <c r="W623" s="32"/>
    </row>
    <row r="624" spans="23:23" x14ac:dyDescent="0.3">
      <c r="W624" s="32"/>
    </row>
    <row r="625" spans="23:23" x14ac:dyDescent="0.3">
      <c r="W625" s="32"/>
    </row>
    <row r="626" spans="23:23" x14ac:dyDescent="0.3">
      <c r="W626" s="32"/>
    </row>
    <row r="627" spans="23:23" x14ac:dyDescent="0.3">
      <c r="W627" s="32"/>
    </row>
    <row r="628" spans="23:23" x14ac:dyDescent="0.3">
      <c r="W628" s="32"/>
    </row>
    <row r="629" spans="23:23" x14ac:dyDescent="0.3">
      <c r="W629" s="32"/>
    </row>
    <row r="630" spans="23:23" x14ac:dyDescent="0.3">
      <c r="W630" s="32"/>
    </row>
    <row r="631" spans="23:23" x14ac:dyDescent="0.3">
      <c r="W631" s="32"/>
    </row>
    <row r="632" spans="23:23" x14ac:dyDescent="0.3">
      <c r="W632" s="32"/>
    </row>
    <row r="633" spans="23:23" x14ac:dyDescent="0.3">
      <c r="W633" s="32"/>
    </row>
    <row r="634" spans="23:23" x14ac:dyDescent="0.3">
      <c r="W634" s="32"/>
    </row>
    <row r="635" spans="23:23" x14ac:dyDescent="0.3">
      <c r="W635" s="32"/>
    </row>
    <row r="636" spans="23:23" x14ac:dyDescent="0.3">
      <c r="W636" s="32"/>
    </row>
    <row r="637" spans="23:23" x14ac:dyDescent="0.3">
      <c r="W637" s="32"/>
    </row>
    <row r="638" spans="23:23" x14ac:dyDescent="0.3">
      <c r="W638" s="32"/>
    </row>
    <row r="639" spans="23:23" x14ac:dyDescent="0.3">
      <c r="W639" s="32"/>
    </row>
    <row r="640" spans="23:23" x14ac:dyDescent="0.3">
      <c r="W640" s="32"/>
    </row>
    <row r="641" spans="23:23" x14ac:dyDescent="0.3">
      <c r="W641" s="32"/>
    </row>
    <row r="642" spans="23:23" x14ac:dyDescent="0.3">
      <c r="W642" s="32"/>
    </row>
    <row r="643" spans="23:23" x14ac:dyDescent="0.3">
      <c r="W643" s="32"/>
    </row>
    <row r="644" spans="23:23" x14ac:dyDescent="0.3">
      <c r="W644" s="32"/>
    </row>
    <row r="645" spans="23:23" x14ac:dyDescent="0.3">
      <c r="W645" s="32"/>
    </row>
    <row r="646" spans="23:23" x14ac:dyDescent="0.3">
      <c r="W646" s="32"/>
    </row>
    <row r="647" spans="23:23" x14ac:dyDescent="0.3">
      <c r="W647" s="32"/>
    </row>
    <row r="648" spans="23:23" x14ac:dyDescent="0.3">
      <c r="W648" s="32"/>
    </row>
    <row r="649" spans="23:23" x14ac:dyDescent="0.3">
      <c r="W649" s="32"/>
    </row>
    <row r="650" spans="23:23" x14ac:dyDescent="0.3">
      <c r="W650" s="32"/>
    </row>
    <row r="651" spans="23:23" x14ac:dyDescent="0.3">
      <c r="W651" s="32"/>
    </row>
    <row r="652" spans="23:23" x14ac:dyDescent="0.3">
      <c r="W652" s="32"/>
    </row>
    <row r="653" spans="23:23" x14ac:dyDescent="0.3">
      <c r="W653" s="32"/>
    </row>
    <row r="654" spans="23:23" x14ac:dyDescent="0.3">
      <c r="W654" s="32"/>
    </row>
    <row r="655" spans="23:23" x14ac:dyDescent="0.3">
      <c r="W655" s="32"/>
    </row>
    <row r="656" spans="23:23" x14ac:dyDescent="0.3">
      <c r="W656" s="32"/>
    </row>
    <row r="657" spans="23:23" x14ac:dyDescent="0.3">
      <c r="W657" s="32"/>
    </row>
    <row r="658" spans="23:23" x14ac:dyDescent="0.3">
      <c r="W658" s="32"/>
    </row>
    <row r="659" spans="23:23" x14ac:dyDescent="0.3">
      <c r="W659" s="32"/>
    </row>
    <row r="660" spans="23:23" x14ac:dyDescent="0.3">
      <c r="W660" s="32"/>
    </row>
    <row r="661" spans="23:23" x14ac:dyDescent="0.3">
      <c r="W661" s="32"/>
    </row>
    <row r="662" spans="23:23" x14ac:dyDescent="0.3">
      <c r="W662" s="32"/>
    </row>
    <row r="663" spans="23:23" x14ac:dyDescent="0.3">
      <c r="W663" s="32"/>
    </row>
    <row r="664" spans="23:23" x14ac:dyDescent="0.3">
      <c r="W664" s="32"/>
    </row>
    <row r="665" spans="23:23" x14ac:dyDescent="0.3">
      <c r="W665" s="32"/>
    </row>
    <row r="666" spans="23:23" x14ac:dyDescent="0.3">
      <c r="W666" s="32"/>
    </row>
    <row r="667" spans="23:23" x14ac:dyDescent="0.3">
      <c r="W667" s="32"/>
    </row>
    <row r="668" spans="23:23" x14ac:dyDescent="0.3">
      <c r="W668" s="32"/>
    </row>
    <row r="669" spans="23:23" x14ac:dyDescent="0.3">
      <c r="W669" s="32"/>
    </row>
    <row r="670" spans="23:23" x14ac:dyDescent="0.3">
      <c r="W670" s="32"/>
    </row>
    <row r="671" spans="23:23" x14ac:dyDescent="0.3">
      <c r="W671" s="32"/>
    </row>
    <row r="672" spans="23:23" x14ac:dyDescent="0.3">
      <c r="W672" s="32"/>
    </row>
    <row r="673" spans="23:23" x14ac:dyDescent="0.3">
      <c r="W673" s="32"/>
    </row>
    <row r="674" spans="23:23" x14ac:dyDescent="0.3">
      <c r="W674" s="32"/>
    </row>
    <row r="675" spans="23:23" x14ac:dyDescent="0.3">
      <c r="W675" s="32"/>
    </row>
    <row r="676" spans="23:23" x14ac:dyDescent="0.3">
      <c r="W676" s="32"/>
    </row>
    <row r="677" spans="23:23" x14ac:dyDescent="0.3">
      <c r="W677" s="32"/>
    </row>
    <row r="678" spans="23:23" x14ac:dyDescent="0.3">
      <c r="W678" s="32"/>
    </row>
    <row r="679" spans="23:23" x14ac:dyDescent="0.3">
      <c r="W679" s="32"/>
    </row>
    <row r="680" spans="23:23" x14ac:dyDescent="0.3">
      <c r="W680" s="32"/>
    </row>
    <row r="681" spans="23:23" x14ac:dyDescent="0.3">
      <c r="W681" s="32"/>
    </row>
    <row r="682" spans="23:23" x14ac:dyDescent="0.3">
      <c r="W682" s="32"/>
    </row>
    <row r="683" spans="23:23" x14ac:dyDescent="0.3">
      <c r="W683" s="32"/>
    </row>
    <row r="684" spans="23:23" x14ac:dyDescent="0.3">
      <c r="W684" s="32"/>
    </row>
    <row r="685" spans="23:23" x14ac:dyDescent="0.3">
      <c r="W685" s="32"/>
    </row>
    <row r="686" spans="23:23" x14ac:dyDescent="0.3">
      <c r="W686" s="32"/>
    </row>
    <row r="687" spans="23:23" x14ac:dyDescent="0.3">
      <c r="W687" s="32"/>
    </row>
    <row r="688" spans="23:23" x14ac:dyDescent="0.3">
      <c r="W688" s="32"/>
    </row>
    <row r="689" spans="23:23" x14ac:dyDescent="0.3">
      <c r="W689" s="32"/>
    </row>
    <row r="690" spans="23:23" x14ac:dyDescent="0.3">
      <c r="W690" s="32"/>
    </row>
    <row r="691" spans="23:23" x14ac:dyDescent="0.3">
      <c r="W691" s="32"/>
    </row>
    <row r="692" spans="23:23" x14ac:dyDescent="0.3">
      <c r="W692" s="32"/>
    </row>
    <row r="693" spans="23:23" x14ac:dyDescent="0.3">
      <c r="W693" s="32"/>
    </row>
    <row r="694" spans="23:23" x14ac:dyDescent="0.3">
      <c r="W694" s="32"/>
    </row>
    <row r="695" spans="23:23" x14ac:dyDescent="0.3">
      <c r="W695" s="32"/>
    </row>
    <row r="696" spans="23:23" x14ac:dyDescent="0.3">
      <c r="W696" s="32"/>
    </row>
    <row r="697" spans="23:23" x14ac:dyDescent="0.3">
      <c r="W697" s="32"/>
    </row>
    <row r="698" spans="23:23" x14ac:dyDescent="0.3">
      <c r="W698" s="32"/>
    </row>
    <row r="699" spans="23:23" x14ac:dyDescent="0.3">
      <c r="W699" s="32"/>
    </row>
    <row r="700" spans="23:23" x14ac:dyDescent="0.3">
      <c r="W700" s="32"/>
    </row>
    <row r="701" spans="23:23" x14ac:dyDescent="0.3">
      <c r="W701" s="32"/>
    </row>
    <row r="702" spans="23:23" x14ac:dyDescent="0.3">
      <c r="W702" s="32"/>
    </row>
    <row r="703" spans="23:23" x14ac:dyDescent="0.3">
      <c r="W703" s="32"/>
    </row>
    <row r="704" spans="23:23" x14ac:dyDescent="0.3">
      <c r="W704" s="32"/>
    </row>
    <row r="705" spans="23:23" x14ac:dyDescent="0.3">
      <c r="W705" s="32"/>
    </row>
    <row r="706" spans="23:23" x14ac:dyDescent="0.3">
      <c r="W706" s="32"/>
    </row>
    <row r="707" spans="23:23" x14ac:dyDescent="0.3">
      <c r="W707" s="32"/>
    </row>
    <row r="708" spans="23:23" x14ac:dyDescent="0.3">
      <c r="W708" s="32"/>
    </row>
    <row r="709" spans="23:23" x14ac:dyDescent="0.3">
      <c r="W709" s="32"/>
    </row>
    <row r="710" spans="23:23" x14ac:dyDescent="0.3">
      <c r="W710" s="32"/>
    </row>
    <row r="711" spans="23:23" x14ac:dyDescent="0.3">
      <c r="W711" s="32"/>
    </row>
    <row r="712" spans="23:23" x14ac:dyDescent="0.3">
      <c r="W712" s="32"/>
    </row>
    <row r="713" spans="23:23" x14ac:dyDescent="0.3">
      <c r="W713" s="32"/>
    </row>
    <row r="714" spans="23:23" x14ac:dyDescent="0.3">
      <c r="W714" s="32"/>
    </row>
    <row r="715" spans="23:23" x14ac:dyDescent="0.3">
      <c r="W715" s="32"/>
    </row>
    <row r="716" spans="23:23" x14ac:dyDescent="0.3">
      <c r="W716" s="32"/>
    </row>
    <row r="717" spans="23:23" x14ac:dyDescent="0.3">
      <c r="W717" s="32"/>
    </row>
    <row r="718" spans="23:23" x14ac:dyDescent="0.3">
      <c r="W718" s="32"/>
    </row>
    <row r="719" spans="23:23" x14ac:dyDescent="0.3">
      <c r="W719" s="32"/>
    </row>
    <row r="720" spans="23:23" x14ac:dyDescent="0.3">
      <c r="W720" s="32"/>
    </row>
    <row r="721" spans="23:23" x14ac:dyDescent="0.3">
      <c r="W721" s="32"/>
    </row>
    <row r="722" spans="23:23" x14ac:dyDescent="0.3">
      <c r="W722" s="32"/>
    </row>
    <row r="723" spans="23:23" x14ac:dyDescent="0.3">
      <c r="W723" s="32"/>
    </row>
    <row r="724" spans="23:23" x14ac:dyDescent="0.3">
      <c r="W724" s="32"/>
    </row>
    <row r="725" spans="23:23" x14ac:dyDescent="0.3">
      <c r="W725" s="32"/>
    </row>
    <row r="726" spans="23:23" x14ac:dyDescent="0.3">
      <c r="W726" s="32"/>
    </row>
    <row r="727" spans="23:23" x14ac:dyDescent="0.3">
      <c r="W727" s="32"/>
    </row>
    <row r="728" spans="23:23" x14ac:dyDescent="0.3">
      <c r="W728" s="32"/>
    </row>
    <row r="729" spans="23:23" x14ac:dyDescent="0.3">
      <c r="W729" s="32"/>
    </row>
    <row r="730" spans="23:23" x14ac:dyDescent="0.3">
      <c r="W730" s="32"/>
    </row>
    <row r="731" spans="23:23" x14ac:dyDescent="0.3">
      <c r="W731" s="32"/>
    </row>
    <row r="732" spans="23:23" x14ac:dyDescent="0.3">
      <c r="W732" s="32"/>
    </row>
    <row r="733" spans="23:23" x14ac:dyDescent="0.3">
      <c r="W733" s="32"/>
    </row>
    <row r="734" spans="23:23" x14ac:dyDescent="0.3">
      <c r="W734" s="32"/>
    </row>
    <row r="735" spans="23:23" x14ac:dyDescent="0.3">
      <c r="W735" s="32"/>
    </row>
    <row r="736" spans="23:23" x14ac:dyDescent="0.3">
      <c r="W736" s="32"/>
    </row>
    <row r="737" spans="23:23" x14ac:dyDescent="0.3">
      <c r="W737" s="32"/>
    </row>
    <row r="738" spans="23:23" x14ac:dyDescent="0.3">
      <c r="W738" s="32"/>
    </row>
    <row r="739" spans="23:23" x14ac:dyDescent="0.3">
      <c r="W739" s="32"/>
    </row>
    <row r="740" spans="23:23" x14ac:dyDescent="0.3">
      <c r="W740" s="32"/>
    </row>
    <row r="741" spans="23:23" x14ac:dyDescent="0.3">
      <c r="W741" s="32"/>
    </row>
    <row r="742" spans="23:23" x14ac:dyDescent="0.3">
      <c r="W742" s="32"/>
    </row>
    <row r="743" spans="23:23" x14ac:dyDescent="0.3">
      <c r="W743" s="32"/>
    </row>
    <row r="744" spans="23:23" x14ac:dyDescent="0.3">
      <c r="W744" s="32"/>
    </row>
    <row r="745" spans="23:23" x14ac:dyDescent="0.3">
      <c r="W745" s="32"/>
    </row>
    <row r="746" spans="23:23" x14ac:dyDescent="0.3">
      <c r="W746" s="32"/>
    </row>
    <row r="747" spans="23:23" x14ac:dyDescent="0.3">
      <c r="W747" s="32"/>
    </row>
    <row r="748" spans="23:23" x14ac:dyDescent="0.3">
      <c r="W748" s="32"/>
    </row>
    <row r="749" spans="23:23" x14ac:dyDescent="0.3">
      <c r="W749" s="32"/>
    </row>
    <row r="750" spans="23:23" x14ac:dyDescent="0.3">
      <c r="W750" s="32"/>
    </row>
    <row r="751" spans="23:23" x14ac:dyDescent="0.3">
      <c r="W751" s="32"/>
    </row>
    <row r="752" spans="23:23" x14ac:dyDescent="0.3">
      <c r="W752" s="32"/>
    </row>
    <row r="753" spans="23:23" x14ac:dyDescent="0.3">
      <c r="W753" s="32"/>
    </row>
    <row r="754" spans="23:23" x14ac:dyDescent="0.3">
      <c r="W754" s="32"/>
    </row>
    <row r="755" spans="23:23" x14ac:dyDescent="0.3">
      <c r="W755" s="32"/>
    </row>
    <row r="756" spans="23:23" x14ac:dyDescent="0.3">
      <c r="W756" s="32"/>
    </row>
    <row r="757" spans="23:23" x14ac:dyDescent="0.3">
      <c r="W757" s="32"/>
    </row>
    <row r="758" spans="23:23" x14ac:dyDescent="0.3">
      <c r="W758" s="32"/>
    </row>
    <row r="759" spans="23:23" x14ac:dyDescent="0.3">
      <c r="W759" s="32"/>
    </row>
    <row r="760" spans="23:23" x14ac:dyDescent="0.3">
      <c r="W760" s="32"/>
    </row>
    <row r="761" spans="23:23" x14ac:dyDescent="0.3">
      <c r="W761" s="32"/>
    </row>
    <row r="762" spans="23:23" x14ac:dyDescent="0.3">
      <c r="W762" s="32"/>
    </row>
    <row r="763" spans="23:23" x14ac:dyDescent="0.3">
      <c r="W763" s="32"/>
    </row>
    <row r="764" spans="23:23" x14ac:dyDescent="0.3">
      <c r="W764" s="32"/>
    </row>
    <row r="765" spans="23:23" x14ac:dyDescent="0.3">
      <c r="W765" s="32"/>
    </row>
    <row r="766" spans="23:23" x14ac:dyDescent="0.3">
      <c r="W766" s="32"/>
    </row>
    <row r="767" spans="23:23" x14ac:dyDescent="0.3">
      <c r="W767" s="32"/>
    </row>
    <row r="768" spans="23:23" x14ac:dyDescent="0.3">
      <c r="W768" s="32"/>
    </row>
    <row r="769" spans="23:23" x14ac:dyDescent="0.3">
      <c r="W769" s="32"/>
    </row>
    <row r="770" spans="23:23" x14ac:dyDescent="0.3">
      <c r="W770" s="32"/>
    </row>
    <row r="771" spans="23:23" x14ac:dyDescent="0.3">
      <c r="W771" s="32"/>
    </row>
    <row r="772" spans="23:23" x14ac:dyDescent="0.3">
      <c r="W772" s="32"/>
    </row>
    <row r="773" spans="23:23" x14ac:dyDescent="0.3">
      <c r="W773" s="32"/>
    </row>
    <row r="774" spans="23:23" x14ac:dyDescent="0.3">
      <c r="W774" s="32"/>
    </row>
    <row r="775" spans="23:23" x14ac:dyDescent="0.3">
      <c r="W775" s="32"/>
    </row>
    <row r="776" spans="23:23" x14ac:dyDescent="0.3">
      <c r="W776" s="32"/>
    </row>
    <row r="777" spans="23:23" x14ac:dyDescent="0.3">
      <c r="W777" s="32"/>
    </row>
    <row r="778" spans="23:23" x14ac:dyDescent="0.3">
      <c r="W778" s="32"/>
    </row>
    <row r="779" spans="23:23" x14ac:dyDescent="0.3">
      <c r="W779" s="32"/>
    </row>
    <row r="780" spans="23:23" x14ac:dyDescent="0.3">
      <c r="W780" s="32"/>
    </row>
    <row r="781" spans="23:23" x14ac:dyDescent="0.3">
      <c r="W781" s="32"/>
    </row>
    <row r="782" spans="23:23" x14ac:dyDescent="0.3">
      <c r="W782" s="32"/>
    </row>
    <row r="783" spans="23:23" x14ac:dyDescent="0.3">
      <c r="W783" s="32"/>
    </row>
    <row r="784" spans="23:23" x14ac:dyDescent="0.3">
      <c r="W784" s="32"/>
    </row>
    <row r="785" spans="23:23" x14ac:dyDescent="0.3">
      <c r="W785" s="32"/>
    </row>
    <row r="786" spans="23:23" x14ac:dyDescent="0.3">
      <c r="W786" s="32"/>
    </row>
    <row r="787" spans="23:23" x14ac:dyDescent="0.3">
      <c r="W787" s="32"/>
    </row>
    <row r="788" spans="23:23" x14ac:dyDescent="0.3">
      <c r="W788" s="32"/>
    </row>
    <row r="789" spans="23:23" x14ac:dyDescent="0.3">
      <c r="W789" s="32"/>
    </row>
    <row r="790" spans="23:23" x14ac:dyDescent="0.3">
      <c r="W790" s="32"/>
    </row>
    <row r="791" spans="23:23" x14ac:dyDescent="0.3">
      <c r="W791" s="32"/>
    </row>
    <row r="792" spans="23:23" x14ac:dyDescent="0.3">
      <c r="W792" s="32"/>
    </row>
    <row r="793" spans="23:23" x14ac:dyDescent="0.3">
      <c r="W793" s="32"/>
    </row>
    <row r="794" spans="23:23" x14ac:dyDescent="0.3">
      <c r="W794" s="32"/>
    </row>
    <row r="795" spans="23:23" x14ac:dyDescent="0.3">
      <c r="W795" s="32"/>
    </row>
    <row r="796" spans="23:23" x14ac:dyDescent="0.3">
      <c r="W796" s="32"/>
    </row>
    <row r="797" spans="23:23" x14ac:dyDescent="0.3">
      <c r="W797" s="32"/>
    </row>
    <row r="798" spans="23:23" x14ac:dyDescent="0.3">
      <c r="W798" s="32"/>
    </row>
    <row r="799" spans="23:23" x14ac:dyDescent="0.3">
      <c r="W799" s="32"/>
    </row>
    <row r="800" spans="23:23" x14ac:dyDescent="0.3">
      <c r="W800" s="32"/>
    </row>
    <row r="801" spans="23:23" x14ac:dyDescent="0.3">
      <c r="W801" s="32"/>
    </row>
    <row r="802" spans="23:23" x14ac:dyDescent="0.3">
      <c r="W802" s="32"/>
    </row>
    <row r="803" spans="23:23" x14ac:dyDescent="0.3">
      <c r="W803" s="32"/>
    </row>
    <row r="804" spans="23:23" x14ac:dyDescent="0.3">
      <c r="W804" s="32"/>
    </row>
    <row r="805" spans="23:23" x14ac:dyDescent="0.3">
      <c r="W805" s="32"/>
    </row>
    <row r="806" spans="23:23" x14ac:dyDescent="0.3">
      <c r="W806" s="32"/>
    </row>
    <row r="807" spans="23:23" x14ac:dyDescent="0.3">
      <c r="W807" s="32"/>
    </row>
    <row r="808" spans="23:23" x14ac:dyDescent="0.3">
      <c r="W808" s="32"/>
    </row>
    <row r="809" spans="23:23" x14ac:dyDescent="0.3">
      <c r="W809" s="32"/>
    </row>
    <row r="810" spans="23:23" x14ac:dyDescent="0.3">
      <c r="W810" s="32"/>
    </row>
    <row r="811" spans="23:23" x14ac:dyDescent="0.3">
      <c r="W811" s="32"/>
    </row>
    <row r="812" spans="23:23" x14ac:dyDescent="0.3">
      <c r="W812" s="32"/>
    </row>
    <row r="813" spans="23:23" x14ac:dyDescent="0.3">
      <c r="W813" s="32"/>
    </row>
    <row r="814" spans="23:23" x14ac:dyDescent="0.3">
      <c r="W814" s="32"/>
    </row>
    <row r="815" spans="23:23" x14ac:dyDescent="0.3">
      <c r="W815" s="32"/>
    </row>
    <row r="816" spans="23:23" x14ac:dyDescent="0.3">
      <c r="W816" s="32"/>
    </row>
    <row r="817" spans="23:23" x14ac:dyDescent="0.3">
      <c r="W817" s="32"/>
    </row>
    <row r="818" spans="23:23" x14ac:dyDescent="0.3">
      <c r="W818" s="32"/>
    </row>
    <row r="819" spans="23:23" x14ac:dyDescent="0.3">
      <c r="W819" s="32"/>
    </row>
    <row r="820" spans="23:23" x14ac:dyDescent="0.3">
      <c r="W820" s="32"/>
    </row>
    <row r="821" spans="23:23" x14ac:dyDescent="0.3">
      <c r="W821" s="32"/>
    </row>
    <row r="822" spans="23:23" x14ac:dyDescent="0.3">
      <c r="W822" s="32"/>
    </row>
    <row r="823" spans="23:23" x14ac:dyDescent="0.3">
      <c r="W823" s="32"/>
    </row>
    <row r="824" spans="23:23" x14ac:dyDescent="0.3">
      <c r="W824" s="32"/>
    </row>
    <row r="825" spans="23:23" x14ac:dyDescent="0.3">
      <c r="W825" s="32"/>
    </row>
    <row r="826" spans="23:23" x14ac:dyDescent="0.3">
      <c r="W826" s="32"/>
    </row>
    <row r="827" spans="23:23" x14ac:dyDescent="0.3">
      <c r="W827" s="32"/>
    </row>
    <row r="828" spans="23:23" x14ac:dyDescent="0.3">
      <c r="W828" s="32"/>
    </row>
    <row r="829" spans="23:23" x14ac:dyDescent="0.3">
      <c r="W829" s="32"/>
    </row>
    <row r="830" spans="23:23" x14ac:dyDescent="0.3">
      <c r="W830" s="32"/>
    </row>
    <row r="831" spans="23:23" x14ac:dyDescent="0.3">
      <c r="W831" s="32"/>
    </row>
    <row r="832" spans="23:23" x14ac:dyDescent="0.3">
      <c r="W832" s="32"/>
    </row>
    <row r="833" spans="23:23" x14ac:dyDescent="0.3">
      <c r="W833" s="32"/>
    </row>
    <row r="834" spans="23:23" x14ac:dyDescent="0.3">
      <c r="W834" s="32"/>
    </row>
    <row r="835" spans="23:23" x14ac:dyDescent="0.3">
      <c r="W835" s="32"/>
    </row>
    <row r="836" spans="23:23" x14ac:dyDescent="0.3">
      <c r="W836" s="32"/>
    </row>
    <row r="837" spans="23:23" x14ac:dyDescent="0.3">
      <c r="W837" s="32"/>
    </row>
    <row r="838" spans="23:23" x14ac:dyDescent="0.3">
      <c r="W838" s="32"/>
    </row>
    <row r="839" spans="23:23" x14ac:dyDescent="0.3">
      <c r="W839" s="32"/>
    </row>
    <row r="840" spans="23:23" x14ac:dyDescent="0.3">
      <c r="W840" s="32"/>
    </row>
    <row r="841" spans="23:23" x14ac:dyDescent="0.3">
      <c r="W841" s="32"/>
    </row>
    <row r="842" spans="23:23" x14ac:dyDescent="0.3">
      <c r="W842" s="32"/>
    </row>
    <row r="843" spans="23:23" x14ac:dyDescent="0.3">
      <c r="W843" s="32"/>
    </row>
    <row r="844" spans="23:23" x14ac:dyDescent="0.3">
      <c r="W844" s="32"/>
    </row>
    <row r="845" spans="23:23" x14ac:dyDescent="0.3">
      <c r="W845" s="32"/>
    </row>
    <row r="846" spans="23:23" x14ac:dyDescent="0.3">
      <c r="W846" s="32"/>
    </row>
    <row r="847" spans="23:23" x14ac:dyDescent="0.3">
      <c r="W847" s="32"/>
    </row>
    <row r="848" spans="23:23" x14ac:dyDescent="0.3">
      <c r="W848" s="32"/>
    </row>
    <row r="849" spans="23:23" x14ac:dyDescent="0.3">
      <c r="W849" s="32"/>
    </row>
    <row r="850" spans="23:23" x14ac:dyDescent="0.3">
      <c r="W850" s="32"/>
    </row>
    <row r="851" spans="23:23" x14ac:dyDescent="0.3">
      <c r="W851" s="32"/>
    </row>
    <row r="852" spans="23:23" x14ac:dyDescent="0.3">
      <c r="W852" s="32"/>
    </row>
    <row r="853" spans="23:23" x14ac:dyDescent="0.3">
      <c r="W853" s="32"/>
    </row>
    <row r="854" spans="23:23" x14ac:dyDescent="0.3">
      <c r="W854" s="32"/>
    </row>
    <row r="855" spans="23:23" x14ac:dyDescent="0.3">
      <c r="W855" s="32"/>
    </row>
    <row r="856" spans="23:23" x14ac:dyDescent="0.3">
      <c r="W856" s="32"/>
    </row>
    <row r="857" spans="23:23" x14ac:dyDescent="0.3">
      <c r="W857" s="32"/>
    </row>
    <row r="858" spans="23:23" x14ac:dyDescent="0.3">
      <c r="W858" s="32"/>
    </row>
    <row r="859" spans="23:23" x14ac:dyDescent="0.3">
      <c r="W859" s="32"/>
    </row>
    <row r="860" spans="23:23" x14ac:dyDescent="0.3">
      <c r="W860" s="32"/>
    </row>
    <row r="861" spans="23:23" x14ac:dyDescent="0.3">
      <c r="W861" s="32"/>
    </row>
    <row r="862" spans="23:23" x14ac:dyDescent="0.3">
      <c r="W862" s="32"/>
    </row>
    <row r="863" spans="23:23" x14ac:dyDescent="0.3">
      <c r="W863" s="32"/>
    </row>
    <row r="864" spans="23:23" x14ac:dyDescent="0.3">
      <c r="W864" s="32"/>
    </row>
    <row r="865" spans="23:23" x14ac:dyDescent="0.3">
      <c r="W865" s="32"/>
    </row>
    <row r="866" spans="23:23" x14ac:dyDescent="0.3">
      <c r="W866" s="32"/>
    </row>
    <row r="867" spans="23:23" x14ac:dyDescent="0.3">
      <c r="W867" s="32"/>
    </row>
    <row r="868" spans="23:23" x14ac:dyDescent="0.3">
      <c r="W868" s="32"/>
    </row>
    <row r="869" spans="23:23" x14ac:dyDescent="0.3">
      <c r="W869" s="32"/>
    </row>
    <row r="870" spans="23:23" x14ac:dyDescent="0.3">
      <c r="W870" s="32"/>
    </row>
    <row r="871" spans="23:23" x14ac:dyDescent="0.3">
      <c r="W871" s="32"/>
    </row>
    <row r="872" spans="23:23" x14ac:dyDescent="0.3">
      <c r="W872" s="32"/>
    </row>
    <row r="873" spans="23:23" x14ac:dyDescent="0.3">
      <c r="W873" s="32"/>
    </row>
    <row r="874" spans="23:23" x14ac:dyDescent="0.3">
      <c r="W874" s="32"/>
    </row>
    <row r="875" spans="23:23" x14ac:dyDescent="0.3">
      <c r="W875" s="32"/>
    </row>
    <row r="876" spans="23:23" x14ac:dyDescent="0.3">
      <c r="W876" s="32"/>
    </row>
    <row r="877" spans="23:23" x14ac:dyDescent="0.3">
      <c r="W877" s="32"/>
    </row>
    <row r="878" spans="23:23" x14ac:dyDescent="0.3">
      <c r="W878" s="32"/>
    </row>
    <row r="879" spans="23:23" x14ac:dyDescent="0.3">
      <c r="W879" s="32"/>
    </row>
    <row r="880" spans="23:23" x14ac:dyDescent="0.3">
      <c r="W880" s="32"/>
    </row>
    <row r="881" spans="23:23" x14ac:dyDescent="0.3">
      <c r="W881" s="32"/>
    </row>
    <row r="882" spans="23:23" x14ac:dyDescent="0.3">
      <c r="W882" s="32"/>
    </row>
    <row r="883" spans="23:23" x14ac:dyDescent="0.3">
      <c r="W883" s="32"/>
    </row>
    <row r="884" spans="23:23" x14ac:dyDescent="0.3">
      <c r="W884" s="32"/>
    </row>
    <row r="885" spans="23:23" x14ac:dyDescent="0.3">
      <c r="W885" s="32"/>
    </row>
    <row r="886" spans="23:23" x14ac:dyDescent="0.3">
      <c r="W886" s="32"/>
    </row>
    <row r="887" spans="23:23" x14ac:dyDescent="0.3">
      <c r="W887" s="32"/>
    </row>
    <row r="888" spans="23:23" x14ac:dyDescent="0.3">
      <c r="W888" s="32"/>
    </row>
    <row r="889" spans="23:23" x14ac:dyDescent="0.3">
      <c r="W889" s="32"/>
    </row>
    <row r="890" spans="23:23" x14ac:dyDescent="0.3">
      <c r="W890" s="32"/>
    </row>
    <row r="891" spans="23:23" x14ac:dyDescent="0.3">
      <c r="W891" s="32"/>
    </row>
    <row r="892" spans="23:23" x14ac:dyDescent="0.3">
      <c r="W892" s="32"/>
    </row>
    <row r="893" spans="23:23" x14ac:dyDescent="0.3">
      <c r="W893" s="32"/>
    </row>
    <row r="894" spans="23:23" x14ac:dyDescent="0.3">
      <c r="W894" s="32"/>
    </row>
    <row r="895" spans="23:23" x14ac:dyDescent="0.3">
      <c r="W895" s="32"/>
    </row>
    <row r="896" spans="23:23" x14ac:dyDescent="0.3">
      <c r="W896" s="32"/>
    </row>
    <row r="897" spans="23:23" x14ac:dyDescent="0.3">
      <c r="W897" s="32"/>
    </row>
    <row r="898" spans="23:23" x14ac:dyDescent="0.3">
      <c r="W898" s="32"/>
    </row>
    <row r="899" spans="23:23" x14ac:dyDescent="0.3">
      <c r="W899" s="32"/>
    </row>
    <row r="900" spans="23:23" x14ac:dyDescent="0.3">
      <c r="W900" s="32"/>
    </row>
    <row r="901" spans="23:23" x14ac:dyDescent="0.3">
      <c r="W901" s="32"/>
    </row>
    <row r="902" spans="23:23" x14ac:dyDescent="0.3">
      <c r="W902" s="32"/>
    </row>
    <row r="903" spans="23:23" x14ac:dyDescent="0.3">
      <c r="W903" s="32"/>
    </row>
    <row r="904" spans="23:23" x14ac:dyDescent="0.3">
      <c r="W904" s="32"/>
    </row>
    <row r="905" spans="23:23" x14ac:dyDescent="0.3">
      <c r="W905" s="32"/>
    </row>
    <row r="906" spans="23:23" x14ac:dyDescent="0.3">
      <c r="W906" s="32"/>
    </row>
    <row r="907" spans="23:23" x14ac:dyDescent="0.3">
      <c r="W907" s="32"/>
    </row>
    <row r="908" spans="23:23" x14ac:dyDescent="0.3">
      <c r="W908" s="32"/>
    </row>
    <row r="909" spans="23:23" x14ac:dyDescent="0.3">
      <c r="W909" s="32"/>
    </row>
    <row r="910" spans="23:23" x14ac:dyDescent="0.3">
      <c r="W910" s="32"/>
    </row>
    <row r="911" spans="23:23" x14ac:dyDescent="0.3">
      <c r="W911" s="32"/>
    </row>
    <row r="912" spans="23:23" x14ac:dyDescent="0.3">
      <c r="W912" s="32"/>
    </row>
    <row r="913" spans="23:23" x14ac:dyDescent="0.3">
      <c r="W913" s="32"/>
    </row>
    <row r="914" spans="23:23" x14ac:dyDescent="0.3">
      <c r="W914" s="32"/>
    </row>
    <row r="915" spans="23:23" x14ac:dyDescent="0.3">
      <c r="W915" s="32"/>
    </row>
    <row r="916" spans="23:23" x14ac:dyDescent="0.3">
      <c r="W916" s="32"/>
    </row>
    <row r="917" spans="23:23" x14ac:dyDescent="0.3">
      <c r="W917" s="32"/>
    </row>
    <row r="918" spans="23:23" x14ac:dyDescent="0.3">
      <c r="W918" s="32"/>
    </row>
    <row r="919" spans="23:23" x14ac:dyDescent="0.3">
      <c r="W919" s="32"/>
    </row>
    <row r="920" spans="23:23" x14ac:dyDescent="0.3">
      <c r="W920" s="32"/>
    </row>
    <row r="921" spans="23:23" x14ac:dyDescent="0.3">
      <c r="W921" s="32"/>
    </row>
    <row r="922" spans="23:23" x14ac:dyDescent="0.3">
      <c r="W922" s="32"/>
    </row>
    <row r="923" spans="23:23" x14ac:dyDescent="0.3">
      <c r="W923" s="32"/>
    </row>
    <row r="924" spans="23:23" x14ac:dyDescent="0.3">
      <c r="W924" s="32"/>
    </row>
    <row r="925" spans="23:23" x14ac:dyDescent="0.3">
      <c r="W925" s="32"/>
    </row>
    <row r="926" spans="23:23" x14ac:dyDescent="0.3">
      <c r="W926" s="32"/>
    </row>
    <row r="927" spans="23:23" x14ac:dyDescent="0.3">
      <c r="W927" s="32"/>
    </row>
    <row r="928" spans="23:23" x14ac:dyDescent="0.3">
      <c r="W928" s="32"/>
    </row>
    <row r="929" spans="23:23" x14ac:dyDescent="0.3">
      <c r="W929" s="32"/>
    </row>
    <row r="930" spans="23:23" x14ac:dyDescent="0.3">
      <c r="W930" s="32"/>
    </row>
    <row r="931" spans="23:23" x14ac:dyDescent="0.3">
      <c r="W931" s="32"/>
    </row>
    <row r="932" spans="23:23" x14ac:dyDescent="0.3">
      <c r="W932" s="32"/>
    </row>
    <row r="933" spans="23:23" x14ac:dyDescent="0.3">
      <c r="W933" s="32"/>
    </row>
    <row r="934" spans="23:23" x14ac:dyDescent="0.3">
      <c r="W934" s="32"/>
    </row>
    <row r="935" spans="23:23" x14ac:dyDescent="0.3">
      <c r="W935" s="32"/>
    </row>
    <row r="936" spans="23:23" x14ac:dyDescent="0.3">
      <c r="W936" s="32"/>
    </row>
    <row r="937" spans="23:23" x14ac:dyDescent="0.3">
      <c r="W937" s="32"/>
    </row>
    <row r="938" spans="23:23" x14ac:dyDescent="0.3">
      <c r="W938" s="32"/>
    </row>
    <row r="939" spans="23:23" x14ac:dyDescent="0.3">
      <c r="W939" s="32"/>
    </row>
    <row r="940" spans="23:23" x14ac:dyDescent="0.3">
      <c r="W940" s="32"/>
    </row>
    <row r="941" spans="23:23" x14ac:dyDescent="0.3">
      <c r="W941" s="32"/>
    </row>
    <row r="942" spans="23:23" x14ac:dyDescent="0.3">
      <c r="W942" s="32"/>
    </row>
    <row r="943" spans="23:23" x14ac:dyDescent="0.3">
      <c r="W943" s="32"/>
    </row>
    <row r="944" spans="23:23" x14ac:dyDescent="0.3">
      <c r="W944" s="32"/>
    </row>
    <row r="945" spans="23:23" x14ac:dyDescent="0.3">
      <c r="W945" s="32"/>
    </row>
    <row r="946" spans="23:23" x14ac:dyDescent="0.3">
      <c r="W946" s="32"/>
    </row>
    <row r="947" spans="23:23" x14ac:dyDescent="0.3">
      <c r="W947" s="32"/>
    </row>
    <row r="948" spans="23:23" x14ac:dyDescent="0.3">
      <c r="W948" s="32"/>
    </row>
    <row r="949" spans="23:23" x14ac:dyDescent="0.3">
      <c r="W949" s="32"/>
    </row>
    <row r="950" spans="23:23" x14ac:dyDescent="0.3">
      <c r="W950" s="32"/>
    </row>
    <row r="951" spans="23:23" x14ac:dyDescent="0.3">
      <c r="W951" s="32"/>
    </row>
    <row r="952" spans="23:23" x14ac:dyDescent="0.3">
      <c r="W952" s="32"/>
    </row>
    <row r="953" spans="23:23" x14ac:dyDescent="0.3">
      <c r="W953" s="32"/>
    </row>
    <row r="954" spans="23:23" x14ac:dyDescent="0.3">
      <c r="W954" s="32"/>
    </row>
    <row r="955" spans="23:23" x14ac:dyDescent="0.3">
      <c r="W955" s="32"/>
    </row>
    <row r="956" spans="23:23" x14ac:dyDescent="0.3">
      <c r="W956" s="32"/>
    </row>
    <row r="957" spans="23:23" x14ac:dyDescent="0.3">
      <c r="W957" s="32"/>
    </row>
    <row r="958" spans="23:23" x14ac:dyDescent="0.3">
      <c r="W958" s="32"/>
    </row>
    <row r="959" spans="23:23" x14ac:dyDescent="0.3">
      <c r="W959" s="32"/>
    </row>
    <row r="960" spans="23:23" x14ac:dyDescent="0.3">
      <c r="W960" s="32"/>
    </row>
    <row r="961" spans="23:23" x14ac:dyDescent="0.3">
      <c r="W961" s="32"/>
    </row>
    <row r="962" spans="23:23" x14ac:dyDescent="0.3">
      <c r="W962" s="32"/>
    </row>
    <row r="963" spans="23:23" x14ac:dyDescent="0.3">
      <c r="W963" s="32"/>
    </row>
    <row r="964" spans="23:23" x14ac:dyDescent="0.3">
      <c r="W964" s="32"/>
    </row>
    <row r="965" spans="23:23" x14ac:dyDescent="0.3">
      <c r="W965" s="32"/>
    </row>
    <row r="966" spans="23:23" x14ac:dyDescent="0.3">
      <c r="W966" s="32"/>
    </row>
    <row r="967" spans="23:23" x14ac:dyDescent="0.3">
      <c r="W967" s="32"/>
    </row>
    <row r="968" spans="23:23" x14ac:dyDescent="0.3">
      <c r="W968" s="32"/>
    </row>
    <row r="969" spans="23:23" x14ac:dyDescent="0.3">
      <c r="W969" s="32"/>
    </row>
    <row r="970" spans="23:23" x14ac:dyDescent="0.3">
      <c r="W970" s="32"/>
    </row>
    <row r="971" spans="23:23" x14ac:dyDescent="0.3">
      <c r="W971" s="32"/>
    </row>
    <row r="972" spans="23:23" x14ac:dyDescent="0.3">
      <c r="W972" s="32"/>
    </row>
    <row r="973" spans="23:23" x14ac:dyDescent="0.3">
      <c r="W973" s="32"/>
    </row>
    <row r="974" spans="23:23" x14ac:dyDescent="0.3">
      <c r="W974" s="32"/>
    </row>
    <row r="975" spans="23:23" x14ac:dyDescent="0.3">
      <c r="W975" s="32"/>
    </row>
    <row r="976" spans="23:23" x14ac:dyDescent="0.3">
      <c r="W976" s="32"/>
    </row>
    <row r="977" spans="23:23" x14ac:dyDescent="0.3">
      <c r="W977" s="32"/>
    </row>
    <row r="978" spans="23:23" x14ac:dyDescent="0.3">
      <c r="W978" s="32"/>
    </row>
    <row r="979" spans="23:23" x14ac:dyDescent="0.3">
      <c r="W979" s="32"/>
    </row>
    <row r="980" spans="23:23" x14ac:dyDescent="0.3">
      <c r="W980" s="32"/>
    </row>
    <row r="981" spans="23:23" x14ac:dyDescent="0.3">
      <c r="W981" s="32"/>
    </row>
    <row r="982" spans="23:23" x14ac:dyDescent="0.3">
      <c r="W982" s="32"/>
    </row>
    <row r="983" spans="23:23" x14ac:dyDescent="0.3">
      <c r="W983" s="32"/>
    </row>
    <row r="984" spans="23:23" x14ac:dyDescent="0.3">
      <c r="W984" s="32"/>
    </row>
    <row r="985" spans="23:23" x14ac:dyDescent="0.3">
      <c r="W985" s="32"/>
    </row>
    <row r="986" spans="23:23" x14ac:dyDescent="0.3">
      <c r="W986" s="32"/>
    </row>
    <row r="987" spans="23:23" x14ac:dyDescent="0.3">
      <c r="W987" s="32"/>
    </row>
    <row r="988" spans="23:23" x14ac:dyDescent="0.3">
      <c r="W988" s="32"/>
    </row>
    <row r="989" spans="23:23" x14ac:dyDescent="0.3">
      <c r="W989" s="32"/>
    </row>
    <row r="990" spans="23:23" x14ac:dyDescent="0.3">
      <c r="W990" s="32"/>
    </row>
    <row r="991" spans="23:23" x14ac:dyDescent="0.3">
      <c r="W991" s="32"/>
    </row>
    <row r="992" spans="23:23" x14ac:dyDescent="0.3">
      <c r="W992" s="32"/>
    </row>
    <row r="993" spans="23:23" x14ac:dyDescent="0.3">
      <c r="W993" s="32"/>
    </row>
    <row r="994" spans="23:23" x14ac:dyDescent="0.3">
      <c r="W994" s="32"/>
    </row>
    <row r="995" spans="23:23" x14ac:dyDescent="0.3">
      <c r="W995" s="32"/>
    </row>
    <row r="996" spans="23:23" x14ac:dyDescent="0.3">
      <c r="W996" s="32"/>
    </row>
    <row r="997" spans="23:23" x14ac:dyDescent="0.3">
      <c r="W997" s="32"/>
    </row>
    <row r="998" spans="23:23" x14ac:dyDescent="0.3">
      <c r="W998" s="32"/>
    </row>
    <row r="999" spans="23:23" x14ac:dyDescent="0.3">
      <c r="W999" s="32"/>
    </row>
    <row r="1000" spans="23:23" x14ac:dyDescent="0.3">
      <c r="W1000" s="32"/>
    </row>
    <row r="1001" spans="23:23" x14ac:dyDescent="0.3">
      <c r="W1001" s="32"/>
    </row>
    <row r="1002" spans="23:23" x14ac:dyDescent="0.3">
      <c r="W1002" s="32"/>
    </row>
    <row r="1003" spans="23:23" x14ac:dyDescent="0.3">
      <c r="W1003" s="32"/>
    </row>
    <row r="1004" spans="23:23" x14ac:dyDescent="0.3">
      <c r="W1004" s="32"/>
    </row>
    <row r="1005" spans="23:23" x14ac:dyDescent="0.3">
      <c r="W1005" s="32"/>
    </row>
    <row r="1006" spans="23:23" x14ac:dyDescent="0.3">
      <c r="W1006" s="32"/>
    </row>
    <row r="1007" spans="23:23" x14ac:dyDescent="0.3">
      <c r="W1007" s="32"/>
    </row>
    <row r="1008" spans="23:23" x14ac:dyDescent="0.3">
      <c r="W1008" s="32"/>
    </row>
    <row r="1009" spans="23:23" x14ac:dyDescent="0.3">
      <c r="W1009" s="32"/>
    </row>
    <row r="1010" spans="23:23" x14ac:dyDescent="0.3">
      <c r="W1010" s="32"/>
    </row>
    <row r="1011" spans="23:23" x14ac:dyDescent="0.3">
      <c r="W1011" s="32"/>
    </row>
    <row r="1012" spans="23:23" x14ac:dyDescent="0.3">
      <c r="W1012" s="32"/>
    </row>
    <row r="1013" spans="23:23" x14ac:dyDescent="0.3">
      <c r="W1013" s="32"/>
    </row>
    <row r="1014" spans="23:23" x14ac:dyDescent="0.3">
      <c r="W1014" s="32"/>
    </row>
    <row r="1015" spans="23:23" x14ac:dyDescent="0.3">
      <c r="W1015" s="32"/>
    </row>
    <row r="1016" spans="23:23" x14ac:dyDescent="0.3">
      <c r="W1016" s="32"/>
    </row>
    <row r="1017" spans="23:23" x14ac:dyDescent="0.3">
      <c r="W1017" s="32"/>
    </row>
    <row r="1018" spans="23:23" x14ac:dyDescent="0.3">
      <c r="W1018" s="32"/>
    </row>
    <row r="1019" spans="23:23" x14ac:dyDescent="0.3">
      <c r="W1019" s="32"/>
    </row>
    <row r="1020" spans="23:23" x14ac:dyDescent="0.3">
      <c r="W1020" s="32"/>
    </row>
    <row r="1021" spans="23:23" x14ac:dyDescent="0.3">
      <c r="W1021" s="32"/>
    </row>
    <row r="1022" spans="23:23" x14ac:dyDescent="0.3">
      <c r="W1022" s="32"/>
    </row>
    <row r="1023" spans="23:23" x14ac:dyDescent="0.3">
      <c r="W1023" s="32"/>
    </row>
    <row r="1024" spans="23:23" x14ac:dyDescent="0.3">
      <c r="W1024" s="32"/>
    </row>
    <row r="1025" spans="23:23" x14ac:dyDescent="0.3">
      <c r="W1025" s="32"/>
    </row>
    <row r="1026" spans="23:23" x14ac:dyDescent="0.3">
      <c r="W1026" s="32"/>
    </row>
    <row r="1027" spans="23:23" x14ac:dyDescent="0.3">
      <c r="W1027" s="32"/>
    </row>
    <row r="1028" spans="23:23" x14ac:dyDescent="0.3">
      <c r="W1028" s="32"/>
    </row>
    <row r="1029" spans="23:23" x14ac:dyDescent="0.3">
      <c r="W1029" s="32"/>
    </row>
    <row r="1030" spans="23:23" x14ac:dyDescent="0.3">
      <c r="W1030" s="32"/>
    </row>
    <row r="1031" spans="23:23" x14ac:dyDescent="0.3">
      <c r="W1031" s="32"/>
    </row>
    <row r="1032" spans="23:23" x14ac:dyDescent="0.3">
      <c r="W1032" s="32"/>
    </row>
    <row r="1033" spans="23:23" x14ac:dyDescent="0.3">
      <c r="W1033" s="32"/>
    </row>
    <row r="1034" spans="23:23" x14ac:dyDescent="0.3">
      <c r="W1034" s="32"/>
    </row>
    <row r="1035" spans="23:23" x14ac:dyDescent="0.3">
      <c r="W1035" s="32"/>
    </row>
    <row r="1036" spans="23:23" x14ac:dyDescent="0.3">
      <c r="W1036" s="32"/>
    </row>
    <row r="1037" spans="23:23" x14ac:dyDescent="0.3">
      <c r="W1037" s="32"/>
    </row>
    <row r="1038" spans="23:23" x14ac:dyDescent="0.3">
      <c r="W1038" s="32"/>
    </row>
    <row r="1039" spans="23:23" x14ac:dyDescent="0.3">
      <c r="W1039" s="32"/>
    </row>
    <row r="1040" spans="23:23" x14ac:dyDescent="0.3">
      <c r="W1040" s="32"/>
    </row>
    <row r="1041" spans="23:23" x14ac:dyDescent="0.3">
      <c r="W1041" s="32"/>
    </row>
    <row r="1042" spans="23:23" x14ac:dyDescent="0.3">
      <c r="W1042" s="32"/>
    </row>
    <row r="1043" spans="23:23" x14ac:dyDescent="0.3">
      <c r="W1043" s="32"/>
    </row>
    <row r="1044" spans="23:23" x14ac:dyDescent="0.3">
      <c r="W1044" s="32"/>
    </row>
    <row r="1045" spans="23:23" x14ac:dyDescent="0.3">
      <c r="W1045" s="32"/>
    </row>
    <row r="1046" spans="23:23" x14ac:dyDescent="0.3">
      <c r="W1046" s="32"/>
    </row>
    <row r="1047" spans="23:23" x14ac:dyDescent="0.3">
      <c r="W1047" s="32"/>
    </row>
    <row r="1048" spans="23:23" x14ac:dyDescent="0.3">
      <c r="W1048" s="32"/>
    </row>
    <row r="1049" spans="23:23" x14ac:dyDescent="0.3">
      <c r="W1049" s="32"/>
    </row>
    <row r="1050" spans="23:23" x14ac:dyDescent="0.3">
      <c r="W1050" s="32"/>
    </row>
    <row r="1051" spans="23:23" x14ac:dyDescent="0.3">
      <c r="W1051" s="32"/>
    </row>
    <row r="1052" spans="23:23" x14ac:dyDescent="0.3">
      <c r="W1052" s="32"/>
    </row>
    <row r="1053" spans="23:23" x14ac:dyDescent="0.3">
      <c r="W1053" s="32"/>
    </row>
    <row r="1054" spans="23:23" x14ac:dyDescent="0.3">
      <c r="W1054" s="32"/>
    </row>
    <row r="1055" spans="23:23" x14ac:dyDescent="0.3">
      <c r="W1055" s="32"/>
    </row>
    <row r="1056" spans="23:23" x14ac:dyDescent="0.3">
      <c r="W1056" s="32"/>
    </row>
    <row r="1057" spans="23:23" x14ac:dyDescent="0.3">
      <c r="W1057" s="32"/>
    </row>
    <row r="1058" spans="23:23" x14ac:dyDescent="0.3">
      <c r="W1058" s="32"/>
    </row>
    <row r="1059" spans="23:23" x14ac:dyDescent="0.3">
      <c r="W1059" s="32"/>
    </row>
    <row r="1060" spans="23:23" x14ac:dyDescent="0.3">
      <c r="W1060" s="32"/>
    </row>
    <row r="1061" spans="23:23" x14ac:dyDescent="0.3">
      <c r="W1061" s="32"/>
    </row>
    <row r="1062" spans="23:23" x14ac:dyDescent="0.3">
      <c r="W1062" s="32"/>
    </row>
    <row r="1063" spans="23:23" x14ac:dyDescent="0.3">
      <c r="W1063" s="32"/>
    </row>
    <row r="1064" spans="23:23" x14ac:dyDescent="0.3">
      <c r="W1064" s="32"/>
    </row>
    <row r="1065" spans="23:23" x14ac:dyDescent="0.3">
      <c r="W1065" s="32"/>
    </row>
    <row r="1066" spans="23:23" x14ac:dyDescent="0.3">
      <c r="W1066" s="32"/>
    </row>
    <row r="1067" spans="23:23" x14ac:dyDescent="0.3">
      <c r="W1067" s="32"/>
    </row>
    <row r="1068" spans="23:23" x14ac:dyDescent="0.3">
      <c r="W1068" s="32"/>
    </row>
    <row r="1069" spans="23:23" x14ac:dyDescent="0.3">
      <c r="W1069" s="32"/>
    </row>
    <row r="1070" spans="23:23" x14ac:dyDescent="0.3">
      <c r="W1070" s="32"/>
    </row>
    <row r="1071" spans="23:23" x14ac:dyDescent="0.3">
      <c r="W1071" s="32"/>
    </row>
    <row r="1072" spans="23:23" x14ac:dyDescent="0.3">
      <c r="W1072" s="32"/>
    </row>
    <row r="1073" spans="23:23" x14ac:dyDescent="0.3">
      <c r="W1073" s="32"/>
    </row>
    <row r="1074" spans="23:23" x14ac:dyDescent="0.3">
      <c r="W1074" s="32"/>
    </row>
    <row r="1075" spans="23:23" x14ac:dyDescent="0.3">
      <c r="W1075" s="32"/>
    </row>
    <row r="1076" spans="23:23" x14ac:dyDescent="0.3">
      <c r="W1076" s="32"/>
    </row>
    <row r="1077" spans="23:23" x14ac:dyDescent="0.3">
      <c r="W1077" s="32"/>
    </row>
    <row r="1078" spans="23:23" x14ac:dyDescent="0.3">
      <c r="W1078" s="32"/>
    </row>
    <row r="1079" spans="23:23" x14ac:dyDescent="0.3">
      <c r="W1079" s="32"/>
    </row>
    <row r="1080" spans="23:23" x14ac:dyDescent="0.3">
      <c r="W1080" s="32"/>
    </row>
    <row r="1081" spans="23:23" x14ac:dyDescent="0.3">
      <c r="W1081" s="32"/>
    </row>
    <row r="1082" spans="23:23" x14ac:dyDescent="0.3">
      <c r="W1082" s="32"/>
    </row>
    <row r="1083" spans="23:23" x14ac:dyDescent="0.3">
      <c r="W1083" s="32"/>
    </row>
    <row r="1084" spans="23:23" x14ac:dyDescent="0.3">
      <c r="W1084" s="32"/>
    </row>
    <row r="1085" spans="23:23" x14ac:dyDescent="0.3">
      <c r="W1085" s="32"/>
    </row>
    <row r="1086" spans="23:23" x14ac:dyDescent="0.3">
      <c r="W1086" s="32"/>
    </row>
    <row r="1087" spans="23:23" x14ac:dyDescent="0.3">
      <c r="W1087" s="32"/>
    </row>
    <row r="1088" spans="23:23" x14ac:dyDescent="0.3">
      <c r="W1088" s="32"/>
    </row>
    <row r="1089" spans="23:23" x14ac:dyDescent="0.3">
      <c r="W1089" s="32"/>
    </row>
    <row r="1090" spans="23:23" x14ac:dyDescent="0.3">
      <c r="W1090" s="32"/>
    </row>
    <row r="1091" spans="23:23" x14ac:dyDescent="0.3">
      <c r="W1091" s="32"/>
    </row>
    <row r="1092" spans="23:23" x14ac:dyDescent="0.3">
      <c r="W1092" s="32"/>
    </row>
    <row r="1093" spans="23:23" x14ac:dyDescent="0.3">
      <c r="W1093" s="32"/>
    </row>
    <row r="1094" spans="23:23" x14ac:dyDescent="0.3">
      <c r="W1094" s="32"/>
    </row>
    <row r="1095" spans="23:23" x14ac:dyDescent="0.3">
      <c r="W1095" s="32"/>
    </row>
    <row r="1096" spans="23:23" x14ac:dyDescent="0.3">
      <c r="W1096" s="32"/>
    </row>
    <row r="1097" spans="23:23" x14ac:dyDescent="0.3">
      <c r="W1097" s="32"/>
    </row>
    <row r="1098" spans="23:23" x14ac:dyDescent="0.3">
      <c r="W1098" s="32"/>
    </row>
    <row r="1099" spans="23:23" x14ac:dyDescent="0.3">
      <c r="W1099" s="32"/>
    </row>
    <row r="1100" spans="23:23" x14ac:dyDescent="0.3">
      <c r="W1100" s="32"/>
    </row>
    <row r="1101" spans="23:23" x14ac:dyDescent="0.3">
      <c r="W1101" s="32"/>
    </row>
    <row r="1102" spans="23:23" x14ac:dyDescent="0.3">
      <c r="W1102" s="32"/>
    </row>
    <row r="1103" spans="23:23" x14ac:dyDescent="0.3">
      <c r="W1103" s="32"/>
    </row>
    <row r="1104" spans="23:23" x14ac:dyDescent="0.3">
      <c r="W1104" s="32"/>
    </row>
    <row r="1105" spans="23:23" x14ac:dyDescent="0.3">
      <c r="W1105" s="32"/>
    </row>
    <row r="1106" spans="23:23" x14ac:dyDescent="0.3">
      <c r="W1106" s="32"/>
    </row>
    <row r="1107" spans="23:23" x14ac:dyDescent="0.3">
      <c r="W1107" s="32"/>
    </row>
    <row r="1108" spans="23:23" x14ac:dyDescent="0.3">
      <c r="W1108" s="32"/>
    </row>
    <row r="1109" spans="23:23" x14ac:dyDescent="0.3">
      <c r="W1109" s="32"/>
    </row>
    <row r="1110" spans="23:23" x14ac:dyDescent="0.3">
      <c r="W1110" s="32"/>
    </row>
    <row r="1111" spans="23:23" x14ac:dyDescent="0.3">
      <c r="W1111" s="32"/>
    </row>
    <row r="1112" spans="23:23" x14ac:dyDescent="0.3">
      <c r="W1112" s="32"/>
    </row>
    <row r="1113" spans="23:23" x14ac:dyDescent="0.3">
      <c r="W1113" s="32"/>
    </row>
    <row r="1114" spans="23:23" x14ac:dyDescent="0.3">
      <c r="W1114" s="32"/>
    </row>
    <row r="1115" spans="23:23" x14ac:dyDescent="0.3">
      <c r="W1115" s="32"/>
    </row>
    <row r="1116" spans="23:23" x14ac:dyDescent="0.3">
      <c r="W1116" s="32"/>
    </row>
    <row r="1117" spans="23:23" x14ac:dyDescent="0.3">
      <c r="W1117" s="32"/>
    </row>
    <row r="1118" spans="23:23" x14ac:dyDescent="0.3">
      <c r="W1118" s="32"/>
    </row>
    <row r="1119" spans="23:23" x14ac:dyDescent="0.3">
      <c r="W1119" s="32"/>
    </row>
    <row r="1120" spans="23:23" x14ac:dyDescent="0.3">
      <c r="W1120" s="32"/>
    </row>
    <row r="1121" spans="23:23" x14ac:dyDescent="0.3">
      <c r="W1121" s="32"/>
    </row>
    <row r="1122" spans="23:23" x14ac:dyDescent="0.3">
      <c r="W1122" s="32"/>
    </row>
    <row r="1123" spans="23:23" x14ac:dyDescent="0.3">
      <c r="W1123" s="32"/>
    </row>
    <row r="1124" spans="23:23" x14ac:dyDescent="0.3">
      <c r="W1124" s="32"/>
    </row>
    <row r="1125" spans="23:23" x14ac:dyDescent="0.3">
      <c r="W1125" s="32"/>
    </row>
    <row r="1126" spans="23:23" x14ac:dyDescent="0.3">
      <c r="W1126" s="32"/>
    </row>
    <row r="1127" spans="23:23" x14ac:dyDescent="0.3">
      <c r="W1127" s="32"/>
    </row>
    <row r="1128" spans="23:23" x14ac:dyDescent="0.3">
      <c r="W1128" s="32"/>
    </row>
    <row r="1129" spans="23:23" x14ac:dyDescent="0.3">
      <c r="W1129" s="32"/>
    </row>
    <row r="1130" spans="23:23" x14ac:dyDescent="0.3">
      <c r="W1130" s="32"/>
    </row>
    <row r="1131" spans="23:23" x14ac:dyDescent="0.3">
      <c r="W1131" s="32"/>
    </row>
    <row r="1132" spans="23:23" x14ac:dyDescent="0.3">
      <c r="W1132" s="32"/>
    </row>
    <row r="1133" spans="23:23" x14ac:dyDescent="0.3">
      <c r="W1133" s="32"/>
    </row>
    <row r="1134" spans="23:23" x14ac:dyDescent="0.3">
      <c r="W1134" s="32"/>
    </row>
    <row r="1135" spans="23:23" x14ac:dyDescent="0.3">
      <c r="W1135" s="32"/>
    </row>
    <row r="1136" spans="23:23" x14ac:dyDescent="0.3">
      <c r="W1136" s="32"/>
    </row>
    <row r="1137" spans="23:23" x14ac:dyDescent="0.3">
      <c r="W1137" s="32"/>
    </row>
    <row r="1138" spans="23:23" x14ac:dyDescent="0.3">
      <c r="W1138" s="32"/>
    </row>
    <row r="1139" spans="23:23" x14ac:dyDescent="0.3">
      <c r="W1139" s="32"/>
    </row>
    <row r="1140" spans="23:23" x14ac:dyDescent="0.3">
      <c r="W1140" s="32"/>
    </row>
    <row r="1141" spans="23:23" x14ac:dyDescent="0.3">
      <c r="W1141" s="32"/>
    </row>
    <row r="1142" spans="23:23" x14ac:dyDescent="0.3">
      <c r="W1142" s="32"/>
    </row>
    <row r="1143" spans="23:23" x14ac:dyDescent="0.3">
      <c r="W1143" s="32"/>
    </row>
    <row r="1144" spans="23:23" x14ac:dyDescent="0.3">
      <c r="W1144" s="32"/>
    </row>
    <row r="1145" spans="23:23" x14ac:dyDescent="0.3">
      <c r="W1145" s="32"/>
    </row>
    <row r="1146" spans="23:23" x14ac:dyDescent="0.3">
      <c r="W1146" s="32"/>
    </row>
    <row r="1147" spans="23:23" x14ac:dyDescent="0.3">
      <c r="W1147" s="32"/>
    </row>
    <row r="1148" spans="23:23" x14ac:dyDescent="0.3">
      <c r="W1148" s="32"/>
    </row>
    <row r="1149" spans="23:23" x14ac:dyDescent="0.3">
      <c r="W1149" s="32"/>
    </row>
    <row r="1150" spans="23:23" x14ac:dyDescent="0.3">
      <c r="W1150" s="32"/>
    </row>
    <row r="1151" spans="23:23" x14ac:dyDescent="0.3">
      <c r="W1151" s="32"/>
    </row>
    <row r="1152" spans="23:23" x14ac:dyDescent="0.3">
      <c r="W1152" s="32"/>
    </row>
    <row r="1153" spans="23:23" x14ac:dyDescent="0.3">
      <c r="W1153" s="32"/>
    </row>
    <row r="1154" spans="23:23" x14ac:dyDescent="0.3">
      <c r="W1154" s="32"/>
    </row>
    <row r="1155" spans="23:23" x14ac:dyDescent="0.3">
      <c r="W1155" s="32"/>
    </row>
    <row r="1156" spans="23:23" x14ac:dyDescent="0.3">
      <c r="W1156" s="32"/>
    </row>
    <row r="1157" spans="23:23" x14ac:dyDescent="0.3">
      <c r="W1157" s="32"/>
    </row>
    <row r="1158" spans="23:23" x14ac:dyDescent="0.3">
      <c r="W1158" s="32"/>
    </row>
    <row r="1159" spans="23:23" x14ac:dyDescent="0.3">
      <c r="W1159" s="32"/>
    </row>
    <row r="1160" spans="23:23" x14ac:dyDescent="0.3">
      <c r="W1160" s="32"/>
    </row>
    <row r="1161" spans="23:23" x14ac:dyDescent="0.3">
      <c r="W1161" s="32"/>
    </row>
    <row r="1162" spans="23:23" x14ac:dyDescent="0.3">
      <c r="W1162" s="32"/>
    </row>
    <row r="1163" spans="23:23" x14ac:dyDescent="0.3">
      <c r="W1163" s="32"/>
    </row>
    <row r="1164" spans="23:23" x14ac:dyDescent="0.3">
      <c r="W1164" s="32"/>
    </row>
    <row r="1165" spans="23:23" x14ac:dyDescent="0.3">
      <c r="W1165" s="32"/>
    </row>
    <row r="1166" spans="23:23" x14ac:dyDescent="0.3">
      <c r="W1166" s="32"/>
    </row>
    <row r="1167" spans="23:23" x14ac:dyDescent="0.3">
      <c r="W1167" s="32"/>
    </row>
    <row r="1168" spans="23:23" x14ac:dyDescent="0.3">
      <c r="W1168" s="32"/>
    </row>
    <row r="1169" spans="23:23" x14ac:dyDescent="0.3">
      <c r="W1169" s="32"/>
    </row>
    <row r="1170" spans="23:23" x14ac:dyDescent="0.3">
      <c r="W1170" s="32"/>
    </row>
    <row r="1171" spans="23:23" x14ac:dyDescent="0.3">
      <c r="W1171" s="32"/>
    </row>
    <row r="1172" spans="23:23" x14ac:dyDescent="0.3">
      <c r="W1172" s="32"/>
    </row>
    <row r="1173" spans="23:23" x14ac:dyDescent="0.3">
      <c r="W1173" s="32"/>
    </row>
    <row r="1174" spans="23:23" x14ac:dyDescent="0.3">
      <c r="W1174" s="32"/>
    </row>
    <row r="1175" spans="23:23" x14ac:dyDescent="0.3">
      <c r="W1175" s="32"/>
    </row>
    <row r="1176" spans="23:23" x14ac:dyDescent="0.3">
      <c r="W1176" s="32"/>
    </row>
    <row r="1177" spans="23:23" x14ac:dyDescent="0.3">
      <c r="W1177" s="32"/>
    </row>
    <row r="1178" spans="23:23" x14ac:dyDescent="0.3">
      <c r="W1178" s="32"/>
    </row>
    <row r="1179" spans="23:23" x14ac:dyDescent="0.3">
      <c r="W1179" s="32"/>
    </row>
    <row r="1180" spans="23:23" x14ac:dyDescent="0.3">
      <c r="W1180" s="32"/>
    </row>
    <row r="1181" spans="23:23" x14ac:dyDescent="0.3">
      <c r="W1181" s="32"/>
    </row>
    <row r="1182" spans="23:23" x14ac:dyDescent="0.3">
      <c r="W1182" s="32"/>
    </row>
    <row r="1183" spans="23:23" x14ac:dyDescent="0.3">
      <c r="W1183" s="32"/>
    </row>
    <row r="1184" spans="23:23" x14ac:dyDescent="0.3">
      <c r="W1184" s="32"/>
    </row>
    <row r="1185" spans="23:23" x14ac:dyDescent="0.3">
      <c r="W1185" s="32"/>
    </row>
    <row r="1186" spans="23:23" x14ac:dyDescent="0.3">
      <c r="W1186" s="32"/>
    </row>
    <row r="1187" spans="23:23" x14ac:dyDescent="0.3">
      <c r="W1187" s="32"/>
    </row>
    <row r="1188" spans="23:23" x14ac:dyDescent="0.3">
      <c r="W1188" s="32"/>
    </row>
    <row r="1189" spans="23:23" x14ac:dyDescent="0.3">
      <c r="W1189" s="32"/>
    </row>
    <row r="1190" spans="23:23" x14ac:dyDescent="0.3">
      <c r="W1190" s="32"/>
    </row>
    <row r="1191" spans="23:23" x14ac:dyDescent="0.3">
      <c r="W1191" s="32"/>
    </row>
    <row r="1192" spans="23:23" x14ac:dyDescent="0.3">
      <c r="W1192" s="32"/>
    </row>
    <row r="1193" spans="23:23" x14ac:dyDescent="0.3">
      <c r="W1193" s="32"/>
    </row>
    <row r="1194" spans="23:23" x14ac:dyDescent="0.3">
      <c r="W1194" s="32"/>
    </row>
    <row r="1195" spans="23:23" x14ac:dyDescent="0.3">
      <c r="W1195" s="32"/>
    </row>
    <row r="1196" spans="23:23" x14ac:dyDescent="0.3">
      <c r="W1196" s="32"/>
    </row>
    <row r="1197" spans="23:23" x14ac:dyDescent="0.3">
      <c r="W1197" s="32"/>
    </row>
    <row r="1198" spans="23:23" x14ac:dyDescent="0.3">
      <c r="W1198" s="32"/>
    </row>
    <row r="1199" spans="23:23" x14ac:dyDescent="0.3">
      <c r="W1199" s="32"/>
    </row>
    <row r="1200" spans="23:23" x14ac:dyDescent="0.3">
      <c r="W1200" s="32"/>
    </row>
    <row r="1201" spans="23:23" x14ac:dyDescent="0.3">
      <c r="W1201" s="32"/>
    </row>
    <row r="1202" spans="23:23" x14ac:dyDescent="0.3">
      <c r="W1202" s="32"/>
    </row>
    <row r="1203" spans="23:23" x14ac:dyDescent="0.3">
      <c r="W1203" s="32"/>
    </row>
    <row r="1204" spans="23:23" x14ac:dyDescent="0.3">
      <c r="W1204" s="32"/>
    </row>
    <row r="1205" spans="23:23" x14ac:dyDescent="0.3">
      <c r="W1205" s="32"/>
    </row>
    <row r="1206" spans="23:23" x14ac:dyDescent="0.3">
      <c r="W1206" s="32"/>
    </row>
    <row r="1207" spans="23:23" x14ac:dyDescent="0.3">
      <c r="W1207" s="32"/>
    </row>
    <row r="1208" spans="23:23" x14ac:dyDescent="0.3">
      <c r="W1208" s="32"/>
    </row>
    <row r="1209" spans="23:23" x14ac:dyDescent="0.3">
      <c r="W1209" s="32"/>
    </row>
    <row r="1210" spans="23:23" x14ac:dyDescent="0.3">
      <c r="W1210" s="32"/>
    </row>
    <row r="1211" spans="23:23" x14ac:dyDescent="0.3">
      <c r="W1211" s="32"/>
    </row>
    <row r="1212" spans="23:23" x14ac:dyDescent="0.3">
      <c r="W1212" s="32"/>
    </row>
    <row r="1213" spans="23:23" x14ac:dyDescent="0.3">
      <c r="W1213" s="32"/>
    </row>
    <row r="1214" spans="23:23" x14ac:dyDescent="0.3">
      <c r="W1214" s="32"/>
    </row>
    <row r="1215" spans="23:23" x14ac:dyDescent="0.3">
      <c r="W1215" s="32"/>
    </row>
    <row r="1216" spans="23:23" x14ac:dyDescent="0.3">
      <c r="W1216" s="32"/>
    </row>
    <row r="1217" spans="23:23" x14ac:dyDescent="0.3">
      <c r="W1217" s="32"/>
    </row>
    <row r="1218" spans="23:23" x14ac:dyDescent="0.3">
      <c r="W1218" s="32"/>
    </row>
    <row r="1219" spans="23:23" x14ac:dyDescent="0.3">
      <c r="W1219" s="32"/>
    </row>
    <row r="1220" spans="23:23" x14ac:dyDescent="0.3">
      <c r="W1220" s="32"/>
    </row>
    <row r="1221" spans="23:23" x14ac:dyDescent="0.3">
      <c r="W1221" s="32"/>
    </row>
    <row r="1222" spans="23:23" x14ac:dyDescent="0.3">
      <c r="W1222" s="32"/>
    </row>
    <row r="1223" spans="23:23" x14ac:dyDescent="0.3">
      <c r="W1223" s="32"/>
    </row>
    <row r="1224" spans="23:23" x14ac:dyDescent="0.3">
      <c r="W1224" s="32"/>
    </row>
    <row r="1225" spans="23:23" x14ac:dyDescent="0.3">
      <c r="W1225" s="32"/>
    </row>
    <row r="1226" spans="23:23" x14ac:dyDescent="0.3">
      <c r="W1226" s="32"/>
    </row>
    <row r="1227" spans="23:23" x14ac:dyDescent="0.3">
      <c r="W1227" s="32"/>
    </row>
    <row r="1228" spans="23:23" x14ac:dyDescent="0.3">
      <c r="W1228" s="32"/>
    </row>
    <row r="1229" spans="23:23" x14ac:dyDescent="0.3">
      <c r="W1229" s="32"/>
    </row>
    <row r="1230" spans="23:23" x14ac:dyDescent="0.3">
      <c r="W1230" s="32"/>
    </row>
    <row r="1231" spans="23:23" x14ac:dyDescent="0.3">
      <c r="W1231" s="32"/>
    </row>
    <row r="1232" spans="23:23" x14ac:dyDescent="0.3">
      <c r="W1232" s="32"/>
    </row>
    <row r="1233" spans="23:23" x14ac:dyDescent="0.3">
      <c r="W1233" s="32"/>
    </row>
    <row r="1234" spans="23:23" x14ac:dyDescent="0.3">
      <c r="W1234" s="32"/>
    </row>
    <row r="1235" spans="23:23" x14ac:dyDescent="0.3">
      <c r="W1235" s="32"/>
    </row>
    <row r="1236" spans="23:23" x14ac:dyDescent="0.3">
      <c r="W1236" s="32"/>
    </row>
    <row r="1237" spans="23:23" x14ac:dyDescent="0.3">
      <c r="W1237" s="32"/>
    </row>
    <row r="1238" spans="23:23" x14ac:dyDescent="0.3">
      <c r="W1238" s="32"/>
    </row>
    <row r="1239" spans="23:23" x14ac:dyDescent="0.3">
      <c r="W1239" s="32"/>
    </row>
    <row r="1240" spans="23:23" x14ac:dyDescent="0.3">
      <c r="W1240" s="32"/>
    </row>
    <row r="1241" spans="23:23" x14ac:dyDescent="0.3">
      <c r="W1241" s="32"/>
    </row>
    <row r="1242" spans="23:23" x14ac:dyDescent="0.3">
      <c r="W1242" s="32"/>
    </row>
    <row r="1243" spans="23:23" x14ac:dyDescent="0.3">
      <c r="W1243" s="32"/>
    </row>
    <row r="1244" spans="23:23" x14ac:dyDescent="0.3">
      <c r="W1244" s="32"/>
    </row>
    <row r="1245" spans="23:23" x14ac:dyDescent="0.3">
      <c r="W1245" s="32"/>
    </row>
    <row r="1246" spans="23:23" x14ac:dyDescent="0.3">
      <c r="W1246" s="32"/>
    </row>
    <row r="1247" spans="23:23" x14ac:dyDescent="0.3">
      <c r="W1247" s="32"/>
    </row>
    <row r="1248" spans="23:23" x14ac:dyDescent="0.3">
      <c r="W1248" s="32"/>
    </row>
    <row r="1249" spans="23:23" x14ac:dyDescent="0.3">
      <c r="W1249" s="32"/>
    </row>
    <row r="1250" spans="23:23" x14ac:dyDescent="0.3">
      <c r="W1250" s="32"/>
    </row>
    <row r="1251" spans="23:23" x14ac:dyDescent="0.3">
      <c r="W1251" s="32"/>
    </row>
    <row r="1252" spans="23:23" x14ac:dyDescent="0.3">
      <c r="W1252" s="32"/>
    </row>
    <row r="1253" spans="23:23" x14ac:dyDescent="0.3">
      <c r="W1253" s="32"/>
    </row>
    <row r="1254" spans="23:23" x14ac:dyDescent="0.3">
      <c r="W1254" s="32"/>
    </row>
    <row r="1255" spans="23:23" x14ac:dyDescent="0.3">
      <c r="W1255" s="32"/>
    </row>
    <row r="1256" spans="23:23" x14ac:dyDescent="0.3">
      <c r="W1256" s="32"/>
    </row>
    <row r="1257" spans="23:23" x14ac:dyDescent="0.3">
      <c r="W1257" s="32"/>
    </row>
    <row r="1258" spans="23:23" x14ac:dyDescent="0.3">
      <c r="W1258" s="32"/>
    </row>
    <row r="1259" spans="23:23" x14ac:dyDescent="0.3">
      <c r="W1259" s="32"/>
    </row>
    <row r="1260" spans="23:23" x14ac:dyDescent="0.3">
      <c r="W1260" s="32"/>
    </row>
    <row r="1261" spans="23:23" x14ac:dyDescent="0.3">
      <c r="W1261" s="32"/>
    </row>
    <row r="1262" spans="23:23" x14ac:dyDescent="0.3">
      <c r="W1262" s="32"/>
    </row>
    <row r="1263" spans="23:23" x14ac:dyDescent="0.3">
      <c r="W1263" s="32"/>
    </row>
    <row r="1264" spans="23:23" x14ac:dyDescent="0.3">
      <c r="W1264" s="32"/>
    </row>
    <row r="1265" spans="23:23" x14ac:dyDescent="0.3">
      <c r="W1265" s="32"/>
    </row>
    <row r="1266" spans="23:23" x14ac:dyDescent="0.3">
      <c r="W1266" s="32"/>
    </row>
    <row r="1267" spans="23:23" x14ac:dyDescent="0.3">
      <c r="W1267" s="32"/>
    </row>
    <row r="1268" spans="23:23" x14ac:dyDescent="0.3">
      <c r="W1268" s="32"/>
    </row>
    <row r="1269" spans="23:23" x14ac:dyDescent="0.3">
      <c r="W1269" s="32"/>
    </row>
    <row r="1270" spans="23:23" x14ac:dyDescent="0.3">
      <c r="W1270" s="32"/>
    </row>
    <row r="1271" spans="23:23" x14ac:dyDescent="0.3">
      <c r="W1271" s="32"/>
    </row>
    <row r="1272" spans="23:23" x14ac:dyDescent="0.3">
      <c r="W1272" s="32"/>
    </row>
    <row r="1273" spans="23:23" x14ac:dyDescent="0.3">
      <c r="W1273" s="32"/>
    </row>
    <row r="1274" spans="23:23" x14ac:dyDescent="0.3">
      <c r="W1274" s="32"/>
    </row>
    <row r="1275" spans="23:23" x14ac:dyDescent="0.3">
      <c r="W1275" s="32"/>
    </row>
    <row r="1276" spans="23:23" x14ac:dyDescent="0.3">
      <c r="W1276" s="32"/>
    </row>
    <row r="1277" spans="23:23" x14ac:dyDescent="0.3">
      <c r="W1277" s="32"/>
    </row>
    <row r="1278" spans="23:23" x14ac:dyDescent="0.3">
      <c r="W1278" s="32"/>
    </row>
    <row r="1279" spans="23:23" x14ac:dyDescent="0.3">
      <c r="W1279" s="32"/>
    </row>
    <row r="1280" spans="23:23" x14ac:dyDescent="0.3">
      <c r="W1280" s="32"/>
    </row>
    <row r="1281" spans="23:23" x14ac:dyDescent="0.3">
      <c r="W1281" s="32"/>
    </row>
    <row r="1282" spans="23:23" x14ac:dyDescent="0.3">
      <c r="W1282" s="32"/>
    </row>
    <row r="1283" spans="23:23" x14ac:dyDescent="0.3">
      <c r="W1283" s="32"/>
    </row>
    <row r="1284" spans="23:23" x14ac:dyDescent="0.3">
      <c r="W1284" s="32"/>
    </row>
    <row r="1285" spans="23:23" x14ac:dyDescent="0.3">
      <c r="W1285" s="32"/>
    </row>
    <row r="1286" spans="23:23" x14ac:dyDescent="0.3">
      <c r="W1286" s="32"/>
    </row>
    <row r="1287" spans="23:23" x14ac:dyDescent="0.3">
      <c r="W1287" s="32"/>
    </row>
    <row r="1288" spans="23:23" x14ac:dyDescent="0.3">
      <c r="W1288" s="32"/>
    </row>
    <row r="1289" spans="23:23" x14ac:dyDescent="0.3">
      <c r="W1289" s="32"/>
    </row>
    <row r="1290" spans="23:23" x14ac:dyDescent="0.3">
      <c r="W1290" s="32"/>
    </row>
    <row r="1291" spans="23:23" x14ac:dyDescent="0.3">
      <c r="W1291" s="32"/>
    </row>
    <row r="1292" spans="23:23" x14ac:dyDescent="0.3">
      <c r="W1292" s="32"/>
    </row>
    <row r="1293" spans="23:23" x14ac:dyDescent="0.3">
      <c r="W1293" s="32"/>
    </row>
    <row r="1294" spans="23:23" x14ac:dyDescent="0.3">
      <c r="W1294" s="32"/>
    </row>
    <row r="1295" spans="23:23" x14ac:dyDescent="0.3">
      <c r="W1295" s="32"/>
    </row>
    <row r="1296" spans="23:23" x14ac:dyDescent="0.3">
      <c r="W1296" s="32"/>
    </row>
    <row r="1297" spans="23:23" x14ac:dyDescent="0.3">
      <c r="W1297" s="32"/>
    </row>
    <row r="1298" spans="23:23" x14ac:dyDescent="0.3">
      <c r="W1298" s="32"/>
    </row>
    <row r="1299" spans="23:23" x14ac:dyDescent="0.3">
      <c r="W1299" s="32"/>
    </row>
    <row r="1300" spans="23:23" x14ac:dyDescent="0.3">
      <c r="W1300" s="32"/>
    </row>
    <row r="1301" spans="23:23" x14ac:dyDescent="0.3">
      <c r="W1301" s="32"/>
    </row>
    <row r="1302" spans="23:23" x14ac:dyDescent="0.3">
      <c r="W1302" s="32"/>
    </row>
    <row r="1303" spans="23:23" x14ac:dyDescent="0.3">
      <c r="W1303" s="32"/>
    </row>
    <row r="1304" spans="23:23" x14ac:dyDescent="0.3">
      <c r="W1304" s="32"/>
    </row>
    <row r="1305" spans="23:23" x14ac:dyDescent="0.3">
      <c r="W1305" s="32"/>
    </row>
    <row r="1306" spans="23:23" x14ac:dyDescent="0.3">
      <c r="W1306" s="32"/>
    </row>
    <row r="1307" spans="23:23" x14ac:dyDescent="0.3">
      <c r="W1307" s="32"/>
    </row>
    <row r="1308" spans="23:23" x14ac:dyDescent="0.3">
      <c r="W1308" s="32"/>
    </row>
    <row r="1309" spans="23:23" x14ac:dyDescent="0.3">
      <c r="W1309" s="32"/>
    </row>
    <row r="1310" spans="23:23" x14ac:dyDescent="0.3">
      <c r="W1310" s="32"/>
    </row>
    <row r="1311" spans="23:23" x14ac:dyDescent="0.3">
      <c r="W1311" s="32"/>
    </row>
    <row r="1312" spans="23:23" x14ac:dyDescent="0.3">
      <c r="W1312" s="32"/>
    </row>
    <row r="1313" spans="23:23" x14ac:dyDescent="0.3">
      <c r="W1313" s="32"/>
    </row>
    <row r="1314" spans="23:23" x14ac:dyDescent="0.3">
      <c r="W1314" s="32"/>
    </row>
    <row r="1315" spans="23:23" x14ac:dyDescent="0.3">
      <c r="W1315" s="32"/>
    </row>
    <row r="1316" spans="23:23" x14ac:dyDescent="0.3">
      <c r="W1316" s="32"/>
    </row>
    <row r="1317" spans="23:23" x14ac:dyDescent="0.3">
      <c r="W1317" s="32"/>
    </row>
    <row r="1318" spans="23:23" x14ac:dyDescent="0.3">
      <c r="W1318" s="32"/>
    </row>
    <row r="1319" spans="23:23" x14ac:dyDescent="0.3">
      <c r="W1319" s="32"/>
    </row>
    <row r="1320" spans="23:23" x14ac:dyDescent="0.3">
      <c r="W1320" s="32"/>
    </row>
    <row r="1321" spans="23:23" x14ac:dyDescent="0.3">
      <c r="W1321" s="32"/>
    </row>
    <row r="1322" spans="23:23" x14ac:dyDescent="0.3">
      <c r="W1322" s="32"/>
    </row>
    <row r="1323" spans="23:23" x14ac:dyDescent="0.3">
      <c r="W1323" s="32"/>
    </row>
    <row r="1324" spans="23:23" x14ac:dyDescent="0.3">
      <c r="W1324" s="32"/>
    </row>
    <row r="1325" spans="23:23" x14ac:dyDescent="0.3">
      <c r="W1325" s="32"/>
    </row>
    <row r="1326" spans="23:23" x14ac:dyDescent="0.3">
      <c r="W1326" s="32"/>
    </row>
    <row r="1327" spans="23:23" x14ac:dyDescent="0.3">
      <c r="W1327" s="32"/>
    </row>
    <row r="1328" spans="23:23" x14ac:dyDescent="0.3">
      <c r="W1328" s="32"/>
    </row>
    <row r="1329" spans="23:23" x14ac:dyDescent="0.3">
      <c r="W1329" s="32"/>
    </row>
    <row r="1330" spans="23:23" x14ac:dyDescent="0.3">
      <c r="W1330" s="32"/>
    </row>
    <row r="1331" spans="23:23" x14ac:dyDescent="0.3">
      <c r="W1331" s="32"/>
    </row>
    <row r="1332" spans="23:23" x14ac:dyDescent="0.3">
      <c r="W1332" s="32"/>
    </row>
    <row r="1333" spans="23:23" x14ac:dyDescent="0.3">
      <c r="W1333" s="32"/>
    </row>
    <row r="1334" spans="23:23" x14ac:dyDescent="0.3">
      <c r="W1334" s="32"/>
    </row>
    <row r="1335" spans="23:23" x14ac:dyDescent="0.3">
      <c r="W1335" s="32"/>
    </row>
    <row r="1336" spans="23:23" x14ac:dyDescent="0.3">
      <c r="W1336" s="32"/>
    </row>
    <row r="1337" spans="23:23" x14ac:dyDescent="0.3">
      <c r="W1337" s="32"/>
    </row>
    <row r="1338" spans="23:23" x14ac:dyDescent="0.3">
      <c r="W1338" s="32"/>
    </row>
    <row r="1339" spans="23:23" x14ac:dyDescent="0.3">
      <c r="W1339" s="32"/>
    </row>
    <row r="1340" spans="23:23" x14ac:dyDescent="0.3">
      <c r="W1340" s="32"/>
    </row>
    <row r="1341" spans="23:23" x14ac:dyDescent="0.3">
      <c r="W1341" s="32"/>
    </row>
    <row r="1342" spans="23:23" x14ac:dyDescent="0.3">
      <c r="W1342" s="32"/>
    </row>
    <row r="1343" spans="23:23" x14ac:dyDescent="0.3">
      <c r="W1343" s="32"/>
    </row>
    <row r="1344" spans="23:23" x14ac:dyDescent="0.3">
      <c r="W1344" s="32"/>
    </row>
    <row r="1345" spans="23:23" x14ac:dyDescent="0.3">
      <c r="W1345" s="32"/>
    </row>
    <row r="1346" spans="23:23" x14ac:dyDescent="0.3">
      <c r="W1346" s="32"/>
    </row>
    <row r="1347" spans="23:23" x14ac:dyDescent="0.3">
      <c r="W1347" s="32"/>
    </row>
    <row r="1348" spans="23:23" x14ac:dyDescent="0.3">
      <c r="W1348" s="32"/>
    </row>
    <row r="1349" spans="23:23" x14ac:dyDescent="0.3">
      <c r="W1349" s="32"/>
    </row>
    <row r="1350" spans="23:23" x14ac:dyDescent="0.3">
      <c r="W1350" s="32"/>
    </row>
    <row r="1351" spans="23:23" x14ac:dyDescent="0.3">
      <c r="W1351" s="32"/>
    </row>
    <row r="1352" spans="23:23" x14ac:dyDescent="0.3">
      <c r="W1352" s="32"/>
    </row>
    <row r="1353" spans="23:23" x14ac:dyDescent="0.3">
      <c r="W1353" s="32"/>
    </row>
    <row r="1354" spans="23:23" x14ac:dyDescent="0.3">
      <c r="W1354" s="32"/>
    </row>
    <row r="1355" spans="23:23" x14ac:dyDescent="0.3">
      <c r="W1355" s="32"/>
    </row>
    <row r="1356" spans="23:23" x14ac:dyDescent="0.3">
      <c r="W1356" s="32"/>
    </row>
    <row r="1357" spans="23:23" x14ac:dyDescent="0.3">
      <c r="W1357" s="32"/>
    </row>
    <row r="1358" spans="23:23" x14ac:dyDescent="0.3">
      <c r="W1358" s="32"/>
    </row>
    <row r="1359" spans="23:23" x14ac:dyDescent="0.3">
      <c r="W1359" s="32"/>
    </row>
    <row r="1360" spans="23:23" x14ac:dyDescent="0.3">
      <c r="W1360" s="32"/>
    </row>
    <row r="1361" spans="23:23" x14ac:dyDescent="0.3">
      <c r="W1361" s="32"/>
    </row>
    <row r="1362" spans="23:23" x14ac:dyDescent="0.3">
      <c r="W1362" s="32"/>
    </row>
    <row r="1363" spans="23:23" x14ac:dyDescent="0.3">
      <c r="W1363" s="32"/>
    </row>
    <row r="1364" spans="23:23" x14ac:dyDescent="0.3">
      <c r="W1364" s="32"/>
    </row>
    <row r="1365" spans="23:23" x14ac:dyDescent="0.3">
      <c r="W1365" s="32"/>
    </row>
    <row r="1366" spans="23:23" x14ac:dyDescent="0.3">
      <c r="W1366" s="32"/>
    </row>
    <row r="1367" spans="23:23" x14ac:dyDescent="0.3">
      <c r="W1367" s="32"/>
    </row>
    <row r="1368" spans="23:23" x14ac:dyDescent="0.3">
      <c r="W1368" s="32"/>
    </row>
    <row r="1369" spans="23:23" x14ac:dyDescent="0.3">
      <c r="W1369" s="32"/>
    </row>
    <row r="1370" spans="23:23" x14ac:dyDescent="0.3">
      <c r="W1370" s="32"/>
    </row>
    <row r="1371" spans="23:23" x14ac:dyDescent="0.3">
      <c r="W1371" s="32"/>
    </row>
    <row r="1372" spans="23:23" x14ac:dyDescent="0.3">
      <c r="W1372" s="32"/>
    </row>
    <row r="1373" spans="23:23" x14ac:dyDescent="0.3">
      <c r="W1373" s="32"/>
    </row>
    <row r="1374" spans="23:23" x14ac:dyDescent="0.3">
      <c r="W1374" s="32"/>
    </row>
    <row r="1375" spans="23:23" x14ac:dyDescent="0.3">
      <c r="W1375" s="32"/>
    </row>
    <row r="1376" spans="23:23" x14ac:dyDescent="0.3">
      <c r="W1376" s="32"/>
    </row>
    <row r="1377" spans="23:23" x14ac:dyDescent="0.3">
      <c r="W1377" s="32"/>
    </row>
    <row r="1378" spans="23:23" x14ac:dyDescent="0.3">
      <c r="W1378" s="32"/>
    </row>
    <row r="1379" spans="23:23" x14ac:dyDescent="0.3">
      <c r="W1379" s="32"/>
    </row>
    <row r="1380" spans="23:23" x14ac:dyDescent="0.3">
      <c r="W1380" s="32"/>
    </row>
    <row r="1381" spans="23:23" x14ac:dyDescent="0.3">
      <c r="W1381" s="32"/>
    </row>
    <row r="1382" spans="23:23" x14ac:dyDescent="0.3">
      <c r="W1382" s="32"/>
    </row>
    <row r="1383" spans="23:23" x14ac:dyDescent="0.3">
      <c r="W1383" s="32"/>
    </row>
    <row r="1384" spans="23:23" x14ac:dyDescent="0.3">
      <c r="W1384" s="32"/>
    </row>
    <row r="1385" spans="23:23" x14ac:dyDescent="0.3">
      <c r="W1385" s="32"/>
    </row>
    <row r="1386" spans="23:23" x14ac:dyDescent="0.3">
      <c r="W1386" s="32"/>
    </row>
    <row r="1387" spans="23:23" x14ac:dyDescent="0.3">
      <c r="W1387" s="32"/>
    </row>
    <row r="1388" spans="23:23" x14ac:dyDescent="0.3">
      <c r="W1388" s="32"/>
    </row>
    <row r="1389" spans="23:23" x14ac:dyDescent="0.3">
      <c r="W1389" s="32"/>
    </row>
    <row r="1390" spans="23:23" x14ac:dyDescent="0.3">
      <c r="W1390" s="32"/>
    </row>
    <row r="1391" spans="23:23" x14ac:dyDescent="0.3">
      <c r="W1391" s="32"/>
    </row>
    <row r="1392" spans="23:23" x14ac:dyDescent="0.3">
      <c r="W1392" s="32"/>
    </row>
    <row r="1393" spans="23:23" x14ac:dyDescent="0.3">
      <c r="W1393" s="32"/>
    </row>
    <row r="1394" spans="23:23" x14ac:dyDescent="0.3">
      <c r="W1394" s="32"/>
    </row>
    <row r="1395" spans="23:23" x14ac:dyDescent="0.3">
      <c r="W1395" s="32"/>
    </row>
    <row r="1396" spans="23:23" x14ac:dyDescent="0.3">
      <c r="W1396" s="32"/>
    </row>
    <row r="1397" spans="23:23" x14ac:dyDescent="0.3">
      <c r="W1397" s="32"/>
    </row>
    <row r="1398" spans="23:23" x14ac:dyDescent="0.3">
      <c r="W1398" s="32"/>
    </row>
    <row r="1399" spans="23:23" x14ac:dyDescent="0.3">
      <c r="W1399" s="32"/>
    </row>
    <row r="1400" spans="23:23" x14ac:dyDescent="0.3">
      <c r="W1400" s="32"/>
    </row>
    <row r="1401" spans="23:23" x14ac:dyDescent="0.3">
      <c r="W1401" s="32"/>
    </row>
    <row r="1402" spans="23:23" x14ac:dyDescent="0.3">
      <c r="W1402" s="32"/>
    </row>
    <row r="1403" spans="23:23" x14ac:dyDescent="0.3">
      <c r="W1403" s="32"/>
    </row>
    <row r="1404" spans="23:23" x14ac:dyDescent="0.3">
      <c r="W1404" s="32"/>
    </row>
    <row r="1405" spans="23:23" x14ac:dyDescent="0.3">
      <c r="W1405" s="32"/>
    </row>
    <row r="1406" spans="23:23" x14ac:dyDescent="0.3">
      <c r="W1406" s="32"/>
    </row>
    <row r="1407" spans="23:23" x14ac:dyDescent="0.3">
      <c r="W1407" s="32"/>
    </row>
    <row r="1408" spans="23:23" x14ac:dyDescent="0.3">
      <c r="W1408" s="32"/>
    </row>
    <row r="1409" spans="23:23" x14ac:dyDescent="0.3">
      <c r="W1409" s="32"/>
    </row>
    <row r="1410" spans="23:23" x14ac:dyDescent="0.3">
      <c r="W1410" s="32"/>
    </row>
    <row r="1411" spans="23:23" x14ac:dyDescent="0.3">
      <c r="W1411" s="32"/>
    </row>
    <row r="1412" spans="23:23" x14ac:dyDescent="0.3">
      <c r="W1412" s="32"/>
    </row>
    <row r="1413" spans="23:23" x14ac:dyDescent="0.3">
      <c r="W1413" s="32"/>
    </row>
    <row r="1414" spans="23:23" x14ac:dyDescent="0.3">
      <c r="W1414" s="32"/>
    </row>
    <row r="1415" spans="23:23" x14ac:dyDescent="0.3">
      <c r="W1415" s="32"/>
    </row>
    <row r="1416" spans="23:23" x14ac:dyDescent="0.3">
      <c r="W1416" s="32"/>
    </row>
    <row r="1417" spans="23:23" x14ac:dyDescent="0.3">
      <c r="W1417" s="32"/>
    </row>
    <row r="1418" spans="23:23" x14ac:dyDescent="0.3">
      <c r="W1418" s="32"/>
    </row>
    <row r="1419" spans="23:23" x14ac:dyDescent="0.3">
      <c r="W1419" s="32"/>
    </row>
    <row r="1420" spans="23:23" x14ac:dyDescent="0.3">
      <c r="W1420" s="32"/>
    </row>
    <row r="1421" spans="23:23" x14ac:dyDescent="0.3">
      <c r="W1421" s="32"/>
    </row>
    <row r="1422" spans="23:23" x14ac:dyDescent="0.3">
      <c r="W1422" s="32"/>
    </row>
    <row r="1423" spans="23:23" x14ac:dyDescent="0.3">
      <c r="W1423" s="32"/>
    </row>
    <row r="1424" spans="23:23" x14ac:dyDescent="0.3">
      <c r="W1424" s="32"/>
    </row>
    <row r="1425" spans="23:23" x14ac:dyDescent="0.3">
      <c r="W1425" s="32"/>
    </row>
    <row r="1426" spans="23:23" x14ac:dyDescent="0.3">
      <c r="W1426" s="32"/>
    </row>
    <row r="1427" spans="23:23" x14ac:dyDescent="0.3">
      <c r="W1427" s="32"/>
    </row>
    <row r="1428" spans="23:23" x14ac:dyDescent="0.3">
      <c r="W1428" s="32"/>
    </row>
    <row r="1429" spans="23:23" x14ac:dyDescent="0.3">
      <c r="W1429" s="32"/>
    </row>
    <row r="1430" spans="23:23" x14ac:dyDescent="0.3">
      <c r="W1430" s="32"/>
    </row>
    <row r="1431" spans="23:23" x14ac:dyDescent="0.3">
      <c r="W1431" s="32"/>
    </row>
    <row r="1432" spans="23:23" x14ac:dyDescent="0.3">
      <c r="W1432" s="32"/>
    </row>
    <row r="1433" spans="23:23" x14ac:dyDescent="0.3">
      <c r="W1433" s="32"/>
    </row>
    <row r="1434" spans="23:23" x14ac:dyDescent="0.3">
      <c r="W1434" s="32"/>
    </row>
    <row r="1435" spans="23:23" x14ac:dyDescent="0.3">
      <c r="W1435" s="32"/>
    </row>
    <row r="1436" spans="23:23" x14ac:dyDescent="0.3">
      <c r="W1436" s="32"/>
    </row>
    <row r="1437" spans="23:23" x14ac:dyDescent="0.3">
      <c r="W1437" s="32"/>
    </row>
    <row r="1438" spans="23:23" x14ac:dyDescent="0.3">
      <c r="W1438" s="32"/>
    </row>
    <row r="1439" spans="23:23" x14ac:dyDescent="0.3">
      <c r="W1439" s="32"/>
    </row>
    <row r="1440" spans="23:23" x14ac:dyDescent="0.3">
      <c r="W1440" s="32"/>
    </row>
    <row r="1441" spans="23:23" x14ac:dyDescent="0.3">
      <c r="W1441" s="32"/>
    </row>
    <row r="1442" spans="23:23" x14ac:dyDescent="0.3">
      <c r="W1442" s="32"/>
    </row>
    <row r="1443" spans="23:23" x14ac:dyDescent="0.3">
      <c r="W1443" s="32"/>
    </row>
    <row r="1444" spans="23:23" x14ac:dyDescent="0.3">
      <c r="W1444" s="32"/>
    </row>
    <row r="1445" spans="23:23" x14ac:dyDescent="0.3">
      <c r="W1445" s="32"/>
    </row>
    <row r="1446" spans="23:23" x14ac:dyDescent="0.3">
      <c r="W1446" s="32"/>
    </row>
    <row r="1447" spans="23:23" x14ac:dyDescent="0.3">
      <c r="W1447" s="32"/>
    </row>
    <row r="1448" spans="23:23" x14ac:dyDescent="0.3">
      <c r="W1448" s="32"/>
    </row>
    <row r="1449" spans="23:23" x14ac:dyDescent="0.3">
      <c r="W1449" s="32"/>
    </row>
    <row r="1450" spans="23:23" x14ac:dyDescent="0.3">
      <c r="W1450" s="32"/>
    </row>
    <row r="1451" spans="23:23" x14ac:dyDescent="0.3">
      <c r="W1451" s="32"/>
    </row>
    <row r="1452" spans="23:23" x14ac:dyDescent="0.3">
      <c r="W1452" s="32"/>
    </row>
    <row r="1453" spans="23:23" x14ac:dyDescent="0.3">
      <c r="W1453" s="32"/>
    </row>
    <row r="1454" spans="23:23" x14ac:dyDescent="0.3">
      <c r="W1454" s="32"/>
    </row>
    <row r="1455" spans="23:23" x14ac:dyDescent="0.3">
      <c r="W1455" s="32"/>
    </row>
    <row r="1456" spans="23:23" x14ac:dyDescent="0.3">
      <c r="W1456" s="32"/>
    </row>
    <row r="1457" spans="23:23" x14ac:dyDescent="0.3">
      <c r="W1457" s="32"/>
    </row>
    <row r="1458" spans="23:23" x14ac:dyDescent="0.3">
      <c r="W1458" s="32"/>
    </row>
    <row r="1459" spans="23:23" x14ac:dyDescent="0.3">
      <c r="W1459" s="32"/>
    </row>
    <row r="1460" spans="23:23" x14ac:dyDescent="0.3">
      <c r="W1460" s="32"/>
    </row>
    <row r="1461" spans="23:23" x14ac:dyDescent="0.3">
      <c r="W1461" s="32"/>
    </row>
    <row r="1462" spans="23:23" x14ac:dyDescent="0.3">
      <c r="W1462" s="32"/>
    </row>
    <row r="1463" spans="23:23" x14ac:dyDescent="0.3">
      <c r="W1463" s="32"/>
    </row>
    <row r="1464" spans="23:23" x14ac:dyDescent="0.3">
      <c r="W1464" s="32"/>
    </row>
    <row r="1465" spans="23:23" x14ac:dyDescent="0.3">
      <c r="W1465" s="32"/>
    </row>
    <row r="1466" spans="23:23" x14ac:dyDescent="0.3">
      <c r="W1466" s="32"/>
    </row>
    <row r="1467" spans="23:23" x14ac:dyDescent="0.3">
      <c r="W1467" s="32"/>
    </row>
    <row r="1468" spans="23:23" x14ac:dyDescent="0.3">
      <c r="W1468" s="32"/>
    </row>
    <row r="1469" spans="23:23" x14ac:dyDescent="0.3">
      <c r="W1469" s="32"/>
    </row>
    <row r="1470" spans="23:23" x14ac:dyDescent="0.3">
      <c r="W1470" s="32"/>
    </row>
    <row r="1471" spans="23:23" x14ac:dyDescent="0.3">
      <c r="W1471" s="32"/>
    </row>
    <row r="1472" spans="23:23" x14ac:dyDescent="0.3">
      <c r="W1472" s="32"/>
    </row>
    <row r="1473" spans="23:23" x14ac:dyDescent="0.3">
      <c r="W1473" s="32"/>
    </row>
    <row r="1474" spans="23:23" x14ac:dyDescent="0.3">
      <c r="W1474" s="32"/>
    </row>
    <row r="1475" spans="23:23" x14ac:dyDescent="0.3">
      <c r="W1475" s="32"/>
    </row>
    <row r="1476" spans="23:23" x14ac:dyDescent="0.3">
      <c r="W1476" s="32"/>
    </row>
    <row r="1477" spans="23:23" x14ac:dyDescent="0.3">
      <c r="W1477" s="32"/>
    </row>
    <row r="1478" spans="23:23" x14ac:dyDescent="0.3">
      <c r="W1478" s="32"/>
    </row>
    <row r="1479" spans="23:23" x14ac:dyDescent="0.3">
      <c r="W1479" s="32"/>
    </row>
    <row r="1480" spans="23:23" x14ac:dyDescent="0.3">
      <c r="W1480" s="32"/>
    </row>
    <row r="1481" spans="23:23" x14ac:dyDescent="0.3">
      <c r="W1481" s="32"/>
    </row>
    <row r="1482" spans="23:23" x14ac:dyDescent="0.3">
      <c r="W1482" s="32"/>
    </row>
    <row r="1483" spans="23:23" x14ac:dyDescent="0.3">
      <c r="W1483" s="32"/>
    </row>
    <row r="1484" spans="23:23" x14ac:dyDescent="0.3">
      <c r="W1484" s="32"/>
    </row>
    <row r="1485" spans="23:23" x14ac:dyDescent="0.3">
      <c r="W1485" s="32"/>
    </row>
    <row r="1486" spans="23:23" x14ac:dyDescent="0.3">
      <c r="W1486" s="32"/>
    </row>
    <row r="1487" spans="23:23" x14ac:dyDescent="0.3">
      <c r="W1487" s="32"/>
    </row>
    <row r="1488" spans="23:23" x14ac:dyDescent="0.3">
      <c r="W1488" s="32"/>
    </row>
    <row r="1489" spans="23:23" x14ac:dyDescent="0.3">
      <c r="W1489" s="32"/>
    </row>
    <row r="1490" spans="23:23" x14ac:dyDescent="0.3">
      <c r="W1490" s="32"/>
    </row>
    <row r="1491" spans="23:23" x14ac:dyDescent="0.3">
      <c r="W1491" s="32"/>
    </row>
    <row r="1492" spans="23:23" x14ac:dyDescent="0.3">
      <c r="W1492" s="32"/>
    </row>
    <row r="1493" spans="23:23" x14ac:dyDescent="0.3">
      <c r="W1493" s="32"/>
    </row>
    <row r="1494" spans="23:23" x14ac:dyDescent="0.3">
      <c r="W1494" s="32"/>
    </row>
    <row r="1495" spans="23:23" x14ac:dyDescent="0.3">
      <c r="W1495" s="32"/>
    </row>
    <row r="1496" spans="23:23" x14ac:dyDescent="0.3">
      <c r="W1496" s="32"/>
    </row>
    <row r="1497" spans="23:23" x14ac:dyDescent="0.3">
      <c r="W1497" s="32"/>
    </row>
    <row r="1498" spans="23:23" x14ac:dyDescent="0.3">
      <c r="W1498" s="32"/>
    </row>
    <row r="1499" spans="23:23" x14ac:dyDescent="0.3">
      <c r="W1499" s="32"/>
    </row>
    <row r="1500" spans="23:23" x14ac:dyDescent="0.3">
      <c r="W1500" s="32"/>
    </row>
    <row r="1501" spans="23:23" x14ac:dyDescent="0.3">
      <c r="W1501" s="32"/>
    </row>
    <row r="1502" spans="23:23" x14ac:dyDescent="0.3">
      <c r="W1502" s="32"/>
    </row>
    <row r="1503" spans="23:23" x14ac:dyDescent="0.3">
      <c r="W1503" s="32"/>
    </row>
    <row r="1504" spans="23:23" x14ac:dyDescent="0.3">
      <c r="W1504" s="32"/>
    </row>
    <row r="1505" spans="23:23" x14ac:dyDescent="0.3">
      <c r="W1505" s="32"/>
    </row>
    <row r="1506" spans="23:23" x14ac:dyDescent="0.3">
      <c r="W1506" s="32"/>
    </row>
    <row r="1507" spans="23:23" x14ac:dyDescent="0.3">
      <c r="W1507" s="32"/>
    </row>
    <row r="1508" spans="23:23" x14ac:dyDescent="0.3">
      <c r="W1508" s="32"/>
    </row>
    <row r="1509" spans="23:23" x14ac:dyDescent="0.3">
      <c r="W1509" s="32"/>
    </row>
    <row r="1510" spans="23:23" x14ac:dyDescent="0.3">
      <c r="W1510" s="32"/>
    </row>
    <row r="1511" spans="23:23" x14ac:dyDescent="0.3">
      <c r="W1511" s="32"/>
    </row>
    <row r="1512" spans="23:23" x14ac:dyDescent="0.3">
      <c r="W1512" s="32"/>
    </row>
    <row r="1513" spans="23:23" x14ac:dyDescent="0.3">
      <c r="W1513" s="32"/>
    </row>
    <row r="1514" spans="23:23" x14ac:dyDescent="0.3">
      <c r="W1514" s="32"/>
    </row>
    <row r="1515" spans="23:23" x14ac:dyDescent="0.3">
      <c r="W1515" s="32"/>
    </row>
    <row r="1516" spans="23:23" x14ac:dyDescent="0.3">
      <c r="W1516" s="32"/>
    </row>
    <row r="1517" spans="23:23" x14ac:dyDescent="0.3">
      <c r="W1517" s="32"/>
    </row>
    <row r="1518" spans="23:23" x14ac:dyDescent="0.3">
      <c r="W1518" s="32"/>
    </row>
    <row r="1519" spans="23:23" x14ac:dyDescent="0.3">
      <c r="W1519" s="32"/>
    </row>
    <row r="1520" spans="23:23" x14ac:dyDescent="0.3">
      <c r="W1520" s="32"/>
    </row>
    <row r="1521" spans="23:23" x14ac:dyDescent="0.3">
      <c r="W1521" s="32"/>
    </row>
    <row r="1522" spans="23:23" x14ac:dyDescent="0.3">
      <c r="W1522" s="32"/>
    </row>
    <row r="1523" spans="23:23" x14ac:dyDescent="0.3">
      <c r="W1523" s="32"/>
    </row>
    <row r="1524" spans="23:23" x14ac:dyDescent="0.3">
      <c r="W1524" s="32"/>
    </row>
    <row r="1525" spans="23:23" x14ac:dyDescent="0.3">
      <c r="W1525" s="32"/>
    </row>
    <row r="1526" spans="23:23" x14ac:dyDescent="0.3">
      <c r="W1526" s="32"/>
    </row>
    <row r="1527" spans="23:23" x14ac:dyDescent="0.3">
      <c r="W1527" s="32"/>
    </row>
    <row r="1528" spans="23:23" x14ac:dyDescent="0.3">
      <c r="W1528" s="32"/>
    </row>
    <row r="1529" spans="23:23" x14ac:dyDescent="0.3">
      <c r="W1529" s="32"/>
    </row>
    <row r="1530" spans="23:23" x14ac:dyDescent="0.3">
      <c r="W1530" s="32"/>
    </row>
    <row r="1531" spans="23:23" x14ac:dyDescent="0.3">
      <c r="W1531" s="32"/>
    </row>
    <row r="1532" spans="23:23" x14ac:dyDescent="0.3">
      <c r="W1532" s="32"/>
    </row>
    <row r="1533" spans="23:23" x14ac:dyDescent="0.3">
      <c r="W1533" s="32"/>
    </row>
    <row r="1534" spans="23:23" x14ac:dyDescent="0.3">
      <c r="W1534" s="32"/>
    </row>
    <row r="1535" spans="23:23" x14ac:dyDescent="0.3">
      <c r="W1535" s="32"/>
    </row>
    <row r="1536" spans="23:23" x14ac:dyDescent="0.3">
      <c r="W1536" s="32"/>
    </row>
    <row r="1537" spans="23:23" x14ac:dyDescent="0.3">
      <c r="W1537" s="32"/>
    </row>
    <row r="1538" spans="23:23" x14ac:dyDescent="0.3">
      <c r="W1538" s="32"/>
    </row>
    <row r="1539" spans="23:23" x14ac:dyDescent="0.3">
      <c r="W1539" s="32"/>
    </row>
    <row r="1540" spans="23:23" x14ac:dyDescent="0.3">
      <c r="W1540" s="32"/>
    </row>
    <row r="1541" spans="23:23" x14ac:dyDescent="0.3">
      <c r="W1541" s="32"/>
    </row>
    <row r="1542" spans="23:23" x14ac:dyDescent="0.3">
      <c r="W1542" s="32"/>
    </row>
    <row r="1543" spans="23:23" x14ac:dyDescent="0.3">
      <c r="W1543" s="32"/>
    </row>
    <row r="1544" spans="23:23" x14ac:dyDescent="0.3">
      <c r="W1544" s="32"/>
    </row>
    <row r="1545" spans="23:23" x14ac:dyDescent="0.3">
      <c r="W1545" s="32"/>
    </row>
    <row r="1546" spans="23:23" x14ac:dyDescent="0.3">
      <c r="W1546" s="32"/>
    </row>
    <row r="1547" spans="23:23" x14ac:dyDescent="0.3">
      <c r="W1547" s="32"/>
    </row>
    <row r="1548" spans="23:23" x14ac:dyDescent="0.3">
      <c r="W1548" s="32"/>
    </row>
    <row r="1549" spans="23:23" x14ac:dyDescent="0.3">
      <c r="W1549" s="32"/>
    </row>
    <row r="1550" spans="23:23" x14ac:dyDescent="0.3">
      <c r="W1550" s="32"/>
    </row>
    <row r="1551" spans="23:23" x14ac:dyDescent="0.3">
      <c r="W1551" s="32"/>
    </row>
    <row r="1552" spans="23:23" x14ac:dyDescent="0.3">
      <c r="W1552" s="32"/>
    </row>
    <row r="1553" spans="23:23" x14ac:dyDescent="0.3">
      <c r="W1553" s="32"/>
    </row>
    <row r="1554" spans="23:23" x14ac:dyDescent="0.3">
      <c r="W1554" s="32"/>
    </row>
    <row r="1555" spans="23:23" x14ac:dyDescent="0.3">
      <c r="W1555" s="32"/>
    </row>
    <row r="1556" spans="23:23" x14ac:dyDescent="0.3">
      <c r="W1556" s="32"/>
    </row>
    <row r="1557" spans="23:23" x14ac:dyDescent="0.3">
      <c r="W1557" s="32"/>
    </row>
    <row r="1558" spans="23:23" x14ac:dyDescent="0.3">
      <c r="W1558" s="32"/>
    </row>
    <row r="1559" spans="23:23" x14ac:dyDescent="0.3">
      <c r="W1559" s="32"/>
    </row>
    <row r="1560" spans="23:23" x14ac:dyDescent="0.3">
      <c r="W1560" s="32"/>
    </row>
    <row r="1561" spans="23:23" x14ac:dyDescent="0.3">
      <c r="W1561" s="32"/>
    </row>
    <row r="1562" spans="23:23" x14ac:dyDescent="0.3">
      <c r="W1562" s="32"/>
    </row>
    <row r="1563" spans="23:23" x14ac:dyDescent="0.3">
      <c r="W1563" s="32"/>
    </row>
    <row r="1564" spans="23:23" x14ac:dyDescent="0.3">
      <c r="W1564" s="32"/>
    </row>
    <row r="1565" spans="23:23" x14ac:dyDescent="0.3">
      <c r="W1565" s="32"/>
    </row>
    <row r="1566" spans="23:23" x14ac:dyDescent="0.3">
      <c r="W1566" s="32"/>
    </row>
    <row r="1567" spans="23:23" x14ac:dyDescent="0.3">
      <c r="W1567" s="32"/>
    </row>
    <row r="1568" spans="23:23" x14ac:dyDescent="0.3">
      <c r="W1568" s="32"/>
    </row>
    <row r="1569" spans="23:23" x14ac:dyDescent="0.3">
      <c r="W1569" s="32"/>
    </row>
    <row r="1570" spans="23:23" x14ac:dyDescent="0.3">
      <c r="W1570" s="32"/>
    </row>
    <row r="1571" spans="23:23" x14ac:dyDescent="0.3">
      <c r="W1571" s="32"/>
    </row>
    <row r="1572" spans="23:23" x14ac:dyDescent="0.3">
      <c r="W1572" s="32"/>
    </row>
    <row r="1573" spans="23:23" x14ac:dyDescent="0.3">
      <c r="W1573" s="32"/>
    </row>
    <row r="1574" spans="23:23" x14ac:dyDescent="0.3">
      <c r="W1574" s="32"/>
    </row>
    <row r="1575" spans="23:23" x14ac:dyDescent="0.3">
      <c r="W1575" s="32"/>
    </row>
    <row r="1576" spans="23:23" x14ac:dyDescent="0.3">
      <c r="W1576" s="32"/>
    </row>
    <row r="1577" spans="23:23" x14ac:dyDescent="0.3">
      <c r="W1577" s="32"/>
    </row>
    <row r="1578" spans="23:23" x14ac:dyDescent="0.3">
      <c r="W1578" s="32"/>
    </row>
    <row r="1579" spans="23:23" x14ac:dyDescent="0.3">
      <c r="W1579" s="32"/>
    </row>
    <row r="1580" spans="23:23" x14ac:dyDescent="0.3">
      <c r="W1580" s="32"/>
    </row>
    <row r="1581" spans="23:23" x14ac:dyDescent="0.3">
      <c r="W1581" s="32"/>
    </row>
    <row r="1582" spans="23:23" x14ac:dyDescent="0.3">
      <c r="W1582" s="32"/>
    </row>
    <row r="1583" spans="23:23" x14ac:dyDescent="0.3">
      <c r="W1583" s="32"/>
    </row>
    <row r="1584" spans="23:23" x14ac:dyDescent="0.3">
      <c r="W1584" s="32"/>
    </row>
    <row r="1585" spans="23:23" x14ac:dyDescent="0.3">
      <c r="W1585" s="32"/>
    </row>
    <row r="1586" spans="23:23" x14ac:dyDescent="0.3">
      <c r="W1586" s="32"/>
    </row>
    <row r="1587" spans="23:23" x14ac:dyDescent="0.3">
      <c r="W1587" s="32"/>
    </row>
    <row r="1588" spans="23:23" x14ac:dyDescent="0.3">
      <c r="W1588" s="32"/>
    </row>
    <row r="1589" spans="23:23" x14ac:dyDescent="0.3">
      <c r="W1589" s="32"/>
    </row>
    <row r="1590" spans="23:23" x14ac:dyDescent="0.3">
      <c r="W1590" s="32"/>
    </row>
    <row r="1591" spans="23:23" x14ac:dyDescent="0.3">
      <c r="W1591" s="32"/>
    </row>
    <row r="1592" spans="23:23" x14ac:dyDescent="0.3">
      <c r="W1592" s="32"/>
    </row>
    <row r="1593" spans="23:23" x14ac:dyDescent="0.3">
      <c r="W1593" s="32"/>
    </row>
    <row r="1594" spans="23:23" x14ac:dyDescent="0.3">
      <c r="W1594" s="32"/>
    </row>
    <row r="1595" spans="23:23" x14ac:dyDescent="0.3">
      <c r="W1595" s="32"/>
    </row>
    <row r="1596" spans="23:23" x14ac:dyDescent="0.3">
      <c r="W1596" s="32"/>
    </row>
    <row r="1597" spans="23:23" x14ac:dyDescent="0.3">
      <c r="W1597" s="32"/>
    </row>
    <row r="1598" spans="23:23" x14ac:dyDescent="0.3">
      <c r="W1598" s="32"/>
    </row>
    <row r="1599" spans="23:23" x14ac:dyDescent="0.3">
      <c r="W1599" s="32"/>
    </row>
    <row r="1600" spans="23:23" x14ac:dyDescent="0.3">
      <c r="W1600" s="32"/>
    </row>
    <row r="1601" spans="23:23" x14ac:dyDescent="0.3">
      <c r="W1601" s="32"/>
    </row>
    <row r="1602" spans="23:23" x14ac:dyDescent="0.3">
      <c r="W1602" s="32"/>
    </row>
    <row r="1603" spans="23:23" x14ac:dyDescent="0.3">
      <c r="W1603" s="32"/>
    </row>
    <row r="1604" spans="23:23" x14ac:dyDescent="0.3">
      <c r="W1604" s="32"/>
    </row>
    <row r="1605" spans="23:23" x14ac:dyDescent="0.3">
      <c r="W1605" s="32"/>
    </row>
    <row r="1606" spans="23:23" x14ac:dyDescent="0.3">
      <c r="W1606" s="32"/>
    </row>
    <row r="1607" spans="23:23" x14ac:dyDescent="0.3">
      <c r="W1607" s="32"/>
    </row>
    <row r="1608" spans="23:23" x14ac:dyDescent="0.3">
      <c r="W1608" s="32"/>
    </row>
    <row r="1609" spans="23:23" x14ac:dyDescent="0.3">
      <c r="W1609" s="32"/>
    </row>
    <row r="1610" spans="23:23" x14ac:dyDescent="0.3">
      <c r="W1610" s="32"/>
    </row>
    <row r="1611" spans="23:23" x14ac:dyDescent="0.3">
      <c r="W1611" s="32"/>
    </row>
    <row r="1612" spans="23:23" x14ac:dyDescent="0.3">
      <c r="W1612" s="32"/>
    </row>
    <row r="1613" spans="23:23" x14ac:dyDescent="0.3">
      <c r="W1613" s="32"/>
    </row>
    <row r="1614" spans="23:23" x14ac:dyDescent="0.3">
      <c r="W1614" s="32"/>
    </row>
    <row r="1615" spans="23:23" x14ac:dyDescent="0.3">
      <c r="W1615" s="32"/>
    </row>
    <row r="1616" spans="23:23" x14ac:dyDescent="0.3">
      <c r="W1616" s="32"/>
    </row>
    <row r="1617" spans="23:23" x14ac:dyDescent="0.3">
      <c r="W1617" s="32"/>
    </row>
    <row r="1618" spans="23:23" x14ac:dyDescent="0.3">
      <c r="W1618" s="32"/>
    </row>
    <row r="1619" spans="23:23" x14ac:dyDescent="0.3">
      <c r="W1619" s="32"/>
    </row>
    <row r="1620" spans="23:23" x14ac:dyDescent="0.3">
      <c r="W1620" s="32"/>
    </row>
    <row r="1621" spans="23:23" x14ac:dyDescent="0.3">
      <c r="W1621" s="32"/>
    </row>
    <row r="1622" spans="23:23" x14ac:dyDescent="0.3">
      <c r="W1622" s="32"/>
    </row>
    <row r="1623" spans="23:23" x14ac:dyDescent="0.3">
      <c r="W1623" s="32"/>
    </row>
    <row r="1624" spans="23:23" x14ac:dyDescent="0.3">
      <c r="W1624" s="32"/>
    </row>
    <row r="1625" spans="23:23" x14ac:dyDescent="0.3">
      <c r="W1625" s="32"/>
    </row>
    <row r="1626" spans="23:23" x14ac:dyDescent="0.3">
      <c r="W1626" s="32"/>
    </row>
    <row r="1627" spans="23:23" x14ac:dyDescent="0.3">
      <c r="W1627" s="32"/>
    </row>
    <row r="1628" spans="23:23" x14ac:dyDescent="0.3">
      <c r="W1628" s="32"/>
    </row>
    <row r="1629" spans="23:23" x14ac:dyDescent="0.3">
      <c r="W1629" s="32"/>
    </row>
    <row r="1630" spans="23:23" x14ac:dyDescent="0.3">
      <c r="W1630" s="32"/>
    </row>
    <row r="1631" spans="23:23" x14ac:dyDescent="0.3">
      <c r="W1631" s="32"/>
    </row>
    <row r="1632" spans="23:23" x14ac:dyDescent="0.3">
      <c r="W1632" s="32"/>
    </row>
    <row r="1633" spans="23:23" x14ac:dyDescent="0.3">
      <c r="W1633" s="32"/>
    </row>
    <row r="1634" spans="23:23" x14ac:dyDescent="0.3">
      <c r="W1634" s="32"/>
    </row>
    <row r="1635" spans="23:23" x14ac:dyDescent="0.3">
      <c r="W1635" s="32"/>
    </row>
    <row r="1636" spans="23:23" x14ac:dyDescent="0.3">
      <c r="W1636" s="32"/>
    </row>
    <row r="1637" spans="23:23" x14ac:dyDescent="0.3">
      <c r="W1637" s="32"/>
    </row>
    <row r="1638" spans="23:23" x14ac:dyDescent="0.3">
      <c r="W1638" s="32"/>
    </row>
    <row r="1639" spans="23:23" x14ac:dyDescent="0.3">
      <c r="W1639" s="32"/>
    </row>
    <row r="1640" spans="23:23" x14ac:dyDescent="0.3">
      <c r="W1640" s="32"/>
    </row>
    <row r="1641" spans="23:23" x14ac:dyDescent="0.3">
      <c r="W1641" s="32"/>
    </row>
    <row r="1642" spans="23:23" x14ac:dyDescent="0.3">
      <c r="W1642" s="32"/>
    </row>
    <row r="1643" spans="23:23" x14ac:dyDescent="0.3">
      <c r="W1643" s="32"/>
    </row>
    <row r="1644" spans="23:23" x14ac:dyDescent="0.3">
      <c r="W1644" s="32"/>
    </row>
    <row r="1645" spans="23:23" x14ac:dyDescent="0.3">
      <c r="W1645" s="32"/>
    </row>
    <row r="1646" spans="23:23" x14ac:dyDescent="0.3">
      <c r="W1646" s="32"/>
    </row>
    <row r="1647" spans="23:23" x14ac:dyDescent="0.3">
      <c r="W1647" s="32"/>
    </row>
    <row r="1648" spans="23:23" x14ac:dyDescent="0.3">
      <c r="W1648" s="32"/>
    </row>
    <row r="1649" spans="23:23" x14ac:dyDescent="0.3">
      <c r="W1649" s="32"/>
    </row>
    <row r="1650" spans="23:23" x14ac:dyDescent="0.3">
      <c r="W1650" s="32"/>
    </row>
    <row r="1651" spans="23:23" x14ac:dyDescent="0.3">
      <c r="W1651" s="32"/>
    </row>
    <row r="1652" spans="23:23" x14ac:dyDescent="0.3">
      <c r="W1652" s="32"/>
    </row>
    <row r="1653" spans="23:23" x14ac:dyDescent="0.3">
      <c r="W1653" s="32"/>
    </row>
    <row r="1654" spans="23:23" x14ac:dyDescent="0.3">
      <c r="W1654" s="32"/>
    </row>
    <row r="1655" spans="23:23" x14ac:dyDescent="0.3">
      <c r="W1655" s="32"/>
    </row>
    <row r="1656" spans="23:23" x14ac:dyDescent="0.3">
      <c r="W1656" s="32"/>
    </row>
    <row r="1657" spans="23:23" x14ac:dyDescent="0.3">
      <c r="W1657" s="32"/>
    </row>
    <row r="1658" spans="23:23" x14ac:dyDescent="0.3">
      <c r="W1658" s="32"/>
    </row>
    <row r="1659" spans="23:23" x14ac:dyDescent="0.3">
      <c r="W1659" s="32"/>
    </row>
    <row r="1660" spans="23:23" x14ac:dyDescent="0.3">
      <c r="W1660" s="32"/>
    </row>
    <row r="1661" spans="23:23" x14ac:dyDescent="0.3">
      <c r="W1661" s="32"/>
    </row>
    <row r="1662" spans="23:23" x14ac:dyDescent="0.3">
      <c r="W1662" s="32"/>
    </row>
    <row r="1663" spans="23:23" x14ac:dyDescent="0.3">
      <c r="W1663" s="32"/>
    </row>
  </sheetData>
  <autoFilter ref="A4:ED5" xr:uid="{A8081164-2D9D-4DA1-9E28-82179C0C281C}"/>
  <mergeCells count="10">
    <mergeCell ref="AQ3:BU3"/>
    <mergeCell ref="BV3:CX3"/>
    <mergeCell ref="CY3:ED3"/>
    <mergeCell ref="EE3:FJ3"/>
    <mergeCell ref="D2:H2"/>
    <mergeCell ref="AG2:AH2"/>
    <mergeCell ref="D3:J3"/>
    <mergeCell ref="K3:AJ3"/>
    <mergeCell ref="AK3:AL3"/>
    <mergeCell ref="AM3:AP3"/>
  </mergeCells>
  <conditionalFormatting sqref="K47:K48">
    <cfRule type="duplicateValues" dxfId="10" priority="21"/>
  </conditionalFormatting>
  <conditionalFormatting sqref="V84">
    <cfRule type="duplicateValues" dxfId="9" priority="12"/>
  </conditionalFormatting>
  <conditionalFormatting sqref="K30">
    <cfRule type="duplicateValues" dxfId="8" priority="11"/>
  </conditionalFormatting>
  <conditionalFormatting sqref="C110:C1663 C5:C64 C80:C99">
    <cfRule type="duplicateValues" dxfId="7" priority="27"/>
  </conditionalFormatting>
  <conditionalFormatting sqref="V101:V109">
    <cfRule type="duplicateValues" dxfId="6" priority="28"/>
  </conditionalFormatting>
  <conditionalFormatting sqref="V5:V15">
    <cfRule type="duplicateValues" dxfId="5" priority="6"/>
  </conditionalFormatting>
  <conditionalFormatting sqref="V20:V21">
    <cfRule type="duplicateValues" dxfId="4" priority="5"/>
  </conditionalFormatting>
  <conditionalFormatting sqref="K100">
    <cfRule type="duplicateValues" dxfId="3" priority="2"/>
  </conditionalFormatting>
  <conditionalFormatting sqref="A5:A1663">
    <cfRule type="duplicateValues" dxfId="2" priority="32"/>
  </conditionalFormatting>
  <conditionalFormatting sqref="C100">
    <cfRule type="duplicateValues" dxfId="1" priority="34"/>
  </conditionalFormatting>
  <conditionalFormatting sqref="D100">
    <cfRule type="duplicateValues" dxfId="0" priority="35"/>
  </conditionalFormatting>
  <printOptions gridLines="1"/>
  <pageMargins left="0" right="0" top="0" bottom="0" header="0" footer="0"/>
  <pageSetup paperSize="8" scale="25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3771777" r:id="rId4" name="Config_Vis">
          <controlPr defaultSize="0" autoLine="0" autoPict="0" r:id="rId5">
            <anchor moveWithCells="1">
              <from>
                <xdr:col>2</xdr:col>
                <xdr:colOff>601980</xdr:colOff>
                <xdr:row>0</xdr:row>
                <xdr:rowOff>68580</xdr:rowOff>
              </from>
              <to>
                <xdr:col>2</xdr:col>
                <xdr:colOff>1097280</xdr:colOff>
                <xdr:row>0</xdr:row>
                <xdr:rowOff>312420</xdr:rowOff>
              </to>
            </anchor>
          </controlPr>
        </control>
      </mc:Choice>
      <mc:Fallback>
        <control shapeId="13771777" r:id="rId4" name="Config_Vis"/>
      </mc:Fallback>
    </mc:AlternateContent>
    <mc:AlternateContent xmlns:mc="http://schemas.openxmlformats.org/markup-compatibility/2006">
      <mc:Choice Requires="x14">
        <control shapeId="13771778" r:id="rId6" name="Variable_Vis">
          <controlPr defaultSize="0" autoLine="0" autoPict="0" r:id="rId7">
            <anchor moveWithCells="1">
              <from>
                <xdr:col>2</xdr:col>
                <xdr:colOff>1150620</xdr:colOff>
                <xdr:row>0</xdr:row>
                <xdr:rowOff>60960</xdr:rowOff>
              </from>
              <to>
                <xdr:col>2</xdr:col>
                <xdr:colOff>1508760</xdr:colOff>
                <xdr:row>0</xdr:row>
                <xdr:rowOff>304800</xdr:rowOff>
              </to>
            </anchor>
          </controlPr>
        </control>
      </mc:Choice>
      <mc:Fallback>
        <control shapeId="13771778" r:id="rId6" name="Variable_Vis"/>
      </mc:Fallback>
    </mc:AlternateContent>
    <mc:AlternateContent xmlns:mc="http://schemas.openxmlformats.org/markup-compatibility/2006">
      <mc:Choice Requires="x14">
        <control shapeId="13771779" r:id="rId8" name="Digalm_Vis">
          <controlPr defaultSize="0" autoLine="0" autoPict="0" r:id="rId9">
            <anchor moveWithCells="1">
              <from>
                <xdr:col>2</xdr:col>
                <xdr:colOff>1562100</xdr:colOff>
                <xdr:row>0</xdr:row>
                <xdr:rowOff>60960</xdr:rowOff>
              </from>
              <to>
                <xdr:col>2</xdr:col>
                <xdr:colOff>2087880</xdr:colOff>
                <xdr:row>0</xdr:row>
                <xdr:rowOff>304800</xdr:rowOff>
              </to>
            </anchor>
          </controlPr>
        </control>
      </mc:Choice>
      <mc:Fallback>
        <control shapeId="13771779" r:id="rId8" name="Digalm_Vis"/>
      </mc:Fallback>
    </mc:AlternateContent>
    <mc:AlternateContent xmlns:mc="http://schemas.openxmlformats.org/markup-compatibility/2006">
      <mc:Choice Requires="x14">
        <control shapeId="13771780" r:id="rId10" name="Trend_Vis">
          <controlPr defaultSize="0" autoLine="0" autoPict="0" r:id="rId11">
            <anchor moveWithCells="1">
              <from>
                <xdr:col>2</xdr:col>
                <xdr:colOff>2156460</xdr:colOff>
                <xdr:row>0</xdr:row>
                <xdr:rowOff>60960</xdr:rowOff>
              </from>
              <to>
                <xdr:col>2</xdr:col>
                <xdr:colOff>2628900</xdr:colOff>
                <xdr:row>0</xdr:row>
                <xdr:rowOff>304800</xdr:rowOff>
              </to>
            </anchor>
          </controlPr>
        </control>
      </mc:Choice>
      <mc:Fallback>
        <control shapeId="13771780" r:id="rId10" name="Trend_Vis"/>
      </mc:Fallback>
    </mc:AlternateContent>
    <mc:AlternateContent xmlns:mc="http://schemas.openxmlformats.org/markup-compatibility/2006">
      <mc:Choice Requires="x14">
        <control shapeId="13771781" r:id="rId12" name="Import_Vis">
          <controlPr defaultSize="0" autoLine="0" autoPict="0" r:id="rId13">
            <anchor moveWithCells="1">
              <from>
                <xdr:col>2</xdr:col>
                <xdr:colOff>30480</xdr:colOff>
                <xdr:row>0</xdr:row>
                <xdr:rowOff>68580</xdr:rowOff>
              </from>
              <to>
                <xdr:col>2</xdr:col>
                <xdr:colOff>533400</xdr:colOff>
                <xdr:row>0</xdr:row>
                <xdr:rowOff>312420</xdr:rowOff>
              </to>
            </anchor>
          </controlPr>
        </control>
      </mc:Choice>
      <mc:Fallback>
        <control shapeId="13771781" r:id="rId12" name="Import_Vis"/>
      </mc:Fallback>
    </mc:AlternateContent>
    <mc:AlternateContent xmlns:mc="http://schemas.openxmlformats.org/markup-compatibility/2006">
      <mc:Choice Requires="x14">
        <control shapeId="13771784" r:id="rId14" name="PV_Vis">
          <controlPr defaultSize="0" autoLine="0" autoPict="0" r:id="rId15">
            <anchor moveWithCells="1">
              <from>
                <xdr:col>2</xdr:col>
                <xdr:colOff>2697480</xdr:colOff>
                <xdr:row>0</xdr:row>
                <xdr:rowOff>60960</xdr:rowOff>
              </from>
              <to>
                <xdr:col>2</xdr:col>
                <xdr:colOff>3048000</xdr:colOff>
                <xdr:row>0</xdr:row>
                <xdr:rowOff>304800</xdr:rowOff>
              </to>
            </anchor>
          </controlPr>
        </control>
      </mc:Choice>
      <mc:Fallback>
        <control shapeId="13771784" r:id="rId14" name="PV_Vis"/>
      </mc:Fallback>
    </mc:AlternateContent>
    <mc:AlternateContent xmlns:mc="http://schemas.openxmlformats.org/markup-compatibility/2006">
      <mc:Choice Requires="x14">
        <control shapeId="13771782" r:id="rId16" name="Button 6">
          <controlPr defaultSize="0" print="0" autoFill="0" autoPict="0" macro="[0]!Apply_Top_Row" altText="Apply top row">
            <anchor moveWithCells="1" sizeWithCells="1">
              <from>
                <xdr:col>2</xdr:col>
                <xdr:colOff>274320</xdr:colOff>
                <xdr:row>1</xdr:row>
                <xdr:rowOff>60960</xdr:rowOff>
              </from>
              <to>
                <xdr:col>2</xdr:col>
                <xdr:colOff>1508760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71783" r:id="rId17" name="Button 7">
          <controlPr defaultSize="0" print="0" autoFill="0" autoPict="0" macro="[0]!Update_Template">
            <anchor moveWithCells="1" sizeWithCells="1">
              <from>
                <xdr:col>2</xdr:col>
                <xdr:colOff>1783080</xdr:colOff>
                <xdr:row>1</xdr:row>
                <xdr:rowOff>60960</xdr:rowOff>
              </from>
              <to>
                <xdr:col>2</xdr:col>
                <xdr:colOff>3108960</xdr:colOff>
                <xdr:row>1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71785" r:id="rId18" name="Button 9">
          <controlPr defaultSize="0" print="0" autoFill="0" autoPict="0" macro="[0]!Import_UDT">
            <anchor moveWithCells="1" sizeWithCells="1">
              <from>
                <xdr:col>3</xdr:col>
                <xdr:colOff>83820</xdr:colOff>
                <xdr:row>1</xdr:row>
                <xdr:rowOff>60960</xdr:rowOff>
              </from>
              <to>
                <xdr:col>4</xdr:col>
                <xdr:colOff>350520</xdr:colOff>
                <xdr:row>1</xdr:row>
                <xdr:rowOff>502920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71786" r:id="rId19" name="Button 10">
          <controlPr defaultSize="0" print="0" autoFill="0" autoPict="0" macro="[0]!Export_UDT">
            <anchor moveWithCells="1" sizeWithCells="1">
              <from>
                <xdr:col>4</xdr:col>
                <xdr:colOff>403860</xdr:colOff>
                <xdr:row>1</xdr:row>
                <xdr:rowOff>68580</xdr:rowOff>
              </from>
              <to>
                <xdr:col>6</xdr:col>
                <xdr:colOff>259080</xdr:colOff>
                <xdr:row>1</xdr:row>
                <xdr:rowOff>518160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71787" r:id="rId20" name="Button 11">
          <controlPr defaultSize="0" print="0" autoFill="0" autoPict="0" macro="[0]!FindInFile">
            <anchor moveWithCells="1" sizeWithCells="1">
              <from>
                <xdr:col>22</xdr:col>
                <xdr:colOff>190500</xdr:colOff>
                <xdr:row>1</xdr:row>
                <xdr:rowOff>190500</xdr:rowOff>
              </from>
              <to>
                <xdr:col>23</xdr:col>
                <xdr:colOff>487680</xdr:colOff>
                <xdr:row>1</xdr:row>
                <xdr:rowOff>373380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F157B-84CD-4134-A54E-413CCBFEA5E3}">
  <sheetPr codeName="Template_UDT18">
    <tabColor indexed="42"/>
    <pageSetUpPr fitToPage="1"/>
  </sheetPr>
  <dimension ref="A1:FJ358"/>
  <sheetViews>
    <sheetView zoomScale="85" zoomScaleNormal="85" workbookViewId="0">
      <pane ySplit="4" topLeftCell="A5" activePane="bottomLeft" state="frozen"/>
      <selection activeCell="C13" sqref="C13"/>
      <selection pane="bottomLeft" activeCell="C13" sqref="C13"/>
    </sheetView>
  </sheetViews>
  <sheetFormatPr defaultRowHeight="14.4" x14ac:dyDescent="0.3"/>
  <cols>
    <col min="1" max="1" width="30.33203125" customWidth="1"/>
    <col min="2" max="2" width="15.5546875" customWidth="1"/>
    <col min="3" max="3" width="53.109375" customWidth="1"/>
    <col min="4" max="4" width="13.44140625" hidden="1" customWidth="1"/>
    <col min="5" max="5" width="10" hidden="1" customWidth="1"/>
    <col min="6" max="6" width="8.88671875" hidden="1" customWidth="1"/>
    <col min="7" max="7" width="42.109375" hidden="1" customWidth="1"/>
    <col min="8" max="8" width="15" hidden="1" customWidth="1"/>
    <col min="9" max="10" width="1.6640625" hidden="1" customWidth="1"/>
    <col min="11" max="11" width="37.33203125" customWidth="1"/>
    <col min="12" max="12" width="8" customWidth="1"/>
    <col min="13" max="13" width="7.109375" customWidth="1"/>
    <col min="14" max="14" width="7.6640625" customWidth="1"/>
    <col min="15" max="15" width="6.5546875" customWidth="1"/>
    <col min="16" max="16" width="7.33203125" customWidth="1"/>
    <col min="17" max="17" width="7.44140625" customWidth="1"/>
    <col min="18" max="18" width="8.33203125" customWidth="1"/>
    <col min="19" max="19" width="8.44140625" customWidth="1"/>
    <col min="20" max="20" width="13" customWidth="1"/>
    <col min="21" max="21" width="10" customWidth="1"/>
    <col min="22" max="22" width="11.5546875" customWidth="1"/>
    <col min="23" max="23" width="9.6640625" customWidth="1"/>
    <col min="24" max="36" width="9" customWidth="1"/>
    <col min="37" max="38" width="16" customWidth="1"/>
    <col min="39" max="42" width="8.6640625" customWidth="1"/>
    <col min="43" max="43" width="22.88671875" hidden="1" customWidth="1"/>
    <col min="44" max="44" width="9.109375" hidden="1" customWidth="1"/>
    <col min="45" max="45" width="12.88671875" hidden="1" customWidth="1"/>
    <col min="46" max="46" width="36.88671875" hidden="1" customWidth="1"/>
    <col min="47" max="47" width="12.109375" hidden="1" customWidth="1"/>
    <col min="48" max="48" width="11.44140625" hidden="1" customWidth="1"/>
    <col min="49" max="49" width="11.6640625" hidden="1" customWidth="1"/>
    <col min="50" max="50" width="11" hidden="1" customWidth="1"/>
    <col min="51" max="51" width="12" hidden="1" customWidth="1"/>
    <col min="52" max="52" width="10" hidden="1" customWidth="1"/>
    <col min="53" max="53" width="29.33203125" hidden="1" customWidth="1"/>
    <col min="54" max="54" width="11.109375" hidden="1" customWidth="1"/>
    <col min="55" max="55" width="8.109375" hidden="1" customWidth="1"/>
    <col min="56" max="56" width="4.5546875" hidden="1" customWidth="1"/>
    <col min="57" max="57" width="5.88671875" hidden="1" customWidth="1"/>
    <col min="58" max="58" width="6.33203125" hidden="1" customWidth="1"/>
    <col min="59" max="59" width="12.5546875" hidden="1" customWidth="1"/>
    <col min="60" max="60" width="9.6640625" hidden="1" customWidth="1"/>
    <col min="61" max="61" width="13.5546875" hidden="1" customWidth="1"/>
    <col min="62" max="62" width="10.109375" hidden="1" customWidth="1"/>
    <col min="63" max="63" width="7.109375" hidden="1" customWidth="1"/>
    <col min="64" max="64" width="8.88671875" hidden="1" customWidth="1"/>
    <col min="65" max="65" width="11.6640625" hidden="1" customWidth="1"/>
    <col min="66" max="66" width="15.44140625" hidden="1" customWidth="1"/>
    <col min="67" max="67" width="10.6640625" hidden="1" customWidth="1"/>
    <col min="68" max="68" width="14.33203125" hidden="1" customWidth="1"/>
    <col min="69" max="73" width="10.6640625" hidden="1" customWidth="1"/>
    <col min="74" max="74" width="18.5546875" hidden="1" customWidth="1"/>
    <col min="75" max="75" width="20.44140625" hidden="1" customWidth="1"/>
    <col min="76" max="76" width="38.5546875" hidden="1" customWidth="1"/>
    <col min="77" max="77" width="18.5546875" hidden="1" customWidth="1"/>
    <col min="78" max="78" width="18.6640625" hidden="1" customWidth="1"/>
    <col min="79" max="79" width="12.109375" hidden="1" customWidth="1"/>
    <col min="80" max="80" width="21.6640625" hidden="1" customWidth="1"/>
    <col min="81" max="81" width="5.88671875" hidden="1" customWidth="1"/>
    <col min="82" max="82" width="6.88671875" hidden="1" customWidth="1"/>
    <col min="83" max="83" width="28.5546875" hidden="1" customWidth="1"/>
    <col min="84" max="84" width="11.6640625" hidden="1" customWidth="1"/>
    <col min="85" max="85" width="7.6640625" hidden="1" customWidth="1"/>
    <col min="86" max="86" width="10.33203125" hidden="1" customWidth="1"/>
    <col min="87" max="93" width="10.6640625" hidden="1" customWidth="1"/>
    <col min="94" max="94" width="10.109375" hidden="1" customWidth="1"/>
    <col min="95" max="95" width="13.5546875" hidden="1" customWidth="1"/>
    <col min="96" max="96" width="8.88671875" hidden="1" customWidth="1"/>
    <col min="97" max="97" width="13.109375" hidden="1" customWidth="1"/>
    <col min="98" max="98" width="11.109375" hidden="1" customWidth="1"/>
    <col min="99" max="99" width="8.109375" hidden="1" customWidth="1"/>
    <col min="100" max="100" width="7.109375" hidden="1" customWidth="1"/>
    <col min="101" max="101" width="6" hidden="1" customWidth="1"/>
    <col min="102" max="102" width="11.6640625" hidden="1" customWidth="1"/>
    <col min="103" max="104" width="18.5546875" customWidth="1"/>
    <col min="105" max="105" width="6.6640625" customWidth="1"/>
    <col min="106" max="106" width="13.5546875" customWidth="1"/>
    <col min="107" max="107" width="6.6640625" customWidth="1"/>
    <col min="108" max="108" width="6.88671875" customWidth="1"/>
    <col min="109" max="109" width="12" customWidth="1"/>
    <col min="110" max="110" width="10" customWidth="1"/>
    <col min="111" max="111" width="15.44140625" customWidth="1"/>
    <col min="112" max="112" width="6.6640625" customWidth="1"/>
    <col min="113" max="113" width="10" customWidth="1"/>
    <col min="114" max="114" width="8.88671875" customWidth="1"/>
    <col min="115" max="115" width="28.5546875" customWidth="1"/>
    <col min="116" max="116" width="16.33203125" customWidth="1"/>
    <col min="117" max="117" width="10.5546875" customWidth="1"/>
    <col min="118" max="119" width="6.6640625" customWidth="1"/>
    <col min="120" max="120" width="13.5546875" customWidth="1"/>
    <col min="121" max="121" width="14.5546875" customWidth="1"/>
    <col min="122" max="122" width="8.33203125" customWidth="1"/>
    <col min="123" max="123" width="12.88671875" customWidth="1"/>
    <col min="124" max="124" width="31" customWidth="1"/>
    <col min="125" max="125" width="10.109375" customWidth="1"/>
    <col min="126" max="126" width="13.5546875" customWidth="1"/>
    <col min="127" max="127" width="11.109375" customWidth="1"/>
    <col min="128" max="128" width="8.109375" customWidth="1"/>
    <col min="129" max="129" width="12.5546875" customWidth="1"/>
    <col min="130" max="130" width="7.109375" customWidth="1"/>
    <col min="131" max="131" width="6.6640625" customWidth="1"/>
    <col min="132" max="133" width="11.6640625" customWidth="1"/>
    <col min="134" max="134" width="11" customWidth="1"/>
    <col min="135" max="135" width="10.6640625" hidden="1" customWidth="1"/>
    <col min="136" max="136" width="37.5546875" hidden="1" customWidth="1"/>
    <col min="137" max="137" width="20.44140625" hidden="1" customWidth="1"/>
    <col min="138" max="141" width="5.6640625" hidden="1" customWidth="1"/>
    <col min="142" max="156" width="10.6640625" hidden="1" customWidth="1"/>
    <col min="157" max="157" width="38.6640625" hidden="1" customWidth="1"/>
    <col min="158" max="163" width="10.6640625" hidden="1" customWidth="1"/>
    <col min="164" max="165" width="100.6640625" hidden="1" customWidth="1"/>
    <col min="166" max="166" width="11.5546875" hidden="1" customWidth="1"/>
  </cols>
  <sheetData>
    <row r="1" spans="1:166" ht="32.25" customHeight="1" x14ac:dyDescent="0.3"/>
    <row r="2" spans="1:166" ht="48" customHeight="1" thickBot="1" x14ac:dyDescent="0.35">
      <c r="C2" s="20"/>
      <c r="D2" s="121" t="s">
        <v>292</v>
      </c>
      <c r="E2" s="121"/>
      <c r="F2" s="121"/>
      <c r="G2" s="121"/>
      <c r="H2" s="121"/>
      <c r="M2" s="60"/>
      <c r="N2" s="60"/>
      <c r="O2" s="60"/>
      <c r="P2" s="60"/>
      <c r="Q2" s="60"/>
      <c r="R2" s="60"/>
      <c r="S2" s="60"/>
      <c r="T2" s="60" t="s">
        <v>275</v>
      </c>
      <c r="U2" s="60" t="s">
        <v>274</v>
      </c>
      <c r="V2" s="60"/>
      <c r="W2" s="60"/>
      <c r="X2" s="60"/>
      <c r="Y2" s="60" t="s">
        <v>272</v>
      </c>
      <c r="Z2" s="71"/>
      <c r="AA2" s="71"/>
      <c r="AB2" s="60" t="s">
        <v>269</v>
      </c>
      <c r="AC2" s="60" t="s">
        <v>276</v>
      </c>
      <c r="AD2" s="60" t="s">
        <v>289</v>
      </c>
      <c r="AE2" s="60" t="s">
        <v>281</v>
      </c>
      <c r="AF2" s="60" t="s">
        <v>277</v>
      </c>
      <c r="AG2" s="128" t="s">
        <v>278</v>
      </c>
      <c r="AH2" s="128"/>
      <c r="AI2" s="60"/>
      <c r="AJ2" s="60"/>
      <c r="FH2" s="20" t="s">
        <v>264</v>
      </c>
      <c r="FI2" s="20" t="s">
        <v>290</v>
      </c>
    </row>
    <row r="3" spans="1:166" ht="15" thickBot="1" x14ac:dyDescent="0.35">
      <c r="D3" s="125" t="s">
        <v>72</v>
      </c>
      <c r="E3" s="126"/>
      <c r="F3" s="126"/>
      <c r="G3" s="126"/>
      <c r="H3" s="126"/>
      <c r="I3" s="126"/>
      <c r="J3" s="127"/>
      <c r="K3" s="122" t="s">
        <v>83</v>
      </c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2" t="s">
        <v>284</v>
      </c>
      <c r="AL3" s="124"/>
      <c r="AM3" s="122" t="s">
        <v>303</v>
      </c>
      <c r="AN3" s="123"/>
      <c r="AO3" s="123"/>
      <c r="AP3" s="124"/>
      <c r="AQ3" s="125" t="s">
        <v>91</v>
      </c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7"/>
      <c r="BV3" s="125" t="s">
        <v>89</v>
      </c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  <c r="CT3" s="126"/>
      <c r="CU3" s="126"/>
      <c r="CV3" s="126"/>
      <c r="CW3" s="126"/>
      <c r="CX3" s="127"/>
      <c r="CY3" s="125" t="s">
        <v>90</v>
      </c>
      <c r="CZ3" s="126"/>
      <c r="DA3" s="126"/>
      <c r="DB3" s="126"/>
      <c r="DC3" s="126"/>
      <c r="DD3" s="126"/>
      <c r="DE3" s="126"/>
      <c r="DF3" s="126"/>
      <c r="DG3" s="126"/>
      <c r="DH3" s="126"/>
      <c r="DI3" s="126"/>
      <c r="DJ3" s="126"/>
      <c r="DK3" s="126"/>
      <c r="DL3" s="126"/>
      <c r="DM3" s="126"/>
      <c r="DN3" s="126"/>
      <c r="DO3" s="126"/>
      <c r="DP3" s="126"/>
      <c r="DQ3" s="126"/>
      <c r="DR3" s="126"/>
      <c r="DS3" s="126"/>
      <c r="DT3" s="126"/>
      <c r="DU3" s="126"/>
      <c r="DV3" s="126"/>
      <c r="DW3" s="126"/>
      <c r="DX3" s="126"/>
      <c r="DY3" s="126"/>
      <c r="DZ3" s="126"/>
      <c r="EA3" s="126"/>
      <c r="EB3" s="126"/>
      <c r="EC3" s="126"/>
      <c r="ED3" s="127"/>
      <c r="EE3" s="122" t="s">
        <v>189</v>
      </c>
      <c r="EF3" s="123"/>
      <c r="EG3" s="123"/>
      <c r="EH3" s="123"/>
      <c r="EI3" s="123"/>
      <c r="EJ3" s="123"/>
      <c r="EK3" s="123"/>
      <c r="EL3" s="123"/>
      <c r="EM3" s="123"/>
      <c r="EN3" s="123"/>
      <c r="EO3" s="123"/>
      <c r="EP3" s="123"/>
      <c r="EQ3" s="123"/>
      <c r="ER3" s="123"/>
      <c r="ES3" s="123"/>
      <c r="ET3" s="123"/>
      <c r="EU3" s="123"/>
      <c r="EV3" s="123"/>
      <c r="EW3" s="123"/>
      <c r="EX3" s="123"/>
      <c r="EY3" s="123"/>
      <c r="EZ3" s="123"/>
      <c r="FA3" s="123"/>
      <c r="FB3" s="123"/>
      <c r="FC3" s="123"/>
      <c r="FD3" s="123"/>
      <c r="FE3" s="123"/>
      <c r="FF3" s="123"/>
      <c r="FG3" s="123"/>
      <c r="FH3" s="123"/>
      <c r="FI3" s="123"/>
      <c r="FJ3" s="124"/>
    </row>
    <row r="4" spans="1:166" s="32" customFormat="1" ht="44.25" customHeight="1" thickBot="1" x14ac:dyDescent="0.35">
      <c r="A4" s="21" t="s">
        <v>187</v>
      </c>
      <c r="B4" s="22" t="s">
        <v>76</v>
      </c>
      <c r="C4" s="23" t="s">
        <v>154</v>
      </c>
      <c r="D4" s="24" t="s">
        <v>86</v>
      </c>
      <c r="E4" s="18" t="s">
        <v>76</v>
      </c>
      <c r="F4" s="18" t="s">
        <v>87</v>
      </c>
      <c r="G4" s="18" t="s">
        <v>73</v>
      </c>
      <c r="H4" s="18" t="s">
        <v>88</v>
      </c>
      <c r="I4" s="25"/>
      <c r="J4" s="26"/>
      <c r="K4" s="21" t="s">
        <v>155</v>
      </c>
      <c r="L4" s="18" t="s">
        <v>327</v>
      </c>
      <c r="M4" s="18" t="s">
        <v>328</v>
      </c>
      <c r="N4" s="18" t="s">
        <v>329</v>
      </c>
      <c r="O4" s="18" t="s">
        <v>330</v>
      </c>
      <c r="P4" s="49" t="s">
        <v>331</v>
      </c>
      <c r="Q4" s="49" t="s">
        <v>332</v>
      </c>
      <c r="R4" s="18" t="s">
        <v>78</v>
      </c>
      <c r="S4" s="18" t="s">
        <v>81</v>
      </c>
      <c r="T4" s="18" t="s">
        <v>157</v>
      </c>
      <c r="U4" s="18" t="s">
        <v>77</v>
      </c>
      <c r="V4" s="27" t="s">
        <v>160</v>
      </c>
      <c r="W4" s="27" t="s">
        <v>161</v>
      </c>
      <c r="X4" s="27" t="s">
        <v>162</v>
      </c>
      <c r="Y4" s="28" t="s">
        <v>163</v>
      </c>
      <c r="Z4" s="70" t="s">
        <v>295</v>
      </c>
      <c r="AA4" s="70" t="s">
        <v>296</v>
      </c>
      <c r="AB4" s="49" t="s">
        <v>174</v>
      </c>
      <c r="AC4" s="49" t="s">
        <v>268</v>
      </c>
      <c r="AD4" s="49" t="s">
        <v>288</v>
      </c>
      <c r="AE4" s="49" t="s">
        <v>267</v>
      </c>
      <c r="AF4" s="49" t="s">
        <v>273</v>
      </c>
      <c r="AG4" s="67" t="s">
        <v>280</v>
      </c>
      <c r="AH4" s="67" t="s">
        <v>279</v>
      </c>
      <c r="AI4" s="67" t="s">
        <v>337</v>
      </c>
      <c r="AJ4" s="28" t="s">
        <v>339</v>
      </c>
      <c r="AK4" s="61" t="s">
        <v>282</v>
      </c>
      <c r="AL4" s="61" t="s">
        <v>283</v>
      </c>
      <c r="AM4" s="69" t="s">
        <v>299</v>
      </c>
      <c r="AN4" s="69" t="s">
        <v>301</v>
      </c>
      <c r="AO4" s="69" t="s">
        <v>300</v>
      </c>
      <c r="AP4" s="69" t="s">
        <v>302</v>
      </c>
      <c r="AQ4" s="30" t="s">
        <v>0</v>
      </c>
      <c r="AR4" s="31" t="s">
        <v>1</v>
      </c>
      <c r="AS4" s="31" t="s">
        <v>2</v>
      </c>
      <c r="AT4" s="31" t="s">
        <v>3</v>
      </c>
      <c r="AU4" s="31" t="s">
        <v>4</v>
      </c>
      <c r="AV4" s="31" t="s">
        <v>5</v>
      </c>
      <c r="AW4" s="31" t="s">
        <v>6</v>
      </c>
      <c r="AX4" s="31" t="s">
        <v>7</v>
      </c>
      <c r="AY4" s="31" t="s">
        <v>8</v>
      </c>
      <c r="AZ4" s="31" t="s">
        <v>9</v>
      </c>
      <c r="BA4" s="31" t="s">
        <v>10</v>
      </c>
      <c r="BB4" s="31" t="s">
        <v>11</v>
      </c>
      <c r="BC4" s="31" t="s">
        <v>12</v>
      </c>
      <c r="BD4" s="31" t="s">
        <v>13</v>
      </c>
      <c r="BE4" s="31" t="s">
        <v>14</v>
      </c>
      <c r="BF4" s="31" t="s">
        <v>15</v>
      </c>
      <c r="BG4" s="31" t="s">
        <v>16</v>
      </c>
      <c r="BH4" s="31" t="s">
        <v>17</v>
      </c>
      <c r="BI4" s="31" t="s">
        <v>18</v>
      </c>
      <c r="BJ4" s="31" t="s">
        <v>19</v>
      </c>
      <c r="BK4" s="31" t="s">
        <v>20</v>
      </c>
      <c r="BL4" s="31" t="s">
        <v>21</v>
      </c>
      <c r="BM4" s="31" t="s">
        <v>22</v>
      </c>
      <c r="BN4" s="31" t="s">
        <v>23</v>
      </c>
      <c r="BO4" s="31" t="s">
        <v>24</v>
      </c>
      <c r="BP4" s="31" t="s">
        <v>25</v>
      </c>
      <c r="BQ4" s="31" t="s">
        <v>26</v>
      </c>
      <c r="BR4" s="31" t="s">
        <v>27</v>
      </c>
      <c r="BS4" s="31" t="s">
        <v>28</v>
      </c>
      <c r="BT4" s="31" t="s">
        <v>29</v>
      </c>
      <c r="BU4" s="29" t="s">
        <v>30</v>
      </c>
      <c r="BV4" s="30" t="s">
        <v>31</v>
      </c>
      <c r="BW4" s="31" t="s">
        <v>0</v>
      </c>
      <c r="BX4" s="31" t="s">
        <v>32</v>
      </c>
      <c r="BY4" s="31" t="s">
        <v>33</v>
      </c>
      <c r="BZ4" s="31" t="s">
        <v>34</v>
      </c>
      <c r="CA4" s="31" t="s">
        <v>35</v>
      </c>
      <c r="CB4" s="31" t="s">
        <v>36</v>
      </c>
      <c r="CC4" s="31" t="s">
        <v>37</v>
      </c>
      <c r="CD4" s="31" t="s">
        <v>38</v>
      </c>
      <c r="CE4" s="31" t="s">
        <v>10</v>
      </c>
      <c r="CF4" s="31" t="s">
        <v>39</v>
      </c>
      <c r="CG4" s="31" t="s">
        <v>40</v>
      </c>
      <c r="CH4" s="31" t="s">
        <v>23</v>
      </c>
      <c r="CI4" s="31" t="s">
        <v>24</v>
      </c>
      <c r="CJ4" s="31" t="s">
        <v>25</v>
      </c>
      <c r="CK4" s="31" t="s">
        <v>26</v>
      </c>
      <c r="CL4" s="31" t="s">
        <v>27</v>
      </c>
      <c r="CM4" s="31" t="s">
        <v>28</v>
      </c>
      <c r="CN4" s="31" t="s">
        <v>29</v>
      </c>
      <c r="CO4" s="31" t="s">
        <v>30</v>
      </c>
      <c r="CP4" s="31" t="s">
        <v>19</v>
      </c>
      <c r="CQ4" s="31" t="s">
        <v>18</v>
      </c>
      <c r="CR4" s="31" t="s">
        <v>41</v>
      </c>
      <c r="CS4" s="31" t="s">
        <v>42</v>
      </c>
      <c r="CT4" s="31" t="s">
        <v>11</v>
      </c>
      <c r="CU4" s="31" t="s">
        <v>12</v>
      </c>
      <c r="CV4" s="31" t="s">
        <v>20</v>
      </c>
      <c r="CW4" s="31" t="s">
        <v>21</v>
      </c>
      <c r="CX4" s="29" t="s">
        <v>22</v>
      </c>
      <c r="CY4" s="30" t="s">
        <v>0</v>
      </c>
      <c r="CZ4" s="31" t="s">
        <v>43</v>
      </c>
      <c r="DA4" s="31"/>
      <c r="DB4" s="31" t="s">
        <v>45</v>
      </c>
      <c r="DC4" s="31" t="s">
        <v>37</v>
      </c>
      <c r="DD4" s="31" t="s">
        <v>38</v>
      </c>
      <c r="DE4" s="31" t="s">
        <v>8</v>
      </c>
      <c r="DF4" s="31" t="s">
        <v>9</v>
      </c>
      <c r="DG4" s="31" t="s">
        <v>46</v>
      </c>
      <c r="DH4" s="31" t="s">
        <v>47</v>
      </c>
      <c r="DI4" s="31" t="s">
        <v>48</v>
      </c>
      <c r="DJ4" s="31" t="s">
        <v>49</v>
      </c>
      <c r="DK4" s="31" t="s">
        <v>10</v>
      </c>
      <c r="DL4" s="31" t="s">
        <v>1</v>
      </c>
      <c r="DM4" s="31" t="s">
        <v>50</v>
      </c>
      <c r="DN4" s="31" t="s">
        <v>51</v>
      </c>
      <c r="DO4" s="31" t="s">
        <v>52</v>
      </c>
      <c r="DP4" s="31" t="s">
        <v>53</v>
      </c>
      <c r="DQ4" s="31" t="s">
        <v>54</v>
      </c>
      <c r="DR4" s="31" t="s">
        <v>55</v>
      </c>
      <c r="DS4" s="31" t="s">
        <v>56</v>
      </c>
      <c r="DT4" s="31" t="s">
        <v>57</v>
      </c>
      <c r="DU4" s="31" t="s">
        <v>19</v>
      </c>
      <c r="DV4" s="31" t="s">
        <v>18</v>
      </c>
      <c r="DW4" s="31" t="s">
        <v>11</v>
      </c>
      <c r="DX4" s="31" t="s">
        <v>12</v>
      </c>
      <c r="DY4" s="31" t="s">
        <v>16</v>
      </c>
      <c r="DZ4" s="31" t="s">
        <v>20</v>
      </c>
      <c r="EA4" s="31" t="s">
        <v>21</v>
      </c>
      <c r="EB4" s="31" t="s">
        <v>22</v>
      </c>
      <c r="EC4" s="31" t="s">
        <v>6</v>
      </c>
      <c r="ED4" s="29" t="s">
        <v>7</v>
      </c>
      <c r="EE4" s="30" t="s">
        <v>191</v>
      </c>
      <c r="EF4" s="31" t="s">
        <v>198</v>
      </c>
      <c r="EG4" s="31" t="s">
        <v>199</v>
      </c>
      <c r="EH4" s="31" t="s">
        <v>194</v>
      </c>
      <c r="EI4" s="31" t="s">
        <v>195</v>
      </c>
      <c r="EJ4" s="31" t="s">
        <v>196</v>
      </c>
      <c r="EK4" s="31" t="s">
        <v>190</v>
      </c>
      <c r="EL4" s="31" t="s">
        <v>197</v>
      </c>
      <c r="EM4" s="31" t="s">
        <v>200</v>
      </c>
      <c r="EN4" s="31" t="s">
        <v>201</v>
      </c>
      <c r="EO4" s="31" t="s">
        <v>202</v>
      </c>
      <c r="EP4" s="31" t="s">
        <v>203</v>
      </c>
      <c r="EQ4" s="31" t="s">
        <v>204</v>
      </c>
      <c r="ER4" s="31" t="s">
        <v>205</v>
      </c>
      <c r="ES4" s="31" t="s">
        <v>206</v>
      </c>
      <c r="ET4" s="31" t="s">
        <v>78</v>
      </c>
      <c r="EU4" s="31" t="s">
        <v>207</v>
      </c>
      <c r="EV4" s="31" t="s">
        <v>208</v>
      </c>
      <c r="EW4" s="31" t="s">
        <v>209</v>
      </c>
      <c r="EX4" s="31" t="s">
        <v>210</v>
      </c>
      <c r="EY4" s="31" t="s">
        <v>211</v>
      </c>
      <c r="EZ4" s="31" t="s">
        <v>212</v>
      </c>
      <c r="FA4" s="31" t="s">
        <v>213</v>
      </c>
      <c r="FB4" s="31" t="s">
        <v>214</v>
      </c>
      <c r="FC4" s="31" t="s">
        <v>215</v>
      </c>
      <c r="FD4" s="31" t="s">
        <v>216</v>
      </c>
      <c r="FE4" s="31" t="s">
        <v>217</v>
      </c>
      <c r="FF4" s="31" t="s">
        <v>218</v>
      </c>
      <c r="FG4" s="61" t="s">
        <v>192</v>
      </c>
      <c r="FH4" s="30" t="s">
        <v>262</v>
      </c>
      <c r="FI4" s="29" t="s">
        <v>263</v>
      </c>
      <c r="FJ4" s="63" t="s">
        <v>251</v>
      </c>
    </row>
    <row r="5" spans="1:166" x14ac:dyDescent="0.3">
      <c r="A5" s="53" t="s">
        <v>189</v>
      </c>
      <c r="B5" s="54" t="s">
        <v>85</v>
      </c>
      <c r="C5" s="54" t="s">
        <v>382</v>
      </c>
      <c r="D5" s="53" t="s">
        <v>189</v>
      </c>
      <c r="E5" s="54" t="s">
        <v>85</v>
      </c>
      <c r="F5" s="54" t="s">
        <v>378</v>
      </c>
      <c r="G5" s="54" t="s">
        <v>382</v>
      </c>
      <c r="H5" s="54" t="s">
        <v>383</v>
      </c>
      <c r="I5" s="54"/>
      <c r="J5" s="55"/>
      <c r="K5" s="56" t="s">
        <v>382</v>
      </c>
      <c r="L5" t="str">
        <f>IF(DL_Min&lt;&gt;"",DL_Min,"")</f>
        <v>[Min]</v>
      </c>
      <c r="M5" t="str">
        <f>IF(DL_Max&lt;&gt;"",DL_Max,"")</f>
        <v>[Max]</v>
      </c>
      <c r="N5" t="str">
        <f>IF(DL_Min&lt;&gt;"",DL_Min,"")</f>
        <v>[Min]</v>
      </c>
      <c r="O5" t="str">
        <f>IF(DL_Max&lt;&gt;"",DL_Max,"")</f>
        <v>[Max]</v>
      </c>
      <c r="P5" t="str">
        <f>IF(DL_TrendMin&lt;&gt;"",DL_TrendMin,"")</f>
        <v>[TrendMin]</v>
      </c>
      <c r="Q5" t="str">
        <f>IF(DL_TrendMax&lt;&gt;"",DL_TrendMax,"")</f>
        <v>[TrendMax]</v>
      </c>
      <c r="R5" t="str">
        <f>IF(DL_Units&lt;&gt;"",DL_Units,"")</f>
        <v>[Units]</v>
      </c>
      <c r="S5" t="str">
        <f>IF(DL_Format&lt;&gt;"",DL_Format,"")</f>
        <v>[Format]</v>
      </c>
      <c r="T5">
        <v>1</v>
      </c>
      <c r="V5" t="s">
        <v>189</v>
      </c>
      <c r="AK5" s="35" t="str">
        <f>IF(V5="",A5,V5)&amp;IF(W5&lt;&gt;"","{"&amp;W5&amp;"}","")&amp;IF(X5&lt;&gt;"","/"&amp;X5,"")</f>
        <v>PV</v>
      </c>
      <c r="AL5" s="35" t="str">
        <f>IF(V5="",A5,V5)&amp;IF(W5&lt;&gt;"","["&amp;W5&amp;"]","")&amp;IF(X5&lt;&gt;"","/"&amp;X5,"")</f>
        <v>PV</v>
      </c>
      <c r="AM5" s="35" t="b">
        <f>$AF5&lt;&gt;TRUE</f>
        <v>1</v>
      </c>
      <c r="AN5" s="35" t="b">
        <f t="shared" ref="AN5:AN19" si="0">AND($U5&lt;&gt;"",$AF5&lt;&gt;TRUE, DL_DisableAlarms&lt;&gt;TRUE)</f>
        <v>0</v>
      </c>
      <c r="AO5" s="35" t="b">
        <f t="shared" ref="AO5:AO19" si="1">AND($T5&lt;&gt;"",$AF5&lt;&gt;TRUE,DL_DisableTrends&lt;&gt;TRUE)</f>
        <v>1</v>
      </c>
      <c r="AP5" s="35" t="b">
        <f t="shared" ref="AP5:AP19" si="2">AND(DL_PVEnable=TRUE,$AC5&lt;&gt;"IGNORE",$AF5&lt;&gt;TRUE)</f>
        <v>0</v>
      </c>
      <c r="AQ5" s="34" t="str">
        <f t="shared" ref="AQ5:AQ19" si="3">IF($AM5,DL_TagPrefixFull&amp;A5,"")</f>
        <v>[TagPrefixFull]PV</v>
      </c>
      <c r="AR5" s="35" t="str">
        <f>IF($AM5,VLOOKUP(B5,DataTypeMappings!$A$2:$B$18,2,"FALSE"),"")</f>
        <v>REAL</v>
      </c>
      <c r="AS5" s="35" t="str">
        <f t="shared" ref="AS5:AS19" si="4">IF($AM5,IF(AG5&lt;&gt;"",AG5,DL_PLC),"")</f>
        <v>[PLC]</v>
      </c>
      <c r="AT5" s="35" t="str">
        <f t="shared" ref="AT5:AT19" si="5">IF($AM5,IF($Y5="",DL_AddrPrefixFull&amp;AK5,Y5),"")</f>
        <v>[AddrPrefixFull]PV</v>
      </c>
      <c r="AU5" s="35" t="str">
        <f>IF($AM5,TRIM(L5),"")</f>
        <v>[Min]</v>
      </c>
      <c r="AV5" s="35" t="str">
        <f>IF($AM5,TRIM(M5),"")</f>
        <v>[Max]</v>
      </c>
      <c r="AW5" s="35" t="str">
        <f>IF($AM5,TRIM(N5),"")</f>
        <v>[Min]</v>
      </c>
      <c r="AX5" s="35" t="str">
        <f>IF($AM5,TRIM(O5),"")</f>
        <v>[Max]</v>
      </c>
      <c r="AY5" s="35" t="str">
        <f>IF($AM5,TRIM(R5),"")</f>
        <v>[Units]</v>
      </c>
      <c r="AZ5" s="35" t="str">
        <f>IF($AM5,TRIM(S5),"")</f>
        <v>[Format]</v>
      </c>
      <c r="BA5" s="35" t="str">
        <f t="shared" ref="BA5:BA19" si="6">IF($AM5,IF(DL_Desc &lt;&gt; "", DL_Desc &amp; Global_Seperator &amp; K5, K5), "")</f>
        <v>[Desc] - Process Variable</v>
      </c>
      <c r="BB5" s="35"/>
      <c r="BC5" s="35"/>
      <c r="BD5" s="35"/>
      <c r="BE5" s="35"/>
      <c r="BF5" s="35"/>
      <c r="BG5" s="35"/>
      <c r="BH5" s="35"/>
      <c r="BI5" s="35"/>
      <c r="BJ5" s="35" t="str">
        <f t="shared" ref="BJ5:BJ19" si="7">IF($AM5,IF(AH5&lt;&gt;"",AH5,DL_Cluster),"")</f>
        <v>[Cluster]</v>
      </c>
      <c r="BK5" s="35" t="str">
        <f t="shared" ref="BK5:BK19" si="8">IF($AM5,IF(Z5&lt;&gt;"",Z5,DL_Equip),"")</f>
        <v>[Equip]</v>
      </c>
      <c r="BL5" s="35" t="str">
        <f t="shared" ref="BL5:BL19" si="9">IF($AM5,IF(BK5&lt;&gt;"",IF(DL_EnableItem="TRUE",IF(AA5&lt;&gt;"",AA5,A5),""),""),"")</f>
        <v/>
      </c>
      <c r="BM5" s="35" t="str">
        <f t="shared" ref="BM5:BM19" si="10">IF($AM5,TRIM(DL_Historian), "")</f>
        <v>[Historian]</v>
      </c>
      <c r="BN5" s="35" t="str">
        <f t="shared" ref="BN5:BN19" si="11">IF($AM5,TRIM(DL_DigAlmName), "")</f>
        <v>[DigAlmName]</v>
      </c>
      <c r="BO5" s="35" t="str">
        <f t="shared" ref="BO5:BO19" si="12">IF($AM5,TRIM(DL_Desc), "")</f>
        <v>[Desc]</v>
      </c>
      <c r="BP5" s="35" t="str">
        <f>IF($AN5,U5,"")</f>
        <v/>
      </c>
      <c r="BQ5" s="35">
        <f>IF($AO5,T5,"")</f>
        <v>1</v>
      </c>
      <c r="BR5" s="35"/>
      <c r="BS5" s="35"/>
      <c r="BT5" s="35"/>
      <c r="BU5" s="83" t="str">
        <f>IF($AM5,TRIM(AJ5), "")</f>
        <v/>
      </c>
      <c r="BV5" s="34" t="str">
        <f t="shared" ref="BV5:BV19" si="13">IF($AN5,DL_TagPrefixFull&amp;A5,"")</f>
        <v/>
      </c>
      <c r="BW5" s="35" t="str">
        <f t="shared" ref="BW5:BW19" si="14">IF($AN5,DL_TagPrefixFull&amp;A5,"")</f>
        <v/>
      </c>
      <c r="BX5" s="35" t="str">
        <f t="shared" ref="BX5:BX19" si="15">IF($AN5,IF(AI5&lt;&gt;"",AI5,IF(DL_Desc &lt;&gt; "", DL_Desc &amp; Global_Seperator &amp; K5, K5)),"")</f>
        <v/>
      </c>
      <c r="BY5" s="35" t="str">
        <f t="shared" ref="BY5:BY19" si="16">IF($AN5,DL_TagPrefixFull&amp;A5,"")</f>
        <v/>
      </c>
      <c r="BZ5" s="35" t="str">
        <f t="shared" ref="BZ5:BZ19" si="17">IF($AN5,IF(DL_VariableB&lt;&gt;"",DL_VariableB,""),"")</f>
        <v/>
      </c>
      <c r="CA5" s="35" t="str">
        <f>IF($AN5,U5,"")</f>
        <v/>
      </c>
      <c r="CB5" s="35" t="str">
        <f t="shared" ref="CB5:CB19" si="18">IF($AN5,IF(AB5&lt;&gt;"",AB5,DL_Help),"")</f>
        <v/>
      </c>
      <c r="CC5" s="35" t="str">
        <f t="shared" ref="CC5:CC19" si="19">IF($AN5,Global_Alarm_Priv,"")</f>
        <v/>
      </c>
      <c r="CD5" s="35" t="str">
        <f t="shared" ref="CD5:CD19" si="20">IF($AN5,TRIM(DL_Area),"")</f>
        <v/>
      </c>
      <c r="CE5" s="35" t="str">
        <f t="shared" ref="CE5:CE19" si="21">IF($AN5,IF(DL_Desc&lt;&gt;"",DL_Desc &amp; Global_Seperator &amp; K5, K5),"")</f>
        <v/>
      </c>
      <c r="CF5" s="35"/>
      <c r="CG5" s="35"/>
      <c r="CH5" s="35" t="str">
        <f t="shared" ref="CH5:CH19" si="22">IF($AN5,DL_DigAlmName,"")</f>
        <v/>
      </c>
      <c r="CI5" s="35"/>
      <c r="CJ5" s="35"/>
      <c r="CK5" s="35"/>
      <c r="CL5" s="35"/>
      <c r="CM5" s="35"/>
      <c r="CN5" s="35"/>
      <c r="CO5" s="35"/>
      <c r="CP5" s="35" t="str">
        <f t="shared" ref="CP5:CP19" si="23">IF($AN5,IF(AH5&lt;&gt;"",AH5,DL_Cluster),"")</f>
        <v/>
      </c>
      <c r="CQ5" s="35"/>
      <c r="CR5" s="35"/>
      <c r="CS5" s="35"/>
      <c r="CT5" s="35"/>
      <c r="CU5" s="35"/>
      <c r="CV5" s="35" t="str">
        <f t="shared" ref="CV5:CV19" si="24">IF($AN5,IF(Z5&lt;&gt;"",Z5,DL_Equip),"")</f>
        <v/>
      </c>
      <c r="CW5" s="35" t="str">
        <f t="shared" ref="CW5:CW19" si="25">IF($AN5,IF(CV5&lt;&gt;"",IF(DL_EnableItem,IF(AA5&lt;&gt;"",AA5,A5),""),""),"")</f>
        <v/>
      </c>
      <c r="CX5" s="35"/>
      <c r="CY5" s="34" t="str">
        <f t="shared" ref="CY5:CY19" si="26">IF($AO5,DL_TagPrefixFull&amp;A5,"")</f>
        <v>[TagPrefixFull]PV</v>
      </c>
      <c r="CZ5" s="35" t="str">
        <f t="shared" ref="CZ5:CZ19" si="27">IF($AO5,DL_TagPrefixFull&amp;A5,"")</f>
        <v>[TagPrefixFull]PV</v>
      </c>
      <c r="DA5" s="35"/>
      <c r="DB5" s="35">
        <f>IF($AO5,T5,"")</f>
        <v>1</v>
      </c>
      <c r="DC5" s="35"/>
      <c r="DD5" s="35"/>
      <c r="DE5" s="35" t="str">
        <f>IF($AO5,TRIM(R5),"")</f>
        <v>[Units]</v>
      </c>
      <c r="DF5" s="35" t="str">
        <f>IF($AO5,TRIM(S5),"")</f>
        <v>[Format]</v>
      </c>
      <c r="DG5" s="35" t="str">
        <f t="shared" ref="DG5:DG19" si="28">IF($AO5,IF(DL_TrendPrefixOverride&lt;&gt;"",DL_TrendPrefixOverride&amp;AQ5&amp;"\"&amp;AQ5,Global_Trend_Prefix&amp;AQ5&amp;"\"&amp;AQ5),"")</f>
        <v>[TrendPrefixOverride][TagPrefixFull]PV\[TagPrefixFull]PV</v>
      </c>
      <c r="DH5" s="35" t="str">
        <f t="shared" ref="DH5:DH19" si="29">IF($AO5,TRIM(Global_Trend_NumFiles),"")</f>
        <v>25</v>
      </c>
      <c r="DI5" s="35" t="str">
        <f t="shared" ref="DI5:DI19" si="30">IF($AO5,TRIM(Global_Trend_Time),"")</f>
        <v>00:00:00</v>
      </c>
      <c r="DJ5" s="35" t="str">
        <f t="shared" ref="DJ5:DJ19" si="31">IF($AO5,TRIM(Global_Trend_Period),"")</f>
        <v>Saturday</v>
      </c>
      <c r="DK5" s="35" t="str">
        <f t="shared" ref="DK5:DK19" si="32">IF($AO5, DL_DigAlmName &amp; Global_Seperator &amp; IF(DL_Desc&lt;&gt;"",DL_Desc &amp; Global_Seperator &amp; K5, K5),"")</f>
        <v>[DigAlmName] - [Desc] - Process Variable</v>
      </c>
      <c r="DL5" s="35" t="str">
        <f>IF($AO5,"TRN_PERIODIC","")</f>
        <v>TRN_PERIODIC</v>
      </c>
      <c r="DM5" s="35"/>
      <c r="DN5" s="35"/>
      <c r="DO5" s="35"/>
      <c r="DP5" s="35"/>
      <c r="DQ5" s="35"/>
      <c r="DR5" s="35"/>
      <c r="DS5" s="35"/>
      <c r="DT5" s="35" t="str">
        <f>IF($AO5,IF(AR5="DIGITAL","Scaled (2-byte samples)","Floating Point (8-byte samples)"),"")</f>
        <v>Floating Point (8-byte samples)</v>
      </c>
      <c r="DU5" s="35" t="str">
        <f t="shared" ref="DU5:DU19" si="33">IF($AO5,IF(AH5&lt;&gt;"",AH5,DL_Cluster),"")</f>
        <v>[Cluster]</v>
      </c>
      <c r="DV5" s="35"/>
      <c r="DW5" s="35"/>
      <c r="DX5" s="35"/>
      <c r="DY5" s="35"/>
      <c r="DZ5" s="35" t="str">
        <f t="shared" ref="DZ5:DZ19" si="34">IF($AO5,IF(Z5&lt;&gt;"",Z5,DL_Equip),"")</f>
        <v>[Equip]</v>
      </c>
      <c r="EA5" s="35" t="e">
        <f t="shared" ref="EA5:EA19" si="35">IF($AO5,IF(DZ5&lt;&gt;"",IF(DL_EnableItem,IF(AA5&lt;&gt;"",AA5,A5),""),""),"")</f>
        <v>#VALUE!</v>
      </c>
      <c r="EB5" s="35"/>
      <c r="EC5" s="35" t="str">
        <f>IF($AO5,TRIM(P5),"")</f>
        <v>[TrendMin]</v>
      </c>
      <c r="ED5" s="33" t="str">
        <f>IF($AO5,TRIM(Q5),"")</f>
        <v>[TrendMax]</v>
      </c>
      <c r="EE5" s="57" t="str">
        <f>IF($AP5 = FALSE,"",VLOOKUP(B5,DataTypeMappings!$A$2:$C$18,3,FALSE))</f>
        <v/>
      </c>
      <c r="EF5" s="58" t="str">
        <f>IF($AP5 = FALSE,"",IF(AC5&lt;&gt;"",AC5,DL_PVFolder)&amp;"\"&amp;IF(AD5="",DL_PVPrefixFull&amp;A5,DL_PVPrefixFull&amp;AD5))</f>
        <v/>
      </c>
      <c r="EG5" s="58" t="str">
        <f>IF($AP5 = FALSE,"",DL_Desc&amp;" "&amp;K5)</f>
        <v/>
      </c>
      <c r="EH5" s="58" t="str">
        <f>IF($AP5 = FALSE,"","F")</f>
        <v/>
      </c>
      <c r="EI5" s="58" t="str">
        <f>IF($AP5 = FALSE,"","D")</f>
        <v/>
      </c>
      <c r="EJ5" s="58" t="str">
        <f>IF($AP5 = FALSE,"","*")</f>
        <v/>
      </c>
      <c r="EK5" s="58" t="str">
        <f>IF($AP5 = FALSE,"","F")</f>
        <v/>
      </c>
      <c r="EL5" s="58" t="str">
        <f>IF($AP5 = FALSE,"",VLOOKUP(B5,DataTypeMappings!$A$2:$D$18,4,FALSE()))</f>
        <v/>
      </c>
      <c r="EM5" s="58" t="str">
        <f>IF($AP5 = FALSE,"",IF(EE5="A","L",""))</f>
        <v/>
      </c>
      <c r="EN5" s="58" t="str">
        <f>IF($AP5 = FALSE,"",IF(EE5="A",N5,""))</f>
        <v/>
      </c>
      <c r="EO5" s="58" t="str">
        <f>IF($AP5 = FALSE,"",IF(EE5="A",O5,""))</f>
        <v/>
      </c>
      <c r="EP5" s="58" t="str">
        <f>IF($AP5 = FALSE,"",IF(EE5="A","0",""))</f>
        <v/>
      </c>
      <c r="EQ5" s="58" t="str">
        <f>IF($AP5 = FALSE,"",IF(EE5="A",IF(M5&lt;&gt;O5,O5/M5,1),""))</f>
        <v/>
      </c>
      <c r="ER5" s="58" t="str">
        <f>IF($AP5 = FALSE,"",IF(EE5="A","0",""))</f>
        <v/>
      </c>
      <c r="ES5" s="58" t="str">
        <f>IF($AP5 = FALSE,"",IF(EE5="A","0",""))</f>
        <v/>
      </c>
      <c r="ET5" s="58" t="str">
        <f>IF($AP5 = FALSE,"",TRIM(R5))</f>
        <v/>
      </c>
      <c r="EU5" s="58" t="str">
        <f>IF($AP5 = FALSE,"",IF(EE5="D","0",""))</f>
        <v/>
      </c>
      <c r="EV5" s="58" t="str">
        <f>IF($AP5 = FALSE,"",IF(EE5="D","1",""))</f>
        <v/>
      </c>
      <c r="EW5" s="58" t="str">
        <f>IF($AP5 = FALSE,"",IF(EE5="D","0",""))</f>
        <v/>
      </c>
      <c r="EX5" s="58" t="str">
        <f>IF($AP5 = FALSE,"",IF(EE5="S","82",""))</f>
        <v/>
      </c>
      <c r="EY5" s="58"/>
      <c r="EZ5" s="58"/>
      <c r="FA5" s="58" t="str">
        <f>IF($AP5 = FALSE,"","["&amp;DL_PVPLC&amp;"]"&amp;IF($Y5="",DL_AddrPrefixFull&amp;AL5,Y5))</f>
        <v/>
      </c>
      <c r="FB5" s="58"/>
      <c r="FC5" s="58"/>
      <c r="FD5" s="58"/>
      <c r="FE5" s="58"/>
      <c r="FF5" s="35"/>
      <c r="FG5" s="35"/>
      <c r="FH5" s="35" t="str">
        <f>IF(OR($A5="",DL_PVEnable=FALSE(),AC5="IGNORE",$AF5=TRUE,$AE5="",$AE5=FALSE),"",SUBSTITUTE($FH$2,"~Tag~",EF5))</f>
        <v/>
      </c>
      <c r="FI5" s="33" t="str">
        <f>IF(OR($A5="",DL_PVEnable=FALSE(),AC5="IGNORE",$AF5=TRUE,$AE5="",$AE5=FALSE),"",SUBSTITUTE($FI$2,"~Tag~",EG5))</f>
        <v/>
      </c>
      <c r="FJ5" s="62" t="str">
        <f>IF($AP5 = FALSE,"",IF(AC5&lt;&gt;"",AC5,DL_PVFolder))</f>
        <v/>
      </c>
    </row>
    <row r="6" spans="1:166" x14ac:dyDescent="0.3">
      <c r="A6" t="s">
        <v>384</v>
      </c>
      <c r="B6" t="s">
        <v>85</v>
      </c>
      <c r="C6" t="s">
        <v>385</v>
      </c>
      <c r="D6" t="s">
        <v>386</v>
      </c>
      <c r="E6" t="s">
        <v>85</v>
      </c>
      <c r="F6" t="s">
        <v>378</v>
      </c>
      <c r="G6" t="s">
        <v>385</v>
      </c>
      <c r="H6" t="s">
        <v>383</v>
      </c>
      <c r="K6" t="s">
        <v>385</v>
      </c>
      <c r="L6" t="str">
        <f>IF(DL_Min&lt;&gt;"",DL_Min,"")</f>
        <v>[Min]</v>
      </c>
      <c r="M6" t="str">
        <f>IF(DL_Max&lt;&gt;"",DL_Max,"")</f>
        <v>[Max]</v>
      </c>
      <c r="N6" t="str">
        <f>IF(DL_Min&lt;&gt;"",DL_Min,"")</f>
        <v>[Min]</v>
      </c>
      <c r="O6" t="str">
        <f>IF(DL_Max&lt;&gt;"",DL_Max,"")</f>
        <v>[Max]</v>
      </c>
      <c r="P6" t="str">
        <f>IF(DL_TrendMin&lt;&gt;"",DL_TrendMin,"")</f>
        <v>[TrendMin]</v>
      </c>
      <c r="Q6" t="str">
        <f>IF(DL_TrendMax&lt;&gt;"",DL_TrendMax,"")</f>
        <v>[TrendMax]</v>
      </c>
      <c r="R6" t="str">
        <f>IF(DL_Units&lt;&gt;"",DL_Units,"")</f>
        <v>[Units]</v>
      </c>
      <c r="S6" t="str">
        <f>IF(DL_Format&lt;&gt;"",DL_Format,"")</f>
        <v>[Format]</v>
      </c>
      <c r="T6">
        <v>600</v>
      </c>
      <c r="V6" t="s">
        <v>386</v>
      </c>
      <c r="AK6" t="str">
        <f t="shared" ref="AK6:AK19" si="36">IF(V6="",A6,V6)&amp;IF(W6&lt;&gt;"","{"&amp;W6&amp;"}","")&amp;IF(X6&lt;&gt;"","/"&amp;X6,"")</f>
        <v>HighHighSP</v>
      </c>
      <c r="AL6" t="str">
        <f t="shared" ref="AL6:AL19" si="37">IF(V6="",A6,V6)&amp;IF(W6&lt;&gt;"","["&amp;W6&amp;"]","")&amp;IF(X6&lt;&gt;"","/"&amp;X6,"")</f>
        <v>HighHighSP</v>
      </c>
      <c r="AM6" t="b">
        <f t="shared" ref="AM6:AM19" si="38">$AF6&lt;&gt;TRUE</f>
        <v>1</v>
      </c>
      <c r="AN6" t="b">
        <f t="shared" si="0"/>
        <v>0</v>
      </c>
      <c r="AO6" t="b">
        <f t="shared" si="1"/>
        <v>1</v>
      </c>
      <c r="AP6" t="b">
        <f t="shared" si="2"/>
        <v>0</v>
      </c>
      <c r="AQ6" t="str">
        <f t="shared" si="3"/>
        <v>[TagPrefixFull]HH_SP</v>
      </c>
      <c r="AR6" t="str">
        <f>IF($AM6,VLOOKUP(B6,DataTypeMappings!$A$2:$B$18,2,"FALSE"),"")</f>
        <v>REAL</v>
      </c>
      <c r="AS6" t="str">
        <f t="shared" si="4"/>
        <v>[PLC]</v>
      </c>
      <c r="AT6" t="str">
        <f t="shared" si="5"/>
        <v>[AddrPrefixFull]HighHighSP</v>
      </c>
      <c r="AU6" t="str">
        <f t="shared" ref="AU6:AU19" si="39">IF($AM6,TRIM(L6),"")</f>
        <v>[Min]</v>
      </c>
      <c r="AV6" t="str">
        <f t="shared" ref="AV6:AV19" si="40">IF($AM6,TRIM(M6),"")</f>
        <v>[Max]</v>
      </c>
      <c r="AW6" t="str">
        <f t="shared" ref="AW6:AW19" si="41">IF($AM6,TRIM(N6),"")</f>
        <v>[Min]</v>
      </c>
      <c r="AX6" t="str">
        <f t="shared" ref="AX6:AX19" si="42">IF($AM6,TRIM(O6),"")</f>
        <v>[Max]</v>
      </c>
      <c r="AY6" t="str">
        <f t="shared" ref="AY6:AY19" si="43">IF($AM6,TRIM(R6),"")</f>
        <v>[Units]</v>
      </c>
      <c r="AZ6" t="str">
        <f t="shared" ref="AZ6:AZ19" si="44">IF($AM6,TRIM(S6),"")</f>
        <v>[Format]</v>
      </c>
      <c r="BA6" t="str">
        <f t="shared" si="6"/>
        <v>[Desc] - High High Level Setpoint</v>
      </c>
      <c r="BJ6" t="str">
        <f t="shared" si="7"/>
        <v>[Cluster]</v>
      </c>
      <c r="BK6" t="str">
        <f t="shared" si="8"/>
        <v>[Equip]</v>
      </c>
      <c r="BL6" t="str">
        <f t="shared" si="9"/>
        <v/>
      </c>
      <c r="BM6" t="str">
        <f t="shared" si="10"/>
        <v>[Historian]</v>
      </c>
      <c r="BN6" t="str">
        <f t="shared" si="11"/>
        <v>[DigAlmName]</v>
      </c>
      <c r="BO6" t="str">
        <f t="shared" si="12"/>
        <v>[Desc]</v>
      </c>
      <c r="BP6" t="str">
        <f t="shared" ref="BP6:BP19" si="45">IF($AN6,U6,"")</f>
        <v/>
      </c>
      <c r="BQ6">
        <f t="shared" ref="BQ6:BQ19" si="46">IF($AO6,T6,"")</f>
        <v>600</v>
      </c>
      <c r="BU6" t="str">
        <f t="shared" ref="BU6:BU19" si="47">IF($AM6,TRIM(AJ6), "")</f>
        <v/>
      </c>
      <c r="BV6" t="str">
        <f t="shared" si="13"/>
        <v/>
      </c>
      <c r="BW6" t="str">
        <f t="shared" si="14"/>
        <v/>
      </c>
      <c r="BX6" t="str">
        <f t="shared" si="15"/>
        <v/>
      </c>
      <c r="BY6" t="str">
        <f t="shared" si="16"/>
        <v/>
      </c>
      <c r="BZ6" t="str">
        <f t="shared" si="17"/>
        <v/>
      </c>
      <c r="CA6" t="str">
        <f t="shared" ref="CA6:CA19" si="48">IF($AN6,U6,"")</f>
        <v/>
      </c>
      <c r="CB6" t="str">
        <f t="shared" si="18"/>
        <v/>
      </c>
      <c r="CC6" t="str">
        <f t="shared" si="19"/>
        <v/>
      </c>
      <c r="CD6" t="str">
        <f t="shared" si="20"/>
        <v/>
      </c>
      <c r="CE6" t="str">
        <f t="shared" si="21"/>
        <v/>
      </c>
      <c r="CH6" t="str">
        <f t="shared" si="22"/>
        <v/>
      </c>
      <c r="CP6" t="str">
        <f t="shared" si="23"/>
        <v/>
      </c>
      <c r="CV6" t="str">
        <f t="shared" si="24"/>
        <v/>
      </c>
      <c r="CW6" t="str">
        <f t="shared" si="25"/>
        <v/>
      </c>
      <c r="CY6" t="str">
        <f t="shared" si="26"/>
        <v>[TagPrefixFull]HH_SP</v>
      </c>
      <c r="CZ6" t="str">
        <f t="shared" si="27"/>
        <v>[TagPrefixFull]HH_SP</v>
      </c>
      <c r="DB6">
        <f t="shared" ref="DB6:DB19" si="49">IF($AO6,T6,"")</f>
        <v>600</v>
      </c>
      <c r="DE6" t="str">
        <f t="shared" ref="DE6:DE19" si="50">IF($AO6,TRIM(R6),"")</f>
        <v>[Units]</v>
      </c>
      <c r="DF6" t="str">
        <f t="shared" ref="DF6:DF19" si="51">IF($AO6,TRIM(S6),"")</f>
        <v>[Format]</v>
      </c>
      <c r="DG6" t="str">
        <f t="shared" si="28"/>
        <v>[TrendPrefixOverride][TagPrefixFull]HH_SP\[TagPrefixFull]HH_SP</v>
      </c>
      <c r="DH6" t="str">
        <f t="shared" si="29"/>
        <v>25</v>
      </c>
      <c r="DI6" t="str">
        <f t="shared" si="30"/>
        <v>00:00:00</v>
      </c>
      <c r="DJ6" t="str">
        <f t="shared" si="31"/>
        <v>Saturday</v>
      </c>
      <c r="DK6" t="str">
        <f t="shared" si="32"/>
        <v>[DigAlmName] - [Desc] - High High Level Setpoint</v>
      </c>
      <c r="DL6" t="str">
        <f t="shared" ref="DL6:DL19" si="52">IF($AO6,"TRN_PERIODIC","")</f>
        <v>TRN_PERIODIC</v>
      </c>
      <c r="DT6" t="str">
        <f t="shared" ref="DT6:DT19" si="53">IF($AO6,IF(AR6="DIGITAL","Scaled (2-byte samples)","Floating Point (8-byte samples)"),"")</f>
        <v>Floating Point (8-byte samples)</v>
      </c>
      <c r="DU6" t="str">
        <f t="shared" si="33"/>
        <v>[Cluster]</v>
      </c>
      <c r="DZ6" t="str">
        <f t="shared" si="34"/>
        <v>[Equip]</v>
      </c>
      <c r="EA6" t="e">
        <f t="shared" si="35"/>
        <v>#VALUE!</v>
      </c>
      <c r="EC6" t="str">
        <f t="shared" ref="EC6:EC19" si="54">IF($AO6,TRIM(P6),"")</f>
        <v>[TrendMin]</v>
      </c>
      <c r="ED6" t="str">
        <f t="shared" ref="ED6:ED19" si="55">IF($AO6,TRIM(Q6),"")</f>
        <v>[TrendMax]</v>
      </c>
    </row>
    <row r="7" spans="1:166" x14ac:dyDescent="0.3">
      <c r="A7" t="s">
        <v>387</v>
      </c>
      <c r="B7" t="s">
        <v>85</v>
      </c>
      <c r="C7" t="s">
        <v>388</v>
      </c>
      <c r="D7" t="s">
        <v>389</v>
      </c>
      <c r="E7" t="s">
        <v>85</v>
      </c>
      <c r="F7" t="s">
        <v>378</v>
      </c>
      <c r="G7" t="s">
        <v>388</v>
      </c>
      <c r="H7" t="s">
        <v>383</v>
      </c>
      <c r="K7" t="s">
        <v>388</v>
      </c>
      <c r="L7" t="str">
        <f>IF(DL_Min&lt;&gt;"",DL_Min,"")</f>
        <v>[Min]</v>
      </c>
      <c r="M7" t="str">
        <f>IF(DL_Max&lt;&gt;"",DL_Max,"")</f>
        <v>[Max]</v>
      </c>
      <c r="N7" t="str">
        <f>IF(DL_Min&lt;&gt;"",DL_Min,"")</f>
        <v>[Min]</v>
      </c>
      <c r="O7" t="str">
        <f>IF(DL_Max&lt;&gt;"",DL_Max,"")</f>
        <v>[Max]</v>
      </c>
      <c r="P7" t="str">
        <f>IF(DL_TrendMin&lt;&gt;"",DL_TrendMin,"")</f>
        <v>[TrendMin]</v>
      </c>
      <c r="Q7" t="str">
        <f>IF(DL_TrendMax&lt;&gt;"",DL_TrendMax,"")</f>
        <v>[TrendMax]</v>
      </c>
      <c r="R7" t="str">
        <f>IF(DL_Units&lt;&gt;"",DL_Units,"")</f>
        <v>[Units]</v>
      </c>
      <c r="S7" t="str">
        <f>IF(DL_Format&lt;&gt;"",DL_Format,"")</f>
        <v>[Format]</v>
      </c>
      <c r="T7">
        <v>600</v>
      </c>
      <c r="V7" t="s">
        <v>389</v>
      </c>
      <c r="AK7" t="str">
        <f t="shared" si="36"/>
        <v>HighSP</v>
      </c>
      <c r="AL7" t="str">
        <f t="shared" si="37"/>
        <v>HighSP</v>
      </c>
      <c r="AM7" t="b">
        <f t="shared" si="38"/>
        <v>1</v>
      </c>
      <c r="AN7" t="b">
        <f t="shared" si="0"/>
        <v>0</v>
      </c>
      <c r="AO7" t="b">
        <f t="shared" si="1"/>
        <v>1</v>
      </c>
      <c r="AP7" t="b">
        <f t="shared" si="2"/>
        <v>0</v>
      </c>
      <c r="AQ7" t="str">
        <f t="shared" si="3"/>
        <v>[TagPrefixFull]H_SP</v>
      </c>
      <c r="AR7" t="str">
        <f>IF($AM7,VLOOKUP(B7,DataTypeMappings!$A$2:$B$18,2,"FALSE"),"")</f>
        <v>REAL</v>
      </c>
      <c r="AS7" t="str">
        <f t="shared" si="4"/>
        <v>[PLC]</v>
      </c>
      <c r="AT7" t="str">
        <f t="shared" si="5"/>
        <v>[AddrPrefixFull]HighSP</v>
      </c>
      <c r="AU7" t="str">
        <f t="shared" si="39"/>
        <v>[Min]</v>
      </c>
      <c r="AV7" t="str">
        <f t="shared" si="40"/>
        <v>[Max]</v>
      </c>
      <c r="AW7" t="str">
        <f t="shared" si="41"/>
        <v>[Min]</v>
      </c>
      <c r="AX7" t="str">
        <f t="shared" si="42"/>
        <v>[Max]</v>
      </c>
      <c r="AY7" t="str">
        <f t="shared" si="43"/>
        <v>[Units]</v>
      </c>
      <c r="AZ7" t="str">
        <f t="shared" si="44"/>
        <v>[Format]</v>
      </c>
      <c r="BA7" t="str">
        <f t="shared" si="6"/>
        <v>[Desc] - High level Setpoint</v>
      </c>
      <c r="BJ7" t="str">
        <f t="shared" si="7"/>
        <v>[Cluster]</v>
      </c>
      <c r="BK7" t="str">
        <f t="shared" si="8"/>
        <v>[Equip]</v>
      </c>
      <c r="BL7" t="str">
        <f t="shared" si="9"/>
        <v/>
      </c>
      <c r="BM7" t="str">
        <f t="shared" si="10"/>
        <v>[Historian]</v>
      </c>
      <c r="BN7" t="str">
        <f t="shared" si="11"/>
        <v>[DigAlmName]</v>
      </c>
      <c r="BO7" t="str">
        <f t="shared" si="12"/>
        <v>[Desc]</v>
      </c>
      <c r="BP7" t="str">
        <f t="shared" si="45"/>
        <v/>
      </c>
      <c r="BQ7">
        <f t="shared" si="46"/>
        <v>600</v>
      </c>
      <c r="BU7" t="str">
        <f t="shared" si="47"/>
        <v/>
      </c>
      <c r="BV7" t="str">
        <f t="shared" si="13"/>
        <v/>
      </c>
      <c r="BW7" t="str">
        <f t="shared" si="14"/>
        <v/>
      </c>
      <c r="BX7" t="str">
        <f t="shared" si="15"/>
        <v/>
      </c>
      <c r="BY7" t="str">
        <f t="shared" si="16"/>
        <v/>
      </c>
      <c r="BZ7" t="str">
        <f t="shared" si="17"/>
        <v/>
      </c>
      <c r="CA7" t="str">
        <f t="shared" si="48"/>
        <v/>
      </c>
      <c r="CB7" t="str">
        <f t="shared" si="18"/>
        <v/>
      </c>
      <c r="CC7" t="str">
        <f t="shared" si="19"/>
        <v/>
      </c>
      <c r="CD7" t="str">
        <f t="shared" si="20"/>
        <v/>
      </c>
      <c r="CE7" t="str">
        <f t="shared" si="21"/>
        <v/>
      </c>
      <c r="CH7" t="str">
        <f t="shared" si="22"/>
        <v/>
      </c>
      <c r="CP7" t="str">
        <f t="shared" si="23"/>
        <v/>
      </c>
      <c r="CV7" t="str">
        <f t="shared" si="24"/>
        <v/>
      </c>
      <c r="CW7" t="str">
        <f t="shared" si="25"/>
        <v/>
      </c>
      <c r="CY7" t="str">
        <f t="shared" si="26"/>
        <v>[TagPrefixFull]H_SP</v>
      </c>
      <c r="CZ7" t="str">
        <f t="shared" si="27"/>
        <v>[TagPrefixFull]H_SP</v>
      </c>
      <c r="DB7">
        <f t="shared" si="49"/>
        <v>600</v>
      </c>
      <c r="DE7" t="str">
        <f t="shared" si="50"/>
        <v>[Units]</v>
      </c>
      <c r="DF7" t="str">
        <f t="shared" si="51"/>
        <v>[Format]</v>
      </c>
      <c r="DG7" t="str">
        <f t="shared" si="28"/>
        <v>[TrendPrefixOverride][TagPrefixFull]H_SP\[TagPrefixFull]H_SP</v>
      </c>
      <c r="DH7" t="str">
        <f t="shared" si="29"/>
        <v>25</v>
      </c>
      <c r="DI7" t="str">
        <f t="shared" si="30"/>
        <v>00:00:00</v>
      </c>
      <c r="DJ7" t="str">
        <f t="shared" si="31"/>
        <v>Saturday</v>
      </c>
      <c r="DK7" t="str">
        <f t="shared" si="32"/>
        <v>[DigAlmName] - [Desc] - High level Setpoint</v>
      </c>
      <c r="DL7" t="str">
        <f t="shared" si="52"/>
        <v>TRN_PERIODIC</v>
      </c>
      <c r="DT7" t="str">
        <f t="shared" si="53"/>
        <v>Floating Point (8-byte samples)</v>
      </c>
      <c r="DU7" t="str">
        <f t="shared" si="33"/>
        <v>[Cluster]</v>
      </c>
      <c r="DZ7" t="str">
        <f t="shared" si="34"/>
        <v>[Equip]</v>
      </c>
      <c r="EA7" t="e">
        <f t="shared" si="35"/>
        <v>#VALUE!</v>
      </c>
      <c r="EC7" t="str">
        <f t="shared" si="54"/>
        <v>[TrendMin]</v>
      </c>
      <c r="ED7" t="str">
        <f t="shared" si="55"/>
        <v>[TrendMax]</v>
      </c>
    </row>
    <row r="8" spans="1:166" x14ac:dyDescent="0.3">
      <c r="A8" t="s">
        <v>390</v>
      </c>
      <c r="B8" t="s">
        <v>85</v>
      </c>
      <c r="C8" t="s">
        <v>391</v>
      </c>
      <c r="D8" t="s">
        <v>392</v>
      </c>
      <c r="E8" t="s">
        <v>85</v>
      </c>
      <c r="F8" t="s">
        <v>378</v>
      </c>
      <c r="G8" t="s">
        <v>391</v>
      </c>
      <c r="H8" t="s">
        <v>383</v>
      </c>
      <c r="K8" t="s">
        <v>391</v>
      </c>
      <c r="L8" t="str">
        <f>IF(DL_Min&lt;&gt;"",DL_Min,"")</f>
        <v>[Min]</v>
      </c>
      <c r="M8" t="str">
        <f>IF(DL_Max&lt;&gt;"",DL_Max,"")</f>
        <v>[Max]</v>
      </c>
      <c r="N8" t="str">
        <f>IF(DL_Min&lt;&gt;"",DL_Min,"")</f>
        <v>[Min]</v>
      </c>
      <c r="O8" t="str">
        <f>IF(DL_Max&lt;&gt;"",DL_Max,"")</f>
        <v>[Max]</v>
      </c>
      <c r="P8" t="str">
        <f>IF(DL_TrendMin&lt;&gt;"",DL_TrendMin,"")</f>
        <v>[TrendMin]</v>
      </c>
      <c r="Q8" t="str">
        <f>IF(DL_TrendMax&lt;&gt;"",DL_TrendMax,"")</f>
        <v>[TrendMax]</v>
      </c>
      <c r="R8" t="str">
        <f>IF(DL_Units&lt;&gt;"",DL_Units,"")</f>
        <v>[Units]</v>
      </c>
      <c r="S8" t="str">
        <f>IF(DL_Format&lt;&gt;"",DL_Format,"")</f>
        <v>[Format]</v>
      </c>
      <c r="T8">
        <v>600</v>
      </c>
      <c r="V8" t="s">
        <v>392</v>
      </c>
      <c r="AK8" t="str">
        <f t="shared" si="36"/>
        <v>LowSP</v>
      </c>
      <c r="AL8" t="str">
        <f t="shared" si="37"/>
        <v>LowSP</v>
      </c>
      <c r="AM8" t="b">
        <f t="shared" si="38"/>
        <v>1</v>
      </c>
      <c r="AN8" t="b">
        <f t="shared" si="0"/>
        <v>0</v>
      </c>
      <c r="AO8" t="b">
        <f t="shared" si="1"/>
        <v>1</v>
      </c>
      <c r="AP8" t="b">
        <f t="shared" si="2"/>
        <v>0</v>
      </c>
      <c r="AQ8" t="str">
        <f t="shared" si="3"/>
        <v>[TagPrefixFull]L_SP</v>
      </c>
      <c r="AR8" t="str">
        <f>IF($AM8,VLOOKUP(B8,DataTypeMappings!$A$2:$B$18,2,"FALSE"),"")</f>
        <v>REAL</v>
      </c>
      <c r="AS8" t="str">
        <f t="shared" si="4"/>
        <v>[PLC]</v>
      </c>
      <c r="AT8" t="str">
        <f t="shared" si="5"/>
        <v>[AddrPrefixFull]LowSP</v>
      </c>
      <c r="AU8" t="str">
        <f t="shared" si="39"/>
        <v>[Min]</v>
      </c>
      <c r="AV8" t="str">
        <f t="shared" si="40"/>
        <v>[Max]</v>
      </c>
      <c r="AW8" t="str">
        <f t="shared" si="41"/>
        <v>[Min]</v>
      </c>
      <c r="AX8" t="str">
        <f t="shared" si="42"/>
        <v>[Max]</v>
      </c>
      <c r="AY8" t="str">
        <f t="shared" si="43"/>
        <v>[Units]</v>
      </c>
      <c r="AZ8" t="str">
        <f t="shared" si="44"/>
        <v>[Format]</v>
      </c>
      <c r="BA8" t="str">
        <f t="shared" si="6"/>
        <v>[Desc] - Low Level Setpoint</v>
      </c>
      <c r="BJ8" t="str">
        <f t="shared" si="7"/>
        <v>[Cluster]</v>
      </c>
      <c r="BK8" t="str">
        <f t="shared" si="8"/>
        <v>[Equip]</v>
      </c>
      <c r="BL8" t="str">
        <f t="shared" si="9"/>
        <v/>
      </c>
      <c r="BM8" t="str">
        <f t="shared" si="10"/>
        <v>[Historian]</v>
      </c>
      <c r="BN8" t="str">
        <f t="shared" si="11"/>
        <v>[DigAlmName]</v>
      </c>
      <c r="BO8" t="str">
        <f t="shared" si="12"/>
        <v>[Desc]</v>
      </c>
      <c r="BP8" t="str">
        <f t="shared" si="45"/>
        <v/>
      </c>
      <c r="BQ8">
        <f t="shared" si="46"/>
        <v>600</v>
      </c>
      <c r="BU8" t="str">
        <f t="shared" si="47"/>
        <v/>
      </c>
      <c r="BV8" t="str">
        <f t="shared" si="13"/>
        <v/>
      </c>
      <c r="BW8" t="str">
        <f t="shared" si="14"/>
        <v/>
      </c>
      <c r="BX8" t="str">
        <f t="shared" si="15"/>
        <v/>
      </c>
      <c r="BY8" t="str">
        <f t="shared" si="16"/>
        <v/>
      </c>
      <c r="BZ8" t="str">
        <f t="shared" si="17"/>
        <v/>
      </c>
      <c r="CA8" t="str">
        <f t="shared" si="48"/>
        <v/>
      </c>
      <c r="CB8" t="str">
        <f t="shared" si="18"/>
        <v/>
      </c>
      <c r="CC8" t="str">
        <f t="shared" si="19"/>
        <v/>
      </c>
      <c r="CD8" t="str">
        <f t="shared" si="20"/>
        <v/>
      </c>
      <c r="CE8" t="str">
        <f t="shared" si="21"/>
        <v/>
      </c>
      <c r="CH8" t="str">
        <f t="shared" si="22"/>
        <v/>
      </c>
      <c r="CP8" t="str">
        <f t="shared" si="23"/>
        <v/>
      </c>
      <c r="CV8" t="str">
        <f t="shared" si="24"/>
        <v/>
      </c>
      <c r="CW8" t="str">
        <f t="shared" si="25"/>
        <v/>
      </c>
      <c r="CY8" t="str">
        <f t="shared" si="26"/>
        <v>[TagPrefixFull]L_SP</v>
      </c>
      <c r="CZ8" t="str">
        <f t="shared" si="27"/>
        <v>[TagPrefixFull]L_SP</v>
      </c>
      <c r="DB8">
        <f t="shared" si="49"/>
        <v>600</v>
      </c>
      <c r="DE8" t="str">
        <f t="shared" si="50"/>
        <v>[Units]</v>
      </c>
      <c r="DF8" t="str">
        <f t="shared" si="51"/>
        <v>[Format]</v>
      </c>
      <c r="DG8" t="str">
        <f t="shared" si="28"/>
        <v>[TrendPrefixOverride][TagPrefixFull]L_SP\[TagPrefixFull]L_SP</v>
      </c>
      <c r="DH8" t="str">
        <f t="shared" si="29"/>
        <v>25</v>
      </c>
      <c r="DI8" t="str">
        <f t="shared" si="30"/>
        <v>00:00:00</v>
      </c>
      <c r="DJ8" t="str">
        <f t="shared" si="31"/>
        <v>Saturday</v>
      </c>
      <c r="DK8" t="str">
        <f t="shared" si="32"/>
        <v>[DigAlmName] - [Desc] - Low Level Setpoint</v>
      </c>
      <c r="DL8" t="str">
        <f t="shared" si="52"/>
        <v>TRN_PERIODIC</v>
      </c>
      <c r="DT8" t="str">
        <f t="shared" si="53"/>
        <v>Floating Point (8-byte samples)</v>
      </c>
      <c r="DU8" t="str">
        <f t="shared" si="33"/>
        <v>[Cluster]</v>
      </c>
      <c r="DZ8" t="str">
        <f t="shared" si="34"/>
        <v>[Equip]</v>
      </c>
      <c r="EA8" t="e">
        <f t="shared" si="35"/>
        <v>#VALUE!</v>
      </c>
      <c r="EC8" t="str">
        <f t="shared" si="54"/>
        <v>[TrendMin]</v>
      </c>
      <c r="ED8" t="str">
        <f t="shared" si="55"/>
        <v>[TrendMax]</v>
      </c>
    </row>
    <row r="9" spans="1:166" x14ac:dyDescent="0.3">
      <c r="A9" t="s">
        <v>393</v>
      </c>
      <c r="B9" t="s">
        <v>85</v>
      </c>
      <c r="C9" t="s">
        <v>394</v>
      </c>
      <c r="D9" t="s">
        <v>395</v>
      </c>
      <c r="E9" t="s">
        <v>85</v>
      </c>
      <c r="F9" t="s">
        <v>378</v>
      </c>
      <c r="G9" t="s">
        <v>394</v>
      </c>
      <c r="H9" t="s">
        <v>383</v>
      </c>
      <c r="K9" t="s">
        <v>394</v>
      </c>
      <c r="L9" t="str">
        <f>IF(DL_Min&lt;&gt;"",DL_Min,"")</f>
        <v>[Min]</v>
      </c>
      <c r="M9" t="str">
        <f>IF(DL_Max&lt;&gt;"",DL_Max,"")</f>
        <v>[Max]</v>
      </c>
      <c r="N9" t="str">
        <f>IF(DL_Min&lt;&gt;"",DL_Min,"")</f>
        <v>[Min]</v>
      </c>
      <c r="O9" t="str">
        <f>IF(DL_Max&lt;&gt;"",DL_Max,"")</f>
        <v>[Max]</v>
      </c>
      <c r="P9" t="str">
        <f>IF(DL_TrendMin&lt;&gt;"",DL_TrendMin,"")</f>
        <v>[TrendMin]</v>
      </c>
      <c r="Q9" t="str">
        <f>IF(DL_TrendMax&lt;&gt;"",DL_TrendMax,"")</f>
        <v>[TrendMax]</v>
      </c>
      <c r="R9" t="str">
        <f>IF(DL_Units&lt;&gt;"",DL_Units,"")</f>
        <v>[Units]</v>
      </c>
      <c r="S9" t="str">
        <f>IF(DL_Format&lt;&gt;"",DL_Format,"")</f>
        <v>[Format]</v>
      </c>
      <c r="T9">
        <v>600</v>
      </c>
      <c r="V9" t="s">
        <v>395</v>
      </c>
      <c r="AK9" t="str">
        <f t="shared" si="36"/>
        <v>LowLowSP</v>
      </c>
      <c r="AL9" t="str">
        <f t="shared" si="37"/>
        <v>LowLowSP</v>
      </c>
      <c r="AM9" t="b">
        <f t="shared" si="38"/>
        <v>1</v>
      </c>
      <c r="AN9" t="b">
        <f t="shared" si="0"/>
        <v>0</v>
      </c>
      <c r="AO9" t="b">
        <f t="shared" si="1"/>
        <v>1</v>
      </c>
      <c r="AP9" t="b">
        <f t="shared" si="2"/>
        <v>0</v>
      </c>
      <c r="AQ9" t="str">
        <f t="shared" si="3"/>
        <v>[TagPrefixFull]LL_SP</v>
      </c>
      <c r="AR9" t="str">
        <f>IF($AM9,VLOOKUP(B9,DataTypeMappings!$A$2:$B$18,2,"FALSE"),"")</f>
        <v>REAL</v>
      </c>
      <c r="AS9" t="str">
        <f t="shared" si="4"/>
        <v>[PLC]</v>
      </c>
      <c r="AT9" t="str">
        <f t="shared" si="5"/>
        <v>[AddrPrefixFull]LowLowSP</v>
      </c>
      <c r="AU9" t="str">
        <f t="shared" si="39"/>
        <v>[Min]</v>
      </c>
      <c r="AV9" t="str">
        <f t="shared" si="40"/>
        <v>[Max]</v>
      </c>
      <c r="AW9" t="str">
        <f t="shared" si="41"/>
        <v>[Min]</v>
      </c>
      <c r="AX9" t="str">
        <f t="shared" si="42"/>
        <v>[Max]</v>
      </c>
      <c r="AY9" t="str">
        <f t="shared" si="43"/>
        <v>[Units]</v>
      </c>
      <c r="AZ9" t="str">
        <f t="shared" si="44"/>
        <v>[Format]</v>
      </c>
      <c r="BA9" t="str">
        <f t="shared" si="6"/>
        <v>[Desc] - Low Low Level Setpoint</v>
      </c>
      <c r="BJ9" t="str">
        <f t="shared" si="7"/>
        <v>[Cluster]</v>
      </c>
      <c r="BK9" t="str">
        <f t="shared" si="8"/>
        <v>[Equip]</v>
      </c>
      <c r="BL9" t="str">
        <f t="shared" si="9"/>
        <v/>
      </c>
      <c r="BM9" t="str">
        <f t="shared" si="10"/>
        <v>[Historian]</v>
      </c>
      <c r="BN9" t="str">
        <f t="shared" si="11"/>
        <v>[DigAlmName]</v>
      </c>
      <c r="BO9" t="str">
        <f t="shared" si="12"/>
        <v>[Desc]</v>
      </c>
      <c r="BP9" t="str">
        <f t="shared" si="45"/>
        <v/>
      </c>
      <c r="BQ9">
        <f t="shared" si="46"/>
        <v>600</v>
      </c>
      <c r="BU9" t="str">
        <f t="shared" si="47"/>
        <v/>
      </c>
      <c r="BV9" t="str">
        <f t="shared" si="13"/>
        <v/>
      </c>
      <c r="BW9" t="str">
        <f t="shared" si="14"/>
        <v/>
      </c>
      <c r="BX9" t="str">
        <f t="shared" si="15"/>
        <v/>
      </c>
      <c r="BY9" t="str">
        <f t="shared" si="16"/>
        <v/>
      </c>
      <c r="BZ9" t="str">
        <f t="shared" si="17"/>
        <v/>
      </c>
      <c r="CA9" t="str">
        <f t="shared" si="48"/>
        <v/>
      </c>
      <c r="CB9" t="str">
        <f t="shared" si="18"/>
        <v/>
      </c>
      <c r="CC9" t="str">
        <f t="shared" si="19"/>
        <v/>
      </c>
      <c r="CD9" t="str">
        <f t="shared" si="20"/>
        <v/>
      </c>
      <c r="CE9" t="str">
        <f t="shared" si="21"/>
        <v/>
      </c>
      <c r="CH9" t="str">
        <f t="shared" si="22"/>
        <v/>
      </c>
      <c r="CP9" t="str">
        <f t="shared" si="23"/>
        <v/>
      </c>
      <c r="CV9" t="str">
        <f t="shared" si="24"/>
        <v/>
      </c>
      <c r="CW9" t="str">
        <f t="shared" si="25"/>
        <v/>
      </c>
      <c r="CY9" t="str">
        <f t="shared" si="26"/>
        <v>[TagPrefixFull]LL_SP</v>
      </c>
      <c r="CZ9" t="str">
        <f t="shared" si="27"/>
        <v>[TagPrefixFull]LL_SP</v>
      </c>
      <c r="DB9">
        <f t="shared" si="49"/>
        <v>600</v>
      </c>
      <c r="DE9" t="str">
        <f t="shared" si="50"/>
        <v>[Units]</v>
      </c>
      <c r="DF9" t="str">
        <f t="shared" si="51"/>
        <v>[Format]</v>
      </c>
      <c r="DG9" t="str">
        <f t="shared" si="28"/>
        <v>[TrendPrefixOverride][TagPrefixFull]LL_SP\[TagPrefixFull]LL_SP</v>
      </c>
      <c r="DH9" t="str">
        <f t="shared" si="29"/>
        <v>25</v>
      </c>
      <c r="DI9" t="str">
        <f t="shared" si="30"/>
        <v>00:00:00</v>
      </c>
      <c r="DJ9" t="str">
        <f t="shared" si="31"/>
        <v>Saturday</v>
      </c>
      <c r="DK9" t="str">
        <f t="shared" si="32"/>
        <v>[DigAlmName] - [Desc] - Low Low Level Setpoint</v>
      </c>
      <c r="DL9" t="str">
        <f t="shared" si="52"/>
        <v>TRN_PERIODIC</v>
      </c>
      <c r="DT9" t="str">
        <f t="shared" si="53"/>
        <v>Floating Point (8-byte samples)</v>
      </c>
      <c r="DU9" t="str">
        <f t="shared" si="33"/>
        <v>[Cluster]</v>
      </c>
      <c r="DZ9" t="str">
        <f t="shared" si="34"/>
        <v>[Equip]</v>
      </c>
      <c r="EA9" t="e">
        <f t="shared" si="35"/>
        <v>#VALUE!</v>
      </c>
      <c r="EC9" t="str">
        <f t="shared" si="54"/>
        <v>[TrendMin]</v>
      </c>
      <c r="ED9" t="str">
        <f t="shared" si="55"/>
        <v>[TrendMax]</v>
      </c>
    </row>
    <row r="10" spans="1:166" x14ac:dyDescent="0.3">
      <c r="A10" t="s">
        <v>322</v>
      </c>
      <c r="B10" t="s">
        <v>79</v>
      </c>
      <c r="C10" t="s">
        <v>396</v>
      </c>
      <c r="D10" t="s">
        <v>322</v>
      </c>
      <c r="E10" t="s">
        <v>79</v>
      </c>
      <c r="F10" t="s">
        <v>377</v>
      </c>
      <c r="G10" t="s">
        <v>396</v>
      </c>
      <c r="H10" t="s">
        <v>383</v>
      </c>
      <c r="K10" t="s">
        <v>396</v>
      </c>
      <c r="V10" t="s">
        <v>322</v>
      </c>
      <c r="AK10" t="str">
        <f t="shared" si="36"/>
        <v>OOS</v>
      </c>
      <c r="AL10" t="str">
        <f t="shared" si="37"/>
        <v>OOS</v>
      </c>
      <c r="AM10" t="b">
        <f t="shared" si="38"/>
        <v>1</v>
      </c>
      <c r="AN10" t="b">
        <f t="shared" si="0"/>
        <v>0</v>
      </c>
      <c r="AO10" t="b">
        <f t="shared" si="1"/>
        <v>0</v>
      </c>
      <c r="AP10" t="b">
        <f t="shared" si="2"/>
        <v>0</v>
      </c>
      <c r="AQ10" t="str">
        <f t="shared" si="3"/>
        <v>[TagPrefixFull]OOS</v>
      </c>
      <c r="AR10" t="str">
        <f>IF($AM10,VLOOKUP(B10,DataTypeMappings!$A$2:$B$18,2,"FALSE"),"")</f>
        <v>DIGITAL</v>
      </c>
      <c r="AS10" t="str">
        <f t="shared" si="4"/>
        <v>[PLC]</v>
      </c>
      <c r="AT10" t="str">
        <f t="shared" si="5"/>
        <v>[AddrPrefixFull]OOS</v>
      </c>
      <c r="AU10" t="str">
        <f t="shared" si="39"/>
        <v/>
      </c>
      <c r="AV10" t="str">
        <f t="shared" si="40"/>
        <v/>
      </c>
      <c r="AW10" t="str">
        <f t="shared" si="41"/>
        <v/>
      </c>
      <c r="AX10" t="str">
        <f t="shared" si="42"/>
        <v/>
      </c>
      <c r="AY10" t="str">
        <f t="shared" si="43"/>
        <v/>
      </c>
      <c r="AZ10" t="str">
        <f t="shared" si="44"/>
        <v/>
      </c>
      <c r="BA10" t="str">
        <f t="shared" si="6"/>
        <v>[Desc] - Out of Service</v>
      </c>
      <c r="BJ10" t="str">
        <f t="shared" si="7"/>
        <v>[Cluster]</v>
      </c>
      <c r="BK10" t="str">
        <f t="shared" si="8"/>
        <v>[Equip]</v>
      </c>
      <c r="BL10" t="str">
        <f t="shared" si="9"/>
        <v/>
      </c>
      <c r="BM10" t="str">
        <f t="shared" si="10"/>
        <v>[Historian]</v>
      </c>
      <c r="BN10" t="str">
        <f t="shared" si="11"/>
        <v>[DigAlmName]</v>
      </c>
      <c r="BO10" t="str">
        <f t="shared" si="12"/>
        <v>[Desc]</v>
      </c>
      <c r="BP10" t="str">
        <f t="shared" si="45"/>
        <v/>
      </c>
      <c r="BQ10" t="str">
        <f t="shared" si="46"/>
        <v/>
      </c>
      <c r="BU10" t="str">
        <f t="shared" si="47"/>
        <v/>
      </c>
      <c r="BV10" t="str">
        <f t="shared" si="13"/>
        <v/>
      </c>
      <c r="BW10" t="str">
        <f t="shared" si="14"/>
        <v/>
      </c>
      <c r="BX10" t="str">
        <f t="shared" si="15"/>
        <v/>
      </c>
      <c r="BY10" t="str">
        <f t="shared" si="16"/>
        <v/>
      </c>
      <c r="BZ10" t="str">
        <f t="shared" si="17"/>
        <v/>
      </c>
      <c r="CA10" t="str">
        <f t="shared" si="48"/>
        <v/>
      </c>
      <c r="CB10" t="str">
        <f t="shared" si="18"/>
        <v/>
      </c>
      <c r="CC10" t="str">
        <f t="shared" si="19"/>
        <v/>
      </c>
      <c r="CD10" t="str">
        <f t="shared" si="20"/>
        <v/>
      </c>
      <c r="CE10" t="str">
        <f t="shared" si="21"/>
        <v/>
      </c>
      <c r="CH10" t="str">
        <f t="shared" si="22"/>
        <v/>
      </c>
      <c r="CP10" t="str">
        <f t="shared" si="23"/>
        <v/>
      </c>
      <c r="CV10" t="str">
        <f t="shared" si="24"/>
        <v/>
      </c>
      <c r="CW10" t="str">
        <f t="shared" si="25"/>
        <v/>
      </c>
      <c r="CY10" t="str">
        <f t="shared" si="26"/>
        <v/>
      </c>
      <c r="CZ10" t="str">
        <f t="shared" si="27"/>
        <v/>
      </c>
      <c r="DB10" t="str">
        <f t="shared" si="49"/>
        <v/>
      </c>
      <c r="DE10" t="str">
        <f t="shared" si="50"/>
        <v/>
      </c>
      <c r="DF10" t="str">
        <f t="shared" si="51"/>
        <v/>
      </c>
      <c r="DG10" t="str">
        <f t="shared" si="28"/>
        <v/>
      </c>
      <c r="DH10" t="str">
        <f t="shared" si="29"/>
        <v/>
      </c>
      <c r="DI10" t="str">
        <f t="shared" si="30"/>
        <v/>
      </c>
      <c r="DJ10" t="str">
        <f t="shared" si="31"/>
        <v/>
      </c>
      <c r="DK10" t="str">
        <f t="shared" si="32"/>
        <v/>
      </c>
      <c r="DL10" t="str">
        <f t="shared" si="52"/>
        <v/>
      </c>
      <c r="DT10" t="str">
        <f t="shared" si="53"/>
        <v/>
      </c>
      <c r="DU10" t="str">
        <f t="shared" si="33"/>
        <v/>
      </c>
      <c r="DZ10" t="str">
        <f t="shared" si="34"/>
        <v/>
      </c>
      <c r="EA10" t="str">
        <f t="shared" si="35"/>
        <v/>
      </c>
      <c r="EC10" t="str">
        <f t="shared" si="54"/>
        <v/>
      </c>
      <c r="ED10" t="str">
        <f t="shared" si="55"/>
        <v/>
      </c>
    </row>
    <row r="11" spans="1:166" x14ac:dyDescent="0.3">
      <c r="A11" s="95" t="s">
        <v>397</v>
      </c>
      <c r="B11" t="s">
        <v>79</v>
      </c>
      <c r="C11" s="94" t="s">
        <v>398</v>
      </c>
      <c r="D11" t="s">
        <v>399</v>
      </c>
      <c r="E11" t="s">
        <v>79</v>
      </c>
      <c r="F11" t="s">
        <v>377</v>
      </c>
      <c r="G11" t="s">
        <v>400</v>
      </c>
      <c r="H11" t="s">
        <v>383</v>
      </c>
      <c r="K11" s="94" t="s">
        <v>398</v>
      </c>
      <c r="U11" t="s">
        <v>307</v>
      </c>
      <c r="V11" t="s">
        <v>399</v>
      </c>
      <c r="AK11" t="str">
        <f t="shared" si="36"/>
        <v>Offscale</v>
      </c>
      <c r="AL11" t="str">
        <f t="shared" si="37"/>
        <v>Offscale</v>
      </c>
      <c r="AM11" t="b">
        <f t="shared" si="38"/>
        <v>1</v>
      </c>
      <c r="AN11" t="b">
        <f t="shared" si="0"/>
        <v>1</v>
      </c>
      <c r="AO11" t="b">
        <f t="shared" si="1"/>
        <v>0</v>
      </c>
      <c r="AP11" t="b">
        <f t="shared" si="2"/>
        <v>0</v>
      </c>
      <c r="AQ11" t="str">
        <f t="shared" si="3"/>
        <v>[TagPrefixFull]ChFlt_T</v>
      </c>
      <c r="AR11" t="str">
        <f>IF($AM11,VLOOKUP(B11,DataTypeMappings!$A$2:$B$18,2,"FALSE"),"")</f>
        <v>DIGITAL</v>
      </c>
      <c r="AS11" t="str">
        <f t="shared" si="4"/>
        <v>[PLC]</v>
      </c>
      <c r="AT11" t="str">
        <f t="shared" si="5"/>
        <v>[AddrPrefixFull]Offscale</v>
      </c>
      <c r="AU11" t="str">
        <f t="shared" si="39"/>
        <v/>
      </c>
      <c r="AV11" t="str">
        <f t="shared" si="40"/>
        <v/>
      </c>
      <c r="AW11" t="str">
        <f t="shared" si="41"/>
        <v/>
      </c>
      <c r="AX11" t="str">
        <f t="shared" si="42"/>
        <v/>
      </c>
      <c r="AY11" t="str">
        <f t="shared" si="43"/>
        <v/>
      </c>
      <c r="AZ11" t="str">
        <f t="shared" si="44"/>
        <v/>
      </c>
      <c r="BA11" t="str">
        <f t="shared" si="6"/>
        <v>[Desc] - Channel Fault</v>
      </c>
      <c r="BJ11" t="str">
        <f t="shared" si="7"/>
        <v>[Cluster]</v>
      </c>
      <c r="BK11" t="str">
        <f t="shared" si="8"/>
        <v>[Equip]</v>
      </c>
      <c r="BL11" t="str">
        <f t="shared" si="9"/>
        <v/>
      </c>
      <c r="BM11" t="str">
        <f t="shared" si="10"/>
        <v>[Historian]</v>
      </c>
      <c r="BN11" t="str">
        <f t="shared" si="11"/>
        <v>[DigAlmName]</v>
      </c>
      <c r="BO11" t="str">
        <f t="shared" si="12"/>
        <v>[Desc]</v>
      </c>
      <c r="BP11" t="str">
        <f t="shared" si="45"/>
        <v>Alm_Trip</v>
      </c>
      <c r="BQ11" t="str">
        <f t="shared" si="46"/>
        <v/>
      </c>
      <c r="BU11" t="str">
        <f t="shared" si="47"/>
        <v/>
      </c>
      <c r="BV11" t="str">
        <f t="shared" si="13"/>
        <v>[TagPrefixFull]ChFlt_T</v>
      </c>
      <c r="BW11" t="str">
        <f t="shared" si="14"/>
        <v>[TagPrefixFull]ChFlt_T</v>
      </c>
      <c r="BX11" t="str">
        <f t="shared" si="15"/>
        <v>[Desc] - Channel Fault</v>
      </c>
      <c r="BY11" t="str">
        <f t="shared" si="16"/>
        <v>[TagPrefixFull]ChFlt_T</v>
      </c>
      <c r="BZ11" t="str">
        <f t="shared" si="17"/>
        <v>[VariableB]</v>
      </c>
      <c r="CA11" t="str">
        <f t="shared" si="48"/>
        <v>Alm_Trip</v>
      </c>
      <c r="CB11" t="str">
        <f t="shared" si="18"/>
        <v>[Help]</v>
      </c>
      <c r="CC11" t="str">
        <f t="shared" si="19"/>
        <v>Priv_Alarm</v>
      </c>
      <c r="CD11" t="str">
        <f t="shared" si="20"/>
        <v>[Area]</v>
      </c>
      <c r="CE11" t="str">
        <f t="shared" si="21"/>
        <v>[Desc] - Channel Fault</v>
      </c>
      <c r="CH11" t="str">
        <f t="shared" si="22"/>
        <v>[DigAlmName]</v>
      </c>
      <c r="CP11" t="str">
        <f t="shared" si="23"/>
        <v>[Cluster]</v>
      </c>
      <c r="CV11" t="str">
        <f t="shared" si="24"/>
        <v>[Equip]</v>
      </c>
      <c r="CW11" t="e">
        <f t="shared" si="25"/>
        <v>#VALUE!</v>
      </c>
      <c r="CY11" t="str">
        <f t="shared" si="26"/>
        <v/>
      </c>
      <c r="CZ11" t="str">
        <f t="shared" si="27"/>
        <v/>
      </c>
      <c r="DB11" t="str">
        <f t="shared" si="49"/>
        <v/>
      </c>
      <c r="DE11" t="str">
        <f t="shared" si="50"/>
        <v/>
      </c>
      <c r="DF11" t="str">
        <f t="shared" si="51"/>
        <v/>
      </c>
      <c r="DG11" t="str">
        <f t="shared" si="28"/>
        <v/>
      </c>
      <c r="DH11" t="str">
        <f t="shared" si="29"/>
        <v/>
      </c>
      <c r="DI11" t="str">
        <f t="shared" si="30"/>
        <v/>
      </c>
      <c r="DJ11" t="str">
        <f t="shared" si="31"/>
        <v/>
      </c>
      <c r="DK11" t="str">
        <f t="shared" si="32"/>
        <v/>
      </c>
      <c r="DL11" t="str">
        <f t="shared" si="52"/>
        <v/>
      </c>
      <c r="DT11" t="str">
        <f t="shared" si="53"/>
        <v/>
      </c>
      <c r="DU11" t="str">
        <f t="shared" si="33"/>
        <v/>
      </c>
      <c r="DZ11" t="str">
        <f t="shared" si="34"/>
        <v/>
      </c>
      <c r="EA11" t="str">
        <f t="shared" si="35"/>
        <v/>
      </c>
      <c r="EC11" t="str">
        <f t="shared" si="54"/>
        <v/>
      </c>
      <c r="ED11" t="str">
        <f t="shared" si="55"/>
        <v/>
      </c>
    </row>
    <row r="12" spans="1:166" x14ac:dyDescent="0.3">
      <c r="A12" t="s">
        <v>401</v>
      </c>
      <c r="B12" t="s">
        <v>79</v>
      </c>
      <c r="C12" t="s">
        <v>402</v>
      </c>
      <c r="D12" t="s">
        <v>403</v>
      </c>
      <c r="E12" t="s">
        <v>79</v>
      </c>
      <c r="F12" t="s">
        <v>377</v>
      </c>
      <c r="G12" t="s">
        <v>402</v>
      </c>
      <c r="H12" t="s">
        <v>383</v>
      </c>
      <c r="K12" t="s">
        <v>402</v>
      </c>
      <c r="U12" t="s">
        <v>307</v>
      </c>
      <c r="V12" t="s">
        <v>403</v>
      </c>
      <c r="AK12" t="str">
        <f t="shared" si="36"/>
        <v>HighHighAlarm</v>
      </c>
      <c r="AL12" t="str">
        <f t="shared" si="37"/>
        <v>HighHighAlarm</v>
      </c>
      <c r="AM12" t="b">
        <f t="shared" si="38"/>
        <v>1</v>
      </c>
      <c r="AN12" t="b">
        <f t="shared" si="0"/>
        <v>1</v>
      </c>
      <c r="AO12" t="b">
        <f t="shared" si="1"/>
        <v>0</v>
      </c>
      <c r="AP12" t="b">
        <f t="shared" si="2"/>
        <v>0</v>
      </c>
      <c r="AQ12" t="str">
        <f t="shared" si="3"/>
        <v>[TagPrefixFull]HH_T</v>
      </c>
      <c r="AR12" t="str">
        <f>IF($AM12,VLOOKUP(B12,DataTypeMappings!$A$2:$B$18,2,"FALSE"),"")</f>
        <v>DIGITAL</v>
      </c>
      <c r="AS12" t="str">
        <f t="shared" si="4"/>
        <v>[PLC]</v>
      </c>
      <c r="AT12" t="str">
        <f t="shared" si="5"/>
        <v>[AddrPrefixFull]HighHighAlarm</v>
      </c>
      <c r="AU12" t="str">
        <f t="shared" si="39"/>
        <v/>
      </c>
      <c r="AV12" t="str">
        <f t="shared" si="40"/>
        <v/>
      </c>
      <c r="AW12" t="str">
        <f t="shared" si="41"/>
        <v/>
      </c>
      <c r="AX12" t="str">
        <f t="shared" si="42"/>
        <v/>
      </c>
      <c r="AY12" t="str">
        <f t="shared" si="43"/>
        <v/>
      </c>
      <c r="AZ12" t="str">
        <f t="shared" si="44"/>
        <v/>
      </c>
      <c r="BA12" t="str">
        <f t="shared" si="6"/>
        <v>[Desc] - High High Level Alarm</v>
      </c>
      <c r="BJ12" t="str">
        <f t="shared" si="7"/>
        <v>[Cluster]</v>
      </c>
      <c r="BK12" t="str">
        <f t="shared" si="8"/>
        <v>[Equip]</v>
      </c>
      <c r="BL12" t="str">
        <f t="shared" si="9"/>
        <v/>
      </c>
      <c r="BM12" t="str">
        <f t="shared" si="10"/>
        <v>[Historian]</v>
      </c>
      <c r="BN12" t="str">
        <f t="shared" si="11"/>
        <v>[DigAlmName]</v>
      </c>
      <c r="BO12" t="str">
        <f t="shared" si="12"/>
        <v>[Desc]</v>
      </c>
      <c r="BP12" t="str">
        <f t="shared" si="45"/>
        <v>Alm_Trip</v>
      </c>
      <c r="BQ12" t="str">
        <f t="shared" si="46"/>
        <v/>
      </c>
      <c r="BU12" t="str">
        <f t="shared" si="47"/>
        <v/>
      </c>
      <c r="BV12" t="str">
        <f t="shared" si="13"/>
        <v>[TagPrefixFull]HH_T</v>
      </c>
      <c r="BW12" t="str">
        <f t="shared" si="14"/>
        <v>[TagPrefixFull]HH_T</v>
      </c>
      <c r="BX12" t="str">
        <f t="shared" si="15"/>
        <v>[Desc] - High High Level Alarm</v>
      </c>
      <c r="BY12" t="str">
        <f t="shared" si="16"/>
        <v>[TagPrefixFull]HH_T</v>
      </c>
      <c r="BZ12" t="str">
        <f t="shared" si="17"/>
        <v>[VariableB]</v>
      </c>
      <c r="CA12" t="str">
        <f t="shared" si="48"/>
        <v>Alm_Trip</v>
      </c>
      <c r="CB12" t="str">
        <f t="shared" si="18"/>
        <v>[Help]</v>
      </c>
      <c r="CC12" t="str">
        <f t="shared" si="19"/>
        <v>Priv_Alarm</v>
      </c>
      <c r="CD12" t="str">
        <f t="shared" si="20"/>
        <v>[Area]</v>
      </c>
      <c r="CE12" t="str">
        <f t="shared" si="21"/>
        <v>[Desc] - High High Level Alarm</v>
      </c>
      <c r="CH12" t="str">
        <f t="shared" si="22"/>
        <v>[DigAlmName]</v>
      </c>
      <c r="CP12" t="str">
        <f t="shared" si="23"/>
        <v>[Cluster]</v>
      </c>
      <c r="CV12" t="str">
        <f t="shared" si="24"/>
        <v>[Equip]</v>
      </c>
      <c r="CW12" t="e">
        <f t="shared" si="25"/>
        <v>#VALUE!</v>
      </c>
      <c r="CY12" t="str">
        <f t="shared" si="26"/>
        <v/>
      </c>
      <c r="CZ12" t="str">
        <f t="shared" si="27"/>
        <v/>
      </c>
      <c r="DB12" t="str">
        <f t="shared" si="49"/>
        <v/>
      </c>
      <c r="DE12" t="str">
        <f t="shared" si="50"/>
        <v/>
      </c>
      <c r="DF12" t="str">
        <f t="shared" si="51"/>
        <v/>
      </c>
      <c r="DG12" t="str">
        <f t="shared" si="28"/>
        <v/>
      </c>
      <c r="DH12" t="str">
        <f t="shared" si="29"/>
        <v/>
      </c>
      <c r="DI12" t="str">
        <f t="shared" si="30"/>
        <v/>
      </c>
      <c r="DJ12" t="str">
        <f t="shared" si="31"/>
        <v/>
      </c>
      <c r="DK12" t="str">
        <f t="shared" si="32"/>
        <v/>
      </c>
      <c r="DL12" t="str">
        <f t="shared" si="52"/>
        <v/>
      </c>
      <c r="DT12" t="str">
        <f t="shared" si="53"/>
        <v/>
      </c>
      <c r="DU12" t="str">
        <f t="shared" si="33"/>
        <v/>
      </c>
      <c r="DZ12" t="str">
        <f t="shared" si="34"/>
        <v/>
      </c>
      <c r="EA12" t="str">
        <f t="shared" si="35"/>
        <v/>
      </c>
      <c r="EC12" t="str">
        <f t="shared" si="54"/>
        <v/>
      </c>
      <c r="ED12" t="str">
        <f t="shared" si="55"/>
        <v/>
      </c>
    </row>
    <row r="13" spans="1:166" x14ac:dyDescent="0.3">
      <c r="A13" t="s">
        <v>404</v>
      </c>
      <c r="B13" t="s">
        <v>79</v>
      </c>
      <c r="C13" t="s">
        <v>405</v>
      </c>
      <c r="D13" t="s">
        <v>406</v>
      </c>
      <c r="E13" t="s">
        <v>79</v>
      </c>
      <c r="F13" t="s">
        <v>377</v>
      </c>
      <c r="G13" t="s">
        <v>405</v>
      </c>
      <c r="H13" t="s">
        <v>383</v>
      </c>
      <c r="K13" t="s">
        <v>405</v>
      </c>
      <c r="U13" t="s">
        <v>309</v>
      </c>
      <c r="V13" t="s">
        <v>406</v>
      </c>
      <c r="AK13" t="str">
        <f t="shared" si="36"/>
        <v>HighAlarm</v>
      </c>
      <c r="AL13" t="str">
        <f t="shared" si="37"/>
        <v>HighAlarm</v>
      </c>
      <c r="AM13" t="b">
        <f t="shared" si="38"/>
        <v>1</v>
      </c>
      <c r="AN13" t="b">
        <f t="shared" si="0"/>
        <v>1</v>
      </c>
      <c r="AO13" t="b">
        <f t="shared" si="1"/>
        <v>0</v>
      </c>
      <c r="AP13" t="b">
        <f t="shared" si="2"/>
        <v>0</v>
      </c>
      <c r="AQ13" t="str">
        <f t="shared" si="3"/>
        <v>[TagPrefixFull]H_W</v>
      </c>
      <c r="AR13" t="str">
        <f>IF($AM13,VLOOKUP(B13,DataTypeMappings!$A$2:$B$18,2,"FALSE"),"")</f>
        <v>DIGITAL</v>
      </c>
      <c r="AS13" t="str">
        <f t="shared" si="4"/>
        <v>[PLC]</v>
      </c>
      <c r="AT13" t="str">
        <f t="shared" si="5"/>
        <v>[AddrPrefixFull]HighAlarm</v>
      </c>
      <c r="AU13" t="str">
        <f t="shared" si="39"/>
        <v/>
      </c>
      <c r="AV13" t="str">
        <f t="shared" si="40"/>
        <v/>
      </c>
      <c r="AW13" t="str">
        <f t="shared" si="41"/>
        <v/>
      </c>
      <c r="AX13" t="str">
        <f t="shared" si="42"/>
        <v/>
      </c>
      <c r="AY13" t="str">
        <f t="shared" si="43"/>
        <v/>
      </c>
      <c r="AZ13" t="str">
        <f t="shared" si="44"/>
        <v/>
      </c>
      <c r="BA13" t="str">
        <f t="shared" si="6"/>
        <v>[Desc] - High Level Alarm</v>
      </c>
      <c r="BJ13" t="str">
        <f t="shared" si="7"/>
        <v>[Cluster]</v>
      </c>
      <c r="BK13" t="str">
        <f t="shared" si="8"/>
        <v>[Equip]</v>
      </c>
      <c r="BL13" t="str">
        <f t="shared" si="9"/>
        <v/>
      </c>
      <c r="BM13" t="str">
        <f t="shared" si="10"/>
        <v>[Historian]</v>
      </c>
      <c r="BN13" t="str">
        <f t="shared" si="11"/>
        <v>[DigAlmName]</v>
      </c>
      <c r="BO13" t="str">
        <f t="shared" si="12"/>
        <v>[Desc]</v>
      </c>
      <c r="BP13" t="str">
        <f t="shared" si="45"/>
        <v>Alm_Warning</v>
      </c>
      <c r="BQ13" t="str">
        <f t="shared" si="46"/>
        <v/>
      </c>
      <c r="BU13" t="str">
        <f t="shared" si="47"/>
        <v/>
      </c>
      <c r="BV13" t="str">
        <f t="shared" si="13"/>
        <v>[TagPrefixFull]H_W</v>
      </c>
      <c r="BW13" t="str">
        <f t="shared" si="14"/>
        <v>[TagPrefixFull]H_W</v>
      </c>
      <c r="BX13" t="str">
        <f t="shared" si="15"/>
        <v>[Desc] - High Level Alarm</v>
      </c>
      <c r="BY13" t="str">
        <f t="shared" si="16"/>
        <v>[TagPrefixFull]H_W</v>
      </c>
      <c r="BZ13" t="str">
        <f t="shared" si="17"/>
        <v>[VariableB]</v>
      </c>
      <c r="CA13" t="str">
        <f t="shared" si="48"/>
        <v>Alm_Warning</v>
      </c>
      <c r="CB13" t="str">
        <f t="shared" si="18"/>
        <v>[Help]</v>
      </c>
      <c r="CC13" t="str">
        <f t="shared" si="19"/>
        <v>Priv_Alarm</v>
      </c>
      <c r="CD13" t="str">
        <f t="shared" si="20"/>
        <v>[Area]</v>
      </c>
      <c r="CE13" t="str">
        <f t="shared" si="21"/>
        <v>[Desc] - High Level Alarm</v>
      </c>
      <c r="CH13" t="str">
        <f t="shared" si="22"/>
        <v>[DigAlmName]</v>
      </c>
      <c r="CP13" t="str">
        <f t="shared" si="23"/>
        <v>[Cluster]</v>
      </c>
      <c r="CV13" t="str">
        <f t="shared" si="24"/>
        <v>[Equip]</v>
      </c>
      <c r="CW13" t="e">
        <f t="shared" si="25"/>
        <v>#VALUE!</v>
      </c>
      <c r="CY13" t="str">
        <f t="shared" si="26"/>
        <v/>
      </c>
      <c r="CZ13" t="str">
        <f t="shared" si="27"/>
        <v/>
      </c>
      <c r="DB13" t="str">
        <f t="shared" si="49"/>
        <v/>
      </c>
      <c r="DE13" t="str">
        <f t="shared" si="50"/>
        <v/>
      </c>
      <c r="DF13" t="str">
        <f t="shared" si="51"/>
        <v/>
      </c>
      <c r="DG13" t="str">
        <f t="shared" si="28"/>
        <v/>
      </c>
      <c r="DH13" t="str">
        <f t="shared" si="29"/>
        <v/>
      </c>
      <c r="DI13" t="str">
        <f t="shared" si="30"/>
        <v/>
      </c>
      <c r="DJ13" t="str">
        <f t="shared" si="31"/>
        <v/>
      </c>
      <c r="DK13" t="str">
        <f t="shared" si="32"/>
        <v/>
      </c>
      <c r="DL13" t="str">
        <f t="shared" si="52"/>
        <v/>
      </c>
      <c r="DT13" t="str">
        <f t="shared" si="53"/>
        <v/>
      </c>
      <c r="DU13" t="str">
        <f t="shared" si="33"/>
        <v/>
      </c>
      <c r="DZ13" t="str">
        <f t="shared" si="34"/>
        <v/>
      </c>
      <c r="EA13" t="str">
        <f t="shared" si="35"/>
        <v/>
      </c>
      <c r="EC13" t="str">
        <f t="shared" si="54"/>
        <v/>
      </c>
      <c r="ED13" t="str">
        <f t="shared" si="55"/>
        <v/>
      </c>
    </row>
    <row r="14" spans="1:166" x14ac:dyDescent="0.3">
      <c r="A14" t="s">
        <v>407</v>
      </c>
      <c r="B14" t="s">
        <v>79</v>
      </c>
      <c r="C14" t="s">
        <v>408</v>
      </c>
      <c r="D14" t="s">
        <v>409</v>
      </c>
      <c r="E14" t="s">
        <v>79</v>
      </c>
      <c r="F14" t="s">
        <v>377</v>
      </c>
      <c r="G14" t="s">
        <v>408</v>
      </c>
      <c r="H14" t="s">
        <v>383</v>
      </c>
      <c r="K14" t="s">
        <v>408</v>
      </c>
      <c r="U14" t="s">
        <v>309</v>
      </c>
      <c r="V14" t="s">
        <v>409</v>
      </c>
      <c r="AK14" t="str">
        <f t="shared" si="36"/>
        <v>LowAlarm</v>
      </c>
      <c r="AL14" t="str">
        <f t="shared" si="37"/>
        <v>LowAlarm</v>
      </c>
      <c r="AM14" t="b">
        <f t="shared" si="38"/>
        <v>1</v>
      </c>
      <c r="AN14" t="b">
        <f t="shared" si="0"/>
        <v>1</v>
      </c>
      <c r="AO14" t="b">
        <f t="shared" si="1"/>
        <v>0</v>
      </c>
      <c r="AP14" t="b">
        <f t="shared" si="2"/>
        <v>0</v>
      </c>
      <c r="AQ14" t="str">
        <f t="shared" si="3"/>
        <v>[TagPrefixFull]L_W</v>
      </c>
      <c r="AR14" t="str">
        <f>IF($AM14,VLOOKUP(B14,DataTypeMappings!$A$2:$B$18,2,"FALSE"),"")</f>
        <v>DIGITAL</v>
      </c>
      <c r="AS14" t="str">
        <f t="shared" si="4"/>
        <v>[PLC]</v>
      </c>
      <c r="AT14" t="str">
        <f t="shared" si="5"/>
        <v>[AddrPrefixFull]LowAlarm</v>
      </c>
      <c r="AU14" t="str">
        <f t="shared" si="39"/>
        <v/>
      </c>
      <c r="AV14" t="str">
        <f t="shared" si="40"/>
        <v/>
      </c>
      <c r="AW14" t="str">
        <f t="shared" si="41"/>
        <v/>
      </c>
      <c r="AX14" t="str">
        <f t="shared" si="42"/>
        <v/>
      </c>
      <c r="AY14" t="str">
        <f t="shared" si="43"/>
        <v/>
      </c>
      <c r="AZ14" t="str">
        <f t="shared" si="44"/>
        <v/>
      </c>
      <c r="BA14" t="str">
        <f t="shared" si="6"/>
        <v>[Desc] - Low Level Alarm</v>
      </c>
      <c r="BJ14" t="str">
        <f t="shared" si="7"/>
        <v>[Cluster]</v>
      </c>
      <c r="BK14" t="str">
        <f t="shared" si="8"/>
        <v>[Equip]</v>
      </c>
      <c r="BL14" t="str">
        <f t="shared" si="9"/>
        <v/>
      </c>
      <c r="BM14" t="str">
        <f t="shared" si="10"/>
        <v>[Historian]</v>
      </c>
      <c r="BN14" t="str">
        <f t="shared" si="11"/>
        <v>[DigAlmName]</v>
      </c>
      <c r="BO14" t="str">
        <f t="shared" si="12"/>
        <v>[Desc]</v>
      </c>
      <c r="BP14" t="str">
        <f t="shared" si="45"/>
        <v>Alm_Warning</v>
      </c>
      <c r="BQ14" t="str">
        <f t="shared" si="46"/>
        <v/>
      </c>
      <c r="BU14" t="str">
        <f t="shared" si="47"/>
        <v/>
      </c>
      <c r="BV14" t="str">
        <f t="shared" si="13"/>
        <v>[TagPrefixFull]L_W</v>
      </c>
      <c r="BW14" t="str">
        <f t="shared" si="14"/>
        <v>[TagPrefixFull]L_W</v>
      </c>
      <c r="BX14" t="str">
        <f t="shared" si="15"/>
        <v>[Desc] - Low Level Alarm</v>
      </c>
      <c r="BY14" t="str">
        <f t="shared" si="16"/>
        <v>[TagPrefixFull]L_W</v>
      </c>
      <c r="BZ14" t="str">
        <f t="shared" si="17"/>
        <v>[VariableB]</v>
      </c>
      <c r="CA14" t="str">
        <f t="shared" si="48"/>
        <v>Alm_Warning</v>
      </c>
      <c r="CB14" t="str">
        <f t="shared" si="18"/>
        <v>[Help]</v>
      </c>
      <c r="CC14" t="str">
        <f t="shared" si="19"/>
        <v>Priv_Alarm</v>
      </c>
      <c r="CD14" t="str">
        <f t="shared" si="20"/>
        <v>[Area]</v>
      </c>
      <c r="CE14" t="str">
        <f t="shared" si="21"/>
        <v>[Desc] - Low Level Alarm</v>
      </c>
      <c r="CH14" t="str">
        <f t="shared" si="22"/>
        <v>[DigAlmName]</v>
      </c>
      <c r="CP14" t="str">
        <f t="shared" si="23"/>
        <v>[Cluster]</v>
      </c>
      <c r="CV14" t="str">
        <f t="shared" si="24"/>
        <v>[Equip]</v>
      </c>
      <c r="CW14" t="e">
        <f t="shared" si="25"/>
        <v>#VALUE!</v>
      </c>
      <c r="CY14" t="str">
        <f t="shared" si="26"/>
        <v/>
      </c>
      <c r="CZ14" t="str">
        <f t="shared" si="27"/>
        <v/>
      </c>
      <c r="DB14" t="str">
        <f t="shared" si="49"/>
        <v/>
      </c>
      <c r="DE14" t="str">
        <f t="shared" si="50"/>
        <v/>
      </c>
      <c r="DF14" t="str">
        <f t="shared" si="51"/>
        <v/>
      </c>
      <c r="DG14" t="str">
        <f t="shared" si="28"/>
        <v/>
      </c>
      <c r="DH14" t="str">
        <f t="shared" si="29"/>
        <v/>
      </c>
      <c r="DI14" t="str">
        <f t="shared" si="30"/>
        <v/>
      </c>
      <c r="DJ14" t="str">
        <f t="shared" si="31"/>
        <v/>
      </c>
      <c r="DK14" t="str">
        <f t="shared" si="32"/>
        <v/>
      </c>
      <c r="DL14" t="str">
        <f t="shared" si="52"/>
        <v/>
      </c>
      <c r="DT14" t="str">
        <f t="shared" si="53"/>
        <v/>
      </c>
      <c r="DU14" t="str">
        <f t="shared" si="33"/>
        <v/>
      </c>
      <c r="DZ14" t="str">
        <f t="shared" si="34"/>
        <v/>
      </c>
      <c r="EA14" t="str">
        <f t="shared" si="35"/>
        <v/>
      </c>
      <c r="EC14" t="str">
        <f t="shared" si="54"/>
        <v/>
      </c>
      <c r="ED14" t="str">
        <f t="shared" si="55"/>
        <v/>
      </c>
    </row>
    <row r="15" spans="1:166" x14ac:dyDescent="0.3">
      <c r="A15" t="s">
        <v>410</v>
      </c>
      <c r="B15" t="s">
        <v>79</v>
      </c>
      <c r="C15" t="s">
        <v>411</v>
      </c>
      <c r="D15" t="s">
        <v>412</v>
      </c>
      <c r="E15" t="s">
        <v>79</v>
      </c>
      <c r="F15" t="s">
        <v>377</v>
      </c>
      <c r="G15" t="s">
        <v>413</v>
      </c>
      <c r="H15" t="s">
        <v>383</v>
      </c>
      <c r="K15" t="s">
        <v>411</v>
      </c>
      <c r="U15" t="s">
        <v>307</v>
      </c>
      <c r="V15" t="s">
        <v>412</v>
      </c>
      <c r="AK15" t="str">
        <f t="shared" si="36"/>
        <v>LowLowAlarm</v>
      </c>
      <c r="AL15" t="str">
        <f t="shared" si="37"/>
        <v>LowLowAlarm</v>
      </c>
      <c r="AM15" t="b">
        <f t="shared" si="38"/>
        <v>1</v>
      </c>
      <c r="AN15" t="b">
        <f t="shared" si="0"/>
        <v>1</v>
      </c>
      <c r="AO15" t="b">
        <f t="shared" si="1"/>
        <v>0</v>
      </c>
      <c r="AP15" t="b">
        <f t="shared" si="2"/>
        <v>0</v>
      </c>
      <c r="AQ15" t="str">
        <f t="shared" si="3"/>
        <v>[TagPrefixFull]LL_T</v>
      </c>
      <c r="AR15" t="str">
        <f>IF($AM15,VLOOKUP(B15,DataTypeMappings!$A$2:$B$18,2,"FALSE"),"")</f>
        <v>DIGITAL</v>
      </c>
      <c r="AS15" t="str">
        <f t="shared" si="4"/>
        <v>[PLC]</v>
      </c>
      <c r="AT15" t="str">
        <f t="shared" si="5"/>
        <v>[AddrPrefixFull]LowLowAlarm</v>
      </c>
      <c r="AU15" t="str">
        <f t="shared" si="39"/>
        <v/>
      </c>
      <c r="AV15" t="str">
        <f t="shared" si="40"/>
        <v/>
      </c>
      <c r="AW15" t="str">
        <f t="shared" si="41"/>
        <v/>
      </c>
      <c r="AX15" t="str">
        <f t="shared" si="42"/>
        <v/>
      </c>
      <c r="AY15" t="str">
        <f t="shared" si="43"/>
        <v/>
      </c>
      <c r="AZ15" t="str">
        <f t="shared" si="44"/>
        <v/>
      </c>
      <c r="BA15" t="str">
        <f t="shared" si="6"/>
        <v>[Desc] - Low Low Level Alarm</v>
      </c>
      <c r="BJ15" t="str">
        <f t="shared" si="7"/>
        <v>[Cluster]</v>
      </c>
      <c r="BK15" t="str">
        <f t="shared" si="8"/>
        <v>[Equip]</v>
      </c>
      <c r="BL15" t="str">
        <f t="shared" si="9"/>
        <v/>
      </c>
      <c r="BM15" t="str">
        <f t="shared" si="10"/>
        <v>[Historian]</v>
      </c>
      <c r="BN15" t="str">
        <f t="shared" si="11"/>
        <v>[DigAlmName]</v>
      </c>
      <c r="BO15" t="str">
        <f t="shared" si="12"/>
        <v>[Desc]</v>
      </c>
      <c r="BP15" t="str">
        <f t="shared" si="45"/>
        <v>Alm_Trip</v>
      </c>
      <c r="BQ15" t="str">
        <f t="shared" si="46"/>
        <v/>
      </c>
      <c r="BU15" t="str">
        <f t="shared" si="47"/>
        <v/>
      </c>
      <c r="BV15" t="str">
        <f t="shared" si="13"/>
        <v>[TagPrefixFull]LL_T</v>
      </c>
      <c r="BW15" t="str">
        <f t="shared" si="14"/>
        <v>[TagPrefixFull]LL_T</v>
      </c>
      <c r="BX15" t="str">
        <f t="shared" si="15"/>
        <v>[Desc] - Low Low Level Alarm</v>
      </c>
      <c r="BY15" t="str">
        <f t="shared" si="16"/>
        <v>[TagPrefixFull]LL_T</v>
      </c>
      <c r="BZ15" t="str">
        <f t="shared" si="17"/>
        <v>[VariableB]</v>
      </c>
      <c r="CA15" t="str">
        <f t="shared" si="48"/>
        <v>Alm_Trip</v>
      </c>
      <c r="CB15" t="str">
        <f t="shared" si="18"/>
        <v>[Help]</v>
      </c>
      <c r="CC15" t="str">
        <f t="shared" si="19"/>
        <v>Priv_Alarm</v>
      </c>
      <c r="CD15" t="str">
        <f t="shared" si="20"/>
        <v>[Area]</v>
      </c>
      <c r="CE15" t="str">
        <f t="shared" si="21"/>
        <v>[Desc] - Low Low Level Alarm</v>
      </c>
      <c r="CH15" t="str">
        <f t="shared" si="22"/>
        <v>[DigAlmName]</v>
      </c>
      <c r="CP15" t="str">
        <f t="shared" si="23"/>
        <v>[Cluster]</v>
      </c>
      <c r="CV15" t="str">
        <f t="shared" si="24"/>
        <v>[Equip]</v>
      </c>
      <c r="CW15" t="e">
        <f t="shared" si="25"/>
        <v>#VALUE!</v>
      </c>
      <c r="CY15" t="str">
        <f t="shared" si="26"/>
        <v/>
      </c>
      <c r="CZ15" t="str">
        <f t="shared" si="27"/>
        <v/>
      </c>
      <c r="DB15" t="str">
        <f t="shared" si="49"/>
        <v/>
      </c>
      <c r="DE15" t="str">
        <f t="shared" si="50"/>
        <v/>
      </c>
      <c r="DF15" t="str">
        <f t="shared" si="51"/>
        <v/>
      </c>
      <c r="DG15" t="str">
        <f t="shared" si="28"/>
        <v/>
      </c>
      <c r="DH15" t="str">
        <f t="shared" si="29"/>
        <v/>
      </c>
      <c r="DI15" t="str">
        <f t="shared" si="30"/>
        <v/>
      </c>
      <c r="DJ15" t="str">
        <f t="shared" si="31"/>
        <v/>
      </c>
      <c r="DK15" t="str">
        <f t="shared" si="32"/>
        <v/>
      </c>
      <c r="DL15" t="str">
        <f t="shared" si="52"/>
        <v/>
      </c>
      <c r="DT15" t="str">
        <f t="shared" si="53"/>
        <v/>
      </c>
      <c r="DU15" t="str">
        <f t="shared" si="33"/>
        <v/>
      </c>
      <c r="DZ15" t="str">
        <f t="shared" si="34"/>
        <v/>
      </c>
      <c r="EA15" t="str">
        <f t="shared" si="35"/>
        <v/>
      </c>
      <c r="EC15" t="str">
        <f t="shared" si="54"/>
        <v/>
      </c>
      <c r="ED15" t="str">
        <f t="shared" si="55"/>
        <v/>
      </c>
    </row>
    <row r="16" spans="1:166" x14ac:dyDescent="0.3">
      <c r="A16" s="86" t="s">
        <v>414</v>
      </c>
      <c r="B16" t="s">
        <v>79</v>
      </c>
      <c r="C16" s="86" t="s">
        <v>415</v>
      </c>
      <c r="K16" s="86" t="s">
        <v>415</v>
      </c>
      <c r="AF16" s="113" t="b">
        <v>1</v>
      </c>
      <c r="AG16" t="s">
        <v>696</v>
      </c>
      <c r="AK16" t="str">
        <f t="shared" si="36"/>
        <v>HH_Hide</v>
      </c>
      <c r="AL16" t="str">
        <f t="shared" si="37"/>
        <v>HH_Hide</v>
      </c>
      <c r="AM16" t="b">
        <f t="shared" si="38"/>
        <v>0</v>
      </c>
      <c r="AN16" t="b">
        <f t="shared" si="0"/>
        <v>0</v>
      </c>
      <c r="AO16" t="b">
        <f t="shared" si="1"/>
        <v>0</v>
      </c>
      <c r="AP16" t="b">
        <f t="shared" si="2"/>
        <v>0</v>
      </c>
      <c r="AQ16" t="str">
        <f t="shared" si="3"/>
        <v/>
      </c>
      <c r="AR16" t="str">
        <f>IF($AM16,VLOOKUP(B16,DataTypeMappings!$A$2:$B$18,2,"FALSE"),"")</f>
        <v/>
      </c>
      <c r="AS16" t="str">
        <f t="shared" si="4"/>
        <v/>
      </c>
      <c r="AT16" t="str">
        <f t="shared" si="5"/>
        <v/>
      </c>
      <c r="AU16" t="str">
        <f t="shared" si="39"/>
        <v/>
      </c>
      <c r="AV16" t="str">
        <f t="shared" si="40"/>
        <v/>
      </c>
      <c r="AW16" t="str">
        <f t="shared" si="41"/>
        <v/>
      </c>
      <c r="AX16" t="str">
        <f t="shared" si="42"/>
        <v/>
      </c>
      <c r="AY16" t="str">
        <f t="shared" si="43"/>
        <v/>
      </c>
      <c r="AZ16" t="str">
        <f t="shared" si="44"/>
        <v/>
      </c>
      <c r="BA16" t="str">
        <f t="shared" si="6"/>
        <v/>
      </c>
      <c r="BJ16" t="str">
        <f t="shared" si="7"/>
        <v/>
      </c>
      <c r="BK16" t="str">
        <f t="shared" si="8"/>
        <v/>
      </c>
      <c r="BL16" t="str">
        <f t="shared" si="9"/>
        <v/>
      </c>
      <c r="BM16" t="str">
        <f t="shared" si="10"/>
        <v/>
      </c>
      <c r="BN16" t="str">
        <f t="shared" si="11"/>
        <v/>
      </c>
      <c r="BO16" t="str">
        <f t="shared" si="12"/>
        <v/>
      </c>
      <c r="BP16" t="str">
        <f t="shared" si="45"/>
        <v/>
      </c>
      <c r="BQ16" t="str">
        <f t="shared" si="46"/>
        <v/>
      </c>
      <c r="BU16" t="str">
        <f t="shared" si="47"/>
        <v/>
      </c>
      <c r="BV16" t="str">
        <f t="shared" si="13"/>
        <v/>
      </c>
      <c r="BW16" t="str">
        <f t="shared" si="14"/>
        <v/>
      </c>
      <c r="BX16" t="str">
        <f t="shared" si="15"/>
        <v/>
      </c>
      <c r="BY16" t="str">
        <f t="shared" si="16"/>
        <v/>
      </c>
      <c r="BZ16" t="str">
        <f t="shared" si="17"/>
        <v/>
      </c>
      <c r="CA16" t="str">
        <f t="shared" si="48"/>
        <v/>
      </c>
      <c r="CB16" t="str">
        <f t="shared" si="18"/>
        <v/>
      </c>
      <c r="CC16" t="str">
        <f t="shared" si="19"/>
        <v/>
      </c>
      <c r="CD16" t="str">
        <f t="shared" si="20"/>
        <v/>
      </c>
      <c r="CE16" t="str">
        <f t="shared" si="21"/>
        <v/>
      </c>
      <c r="CH16" t="str">
        <f t="shared" si="22"/>
        <v/>
      </c>
      <c r="CP16" t="str">
        <f t="shared" si="23"/>
        <v/>
      </c>
      <c r="CV16" t="str">
        <f t="shared" si="24"/>
        <v/>
      </c>
      <c r="CW16" t="str">
        <f t="shared" si="25"/>
        <v/>
      </c>
      <c r="CY16" t="str">
        <f t="shared" si="26"/>
        <v/>
      </c>
      <c r="CZ16" t="str">
        <f t="shared" si="27"/>
        <v/>
      </c>
      <c r="DB16" t="str">
        <f t="shared" si="49"/>
        <v/>
      </c>
      <c r="DE16" t="str">
        <f t="shared" si="50"/>
        <v/>
      </c>
      <c r="DF16" t="str">
        <f t="shared" si="51"/>
        <v/>
      </c>
      <c r="DG16" t="str">
        <f t="shared" si="28"/>
        <v/>
      </c>
      <c r="DH16" t="str">
        <f t="shared" si="29"/>
        <v/>
      </c>
      <c r="DI16" t="str">
        <f t="shared" si="30"/>
        <v/>
      </c>
      <c r="DJ16" t="str">
        <f t="shared" si="31"/>
        <v/>
      </c>
      <c r="DK16" t="str">
        <f t="shared" si="32"/>
        <v/>
      </c>
      <c r="DL16" t="str">
        <f t="shared" si="52"/>
        <v/>
      </c>
      <c r="DT16" t="str">
        <f t="shared" si="53"/>
        <v/>
      </c>
      <c r="DU16" t="str">
        <f t="shared" si="33"/>
        <v/>
      </c>
      <c r="DZ16" t="str">
        <f t="shared" si="34"/>
        <v/>
      </c>
      <c r="EA16" t="str">
        <f t="shared" si="35"/>
        <v/>
      </c>
      <c r="EC16" t="str">
        <f t="shared" si="54"/>
        <v/>
      </c>
      <c r="ED16" t="str">
        <f t="shared" si="55"/>
        <v/>
      </c>
    </row>
    <row r="17" spans="1:134" x14ac:dyDescent="0.3">
      <c r="A17" s="86" t="s">
        <v>416</v>
      </c>
      <c r="B17" t="s">
        <v>79</v>
      </c>
      <c r="C17" s="86" t="s">
        <v>417</v>
      </c>
      <c r="K17" s="86" t="s">
        <v>417</v>
      </c>
      <c r="AF17" s="113" t="b">
        <v>1</v>
      </c>
      <c r="AG17" t="s">
        <v>696</v>
      </c>
      <c r="AK17" t="str">
        <f t="shared" si="36"/>
        <v>H_Hide</v>
      </c>
      <c r="AL17" t="str">
        <f t="shared" si="37"/>
        <v>H_Hide</v>
      </c>
      <c r="AM17" t="b">
        <f t="shared" si="38"/>
        <v>0</v>
      </c>
      <c r="AN17" t="b">
        <f t="shared" si="0"/>
        <v>0</v>
      </c>
      <c r="AO17" t="b">
        <f t="shared" si="1"/>
        <v>0</v>
      </c>
      <c r="AP17" t="b">
        <f t="shared" si="2"/>
        <v>0</v>
      </c>
      <c r="AQ17" t="str">
        <f t="shared" si="3"/>
        <v/>
      </c>
      <c r="AR17" t="str">
        <f>IF($AM17,VLOOKUP(B17,DataTypeMappings!$A$2:$B$18,2,"FALSE"),"")</f>
        <v/>
      </c>
      <c r="AS17" t="str">
        <f t="shared" si="4"/>
        <v/>
      </c>
      <c r="AT17" t="str">
        <f t="shared" si="5"/>
        <v/>
      </c>
      <c r="AU17" t="str">
        <f t="shared" si="39"/>
        <v/>
      </c>
      <c r="AV17" t="str">
        <f t="shared" si="40"/>
        <v/>
      </c>
      <c r="AW17" t="str">
        <f t="shared" si="41"/>
        <v/>
      </c>
      <c r="AX17" t="str">
        <f t="shared" si="42"/>
        <v/>
      </c>
      <c r="AY17" t="str">
        <f t="shared" si="43"/>
        <v/>
      </c>
      <c r="AZ17" t="str">
        <f t="shared" si="44"/>
        <v/>
      </c>
      <c r="BA17" t="str">
        <f t="shared" si="6"/>
        <v/>
      </c>
      <c r="BJ17" t="str">
        <f t="shared" si="7"/>
        <v/>
      </c>
      <c r="BK17" t="str">
        <f t="shared" si="8"/>
        <v/>
      </c>
      <c r="BL17" t="str">
        <f t="shared" si="9"/>
        <v/>
      </c>
      <c r="BM17" t="str">
        <f t="shared" si="10"/>
        <v/>
      </c>
      <c r="BN17" t="str">
        <f t="shared" si="11"/>
        <v/>
      </c>
      <c r="BO17" t="str">
        <f t="shared" si="12"/>
        <v/>
      </c>
      <c r="BP17" t="str">
        <f t="shared" si="45"/>
        <v/>
      </c>
      <c r="BQ17" t="str">
        <f t="shared" si="46"/>
        <v/>
      </c>
      <c r="BU17" t="str">
        <f t="shared" si="47"/>
        <v/>
      </c>
      <c r="BV17" t="str">
        <f t="shared" si="13"/>
        <v/>
      </c>
      <c r="BW17" t="str">
        <f t="shared" si="14"/>
        <v/>
      </c>
      <c r="BX17" t="str">
        <f t="shared" si="15"/>
        <v/>
      </c>
      <c r="BY17" t="str">
        <f t="shared" si="16"/>
        <v/>
      </c>
      <c r="BZ17" t="str">
        <f t="shared" si="17"/>
        <v/>
      </c>
      <c r="CA17" t="str">
        <f t="shared" si="48"/>
        <v/>
      </c>
      <c r="CB17" t="str">
        <f t="shared" si="18"/>
        <v/>
      </c>
      <c r="CC17" t="str">
        <f t="shared" si="19"/>
        <v/>
      </c>
      <c r="CD17" t="str">
        <f t="shared" si="20"/>
        <v/>
      </c>
      <c r="CE17" t="str">
        <f t="shared" si="21"/>
        <v/>
      </c>
      <c r="CH17" t="str">
        <f t="shared" si="22"/>
        <v/>
      </c>
      <c r="CP17" t="str">
        <f t="shared" si="23"/>
        <v/>
      </c>
      <c r="CV17" t="str">
        <f t="shared" si="24"/>
        <v/>
      </c>
      <c r="CW17" t="str">
        <f t="shared" si="25"/>
        <v/>
      </c>
      <c r="CY17" t="str">
        <f t="shared" si="26"/>
        <v/>
      </c>
      <c r="CZ17" t="str">
        <f t="shared" si="27"/>
        <v/>
      </c>
      <c r="DB17" t="str">
        <f t="shared" si="49"/>
        <v/>
      </c>
      <c r="DE17" t="str">
        <f t="shared" si="50"/>
        <v/>
      </c>
      <c r="DF17" t="str">
        <f t="shared" si="51"/>
        <v/>
      </c>
      <c r="DG17" t="str">
        <f t="shared" si="28"/>
        <v/>
      </c>
      <c r="DH17" t="str">
        <f t="shared" si="29"/>
        <v/>
      </c>
      <c r="DI17" t="str">
        <f t="shared" si="30"/>
        <v/>
      </c>
      <c r="DJ17" t="str">
        <f t="shared" si="31"/>
        <v/>
      </c>
      <c r="DK17" t="str">
        <f t="shared" si="32"/>
        <v/>
      </c>
      <c r="DL17" t="str">
        <f t="shared" si="52"/>
        <v/>
      </c>
      <c r="DT17" t="str">
        <f t="shared" si="53"/>
        <v/>
      </c>
      <c r="DU17" t="str">
        <f t="shared" si="33"/>
        <v/>
      </c>
      <c r="DZ17" t="str">
        <f t="shared" si="34"/>
        <v/>
      </c>
      <c r="EA17" t="str">
        <f t="shared" si="35"/>
        <v/>
      </c>
      <c r="EC17" t="str">
        <f t="shared" si="54"/>
        <v/>
      </c>
      <c r="ED17" t="str">
        <f t="shared" si="55"/>
        <v/>
      </c>
    </row>
    <row r="18" spans="1:134" x14ac:dyDescent="0.3">
      <c r="A18" s="86" t="s">
        <v>418</v>
      </c>
      <c r="B18" t="s">
        <v>79</v>
      </c>
      <c r="C18" s="86" t="s">
        <v>419</v>
      </c>
      <c r="K18" s="86" t="s">
        <v>419</v>
      </c>
      <c r="AF18" s="113" t="b">
        <v>1</v>
      </c>
      <c r="AG18" t="s">
        <v>696</v>
      </c>
      <c r="AK18" t="str">
        <f t="shared" si="36"/>
        <v>L_Hide</v>
      </c>
      <c r="AL18" t="str">
        <f t="shared" si="37"/>
        <v>L_Hide</v>
      </c>
      <c r="AM18" t="b">
        <f t="shared" si="38"/>
        <v>0</v>
      </c>
      <c r="AN18" t="b">
        <f t="shared" si="0"/>
        <v>0</v>
      </c>
      <c r="AO18" t="b">
        <f t="shared" si="1"/>
        <v>0</v>
      </c>
      <c r="AP18" t="b">
        <f t="shared" si="2"/>
        <v>0</v>
      </c>
      <c r="AQ18" t="str">
        <f t="shared" si="3"/>
        <v/>
      </c>
      <c r="AR18" t="str">
        <f>IF($AM18,VLOOKUP(B18,DataTypeMappings!$A$2:$B$18,2,"FALSE"),"")</f>
        <v/>
      </c>
      <c r="AS18" t="str">
        <f t="shared" si="4"/>
        <v/>
      </c>
      <c r="AT18" t="str">
        <f t="shared" si="5"/>
        <v/>
      </c>
      <c r="AU18" t="str">
        <f t="shared" si="39"/>
        <v/>
      </c>
      <c r="AV18" t="str">
        <f t="shared" si="40"/>
        <v/>
      </c>
      <c r="AW18" t="str">
        <f t="shared" si="41"/>
        <v/>
      </c>
      <c r="AX18" t="str">
        <f t="shared" si="42"/>
        <v/>
      </c>
      <c r="AY18" t="str">
        <f t="shared" si="43"/>
        <v/>
      </c>
      <c r="AZ18" t="str">
        <f t="shared" si="44"/>
        <v/>
      </c>
      <c r="BA18" t="str">
        <f t="shared" si="6"/>
        <v/>
      </c>
      <c r="BJ18" t="str">
        <f t="shared" si="7"/>
        <v/>
      </c>
      <c r="BK18" t="str">
        <f t="shared" si="8"/>
        <v/>
      </c>
      <c r="BL18" t="str">
        <f t="shared" si="9"/>
        <v/>
      </c>
      <c r="BM18" t="str">
        <f t="shared" si="10"/>
        <v/>
      </c>
      <c r="BN18" t="str">
        <f t="shared" si="11"/>
        <v/>
      </c>
      <c r="BO18" t="str">
        <f t="shared" si="12"/>
        <v/>
      </c>
      <c r="BP18" t="str">
        <f t="shared" si="45"/>
        <v/>
      </c>
      <c r="BQ18" t="str">
        <f t="shared" si="46"/>
        <v/>
      </c>
      <c r="BU18" t="str">
        <f t="shared" si="47"/>
        <v/>
      </c>
      <c r="BV18" t="str">
        <f t="shared" si="13"/>
        <v/>
      </c>
      <c r="BW18" t="str">
        <f t="shared" si="14"/>
        <v/>
      </c>
      <c r="BX18" t="str">
        <f t="shared" si="15"/>
        <v/>
      </c>
      <c r="BY18" t="str">
        <f t="shared" si="16"/>
        <v/>
      </c>
      <c r="BZ18" t="str">
        <f t="shared" si="17"/>
        <v/>
      </c>
      <c r="CA18" t="str">
        <f t="shared" si="48"/>
        <v/>
      </c>
      <c r="CB18" t="str">
        <f t="shared" si="18"/>
        <v/>
      </c>
      <c r="CC18" t="str">
        <f t="shared" si="19"/>
        <v/>
      </c>
      <c r="CD18" t="str">
        <f t="shared" si="20"/>
        <v/>
      </c>
      <c r="CE18" t="str">
        <f t="shared" si="21"/>
        <v/>
      </c>
      <c r="CH18" t="str">
        <f t="shared" si="22"/>
        <v/>
      </c>
      <c r="CP18" t="str">
        <f t="shared" si="23"/>
        <v/>
      </c>
      <c r="CV18" t="str">
        <f t="shared" si="24"/>
        <v/>
      </c>
      <c r="CW18" t="str">
        <f t="shared" si="25"/>
        <v/>
      </c>
      <c r="CY18" t="str">
        <f t="shared" si="26"/>
        <v/>
      </c>
      <c r="CZ18" t="str">
        <f t="shared" si="27"/>
        <v/>
      </c>
      <c r="DB18" t="str">
        <f t="shared" si="49"/>
        <v/>
      </c>
      <c r="DE18" t="str">
        <f t="shared" si="50"/>
        <v/>
      </c>
      <c r="DF18" t="str">
        <f t="shared" si="51"/>
        <v/>
      </c>
      <c r="DG18" t="str">
        <f t="shared" si="28"/>
        <v/>
      </c>
      <c r="DH18" t="str">
        <f t="shared" si="29"/>
        <v/>
      </c>
      <c r="DI18" t="str">
        <f t="shared" si="30"/>
        <v/>
      </c>
      <c r="DJ18" t="str">
        <f t="shared" si="31"/>
        <v/>
      </c>
      <c r="DK18" t="str">
        <f t="shared" si="32"/>
        <v/>
      </c>
      <c r="DL18" t="str">
        <f t="shared" si="52"/>
        <v/>
      </c>
      <c r="DT18" t="str">
        <f t="shared" si="53"/>
        <v/>
      </c>
      <c r="DU18" t="str">
        <f t="shared" si="33"/>
        <v/>
      </c>
      <c r="DZ18" t="str">
        <f t="shared" si="34"/>
        <v/>
      </c>
      <c r="EA18" t="str">
        <f t="shared" si="35"/>
        <v/>
      </c>
      <c r="EC18" t="str">
        <f t="shared" si="54"/>
        <v/>
      </c>
      <c r="ED18" t="str">
        <f t="shared" si="55"/>
        <v/>
      </c>
    </row>
    <row r="19" spans="1:134" x14ac:dyDescent="0.3">
      <c r="A19" s="86" t="s">
        <v>420</v>
      </c>
      <c r="B19" t="s">
        <v>79</v>
      </c>
      <c r="C19" s="86" t="s">
        <v>421</v>
      </c>
      <c r="K19" s="86" t="s">
        <v>421</v>
      </c>
      <c r="AF19" s="113" t="b">
        <v>1</v>
      </c>
      <c r="AG19" t="s">
        <v>696</v>
      </c>
      <c r="AK19" t="str">
        <f t="shared" si="36"/>
        <v>LL_Hide</v>
      </c>
      <c r="AL19" t="str">
        <f t="shared" si="37"/>
        <v>LL_Hide</v>
      </c>
      <c r="AM19" t="b">
        <f t="shared" si="38"/>
        <v>0</v>
      </c>
      <c r="AN19" t="b">
        <f t="shared" si="0"/>
        <v>0</v>
      </c>
      <c r="AO19" t="b">
        <f t="shared" si="1"/>
        <v>0</v>
      </c>
      <c r="AP19" t="b">
        <f t="shared" si="2"/>
        <v>0</v>
      </c>
      <c r="AQ19" t="str">
        <f t="shared" si="3"/>
        <v/>
      </c>
      <c r="AR19" t="str">
        <f>IF($AM19,VLOOKUP(B19,DataTypeMappings!$A$2:$B$18,2,"FALSE"),"")</f>
        <v/>
      </c>
      <c r="AS19" t="str">
        <f t="shared" si="4"/>
        <v/>
      </c>
      <c r="AT19" t="str">
        <f t="shared" si="5"/>
        <v/>
      </c>
      <c r="AU19" t="str">
        <f t="shared" si="39"/>
        <v/>
      </c>
      <c r="AV19" t="str">
        <f t="shared" si="40"/>
        <v/>
      </c>
      <c r="AW19" t="str">
        <f t="shared" si="41"/>
        <v/>
      </c>
      <c r="AX19" t="str">
        <f t="shared" si="42"/>
        <v/>
      </c>
      <c r="AY19" t="str">
        <f t="shared" si="43"/>
        <v/>
      </c>
      <c r="AZ19" t="str">
        <f t="shared" si="44"/>
        <v/>
      </c>
      <c r="BA19" t="str">
        <f t="shared" si="6"/>
        <v/>
      </c>
      <c r="BJ19" t="str">
        <f t="shared" si="7"/>
        <v/>
      </c>
      <c r="BK19" t="str">
        <f t="shared" si="8"/>
        <v/>
      </c>
      <c r="BL19" t="str">
        <f t="shared" si="9"/>
        <v/>
      </c>
      <c r="BM19" t="str">
        <f t="shared" si="10"/>
        <v/>
      </c>
      <c r="BN19" t="str">
        <f t="shared" si="11"/>
        <v/>
      </c>
      <c r="BO19" t="str">
        <f t="shared" si="12"/>
        <v/>
      </c>
      <c r="BP19" t="str">
        <f t="shared" si="45"/>
        <v/>
      </c>
      <c r="BQ19" t="str">
        <f t="shared" si="46"/>
        <v/>
      </c>
      <c r="BU19" t="str">
        <f t="shared" si="47"/>
        <v/>
      </c>
      <c r="BV19" t="str">
        <f t="shared" si="13"/>
        <v/>
      </c>
      <c r="BW19" t="str">
        <f t="shared" si="14"/>
        <v/>
      </c>
      <c r="BX19" t="str">
        <f t="shared" si="15"/>
        <v/>
      </c>
      <c r="BY19" t="str">
        <f t="shared" si="16"/>
        <v/>
      </c>
      <c r="BZ19" t="str">
        <f t="shared" si="17"/>
        <v/>
      </c>
      <c r="CA19" t="str">
        <f t="shared" si="48"/>
        <v/>
      </c>
      <c r="CB19" t="str">
        <f t="shared" si="18"/>
        <v/>
      </c>
      <c r="CC19" t="str">
        <f t="shared" si="19"/>
        <v/>
      </c>
      <c r="CD19" t="str">
        <f t="shared" si="20"/>
        <v/>
      </c>
      <c r="CE19" t="str">
        <f t="shared" si="21"/>
        <v/>
      </c>
      <c r="CH19" t="str">
        <f t="shared" si="22"/>
        <v/>
      </c>
      <c r="CP19" t="str">
        <f t="shared" si="23"/>
        <v/>
      </c>
      <c r="CV19" t="str">
        <f t="shared" si="24"/>
        <v/>
      </c>
      <c r="CW19" t="str">
        <f t="shared" si="25"/>
        <v/>
      </c>
      <c r="CY19" t="str">
        <f t="shared" si="26"/>
        <v/>
      </c>
      <c r="CZ19" t="str">
        <f t="shared" si="27"/>
        <v/>
      </c>
      <c r="DB19" t="str">
        <f t="shared" si="49"/>
        <v/>
      </c>
      <c r="DE19" t="str">
        <f t="shared" si="50"/>
        <v/>
      </c>
      <c r="DF19" t="str">
        <f t="shared" si="51"/>
        <v/>
      </c>
      <c r="DG19" t="str">
        <f t="shared" si="28"/>
        <v/>
      </c>
      <c r="DH19" t="str">
        <f t="shared" si="29"/>
        <v/>
      </c>
      <c r="DI19" t="str">
        <f t="shared" si="30"/>
        <v/>
      </c>
      <c r="DJ19" t="str">
        <f t="shared" si="31"/>
        <v/>
      </c>
      <c r="DK19" t="str">
        <f t="shared" si="32"/>
        <v/>
      </c>
      <c r="DL19" t="str">
        <f t="shared" si="52"/>
        <v/>
      </c>
      <c r="DT19" t="str">
        <f t="shared" si="53"/>
        <v/>
      </c>
      <c r="DU19" t="str">
        <f t="shared" si="33"/>
        <v/>
      </c>
      <c r="DZ19" t="str">
        <f t="shared" si="34"/>
        <v/>
      </c>
      <c r="EA19" t="str">
        <f t="shared" si="35"/>
        <v/>
      </c>
      <c r="EC19" t="str">
        <f t="shared" si="54"/>
        <v/>
      </c>
      <c r="ED19" t="str">
        <f t="shared" si="55"/>
        <v/>
      </c>
    </row>
    <row r="114" spans="21:21" x14ac:dyDescent="0.3">
      <c r="U114" s="93"/>
    </row>
    <row r="129" spans="21:21" x14ac:dyDescent="0.3">
      <c r="U129" s="93"/>
    </row>
    <row r="217" spans="1:1" x14ac:dyDescent="0.3">
      <c r="A217" s="96"/>
    </row>
    <row r="356" spans="21:21" x14ac:dyDescent="0.3">
      <c r="U356" s="93"/>
    </row>
    <row r="358" spans="21:21" x14ac:dyDescent="0.3">
      <c r="U358" s="93"/>
    </row>
  </sheetData>
  <autoFilter ref="A4:ED5" xr:uid="{A8081164-2D9D-4DA1-9E28-82179C0C281C}"/>
  <mergeCells count="10">
    <mergeCell ref="AQ3:BU3"/>
    <mergeCell ref="BV3:CX3"/>
    <mergeCell ref="CY3:ED3"/>
    <mergeCell ref="EE3:FJ3"/>
    <mergeCell ref="D2:H2"/>
    <mergeCell ref="AG2:AH2"/>
    <mergeCell ref="D3:J3"/>
    <mergeCell ref="K3:AJ3"/>
    <mergeCell ref="AK3:AL3"/>
    <mergeCell ref="AM3:AP3"/>
  </mergeCells>
  <printOptions gridLines="1"/>
  <pageMargins left="0" right="0" top="0" bottom="0" header="0" footer="0"/>
  <pageSetup paperSize="8" scale="25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3775873" r:id="rId4" name="Config_Vis">
          <controlPr defaultSize="0" autoLine="0" autoPict="0" r:id="rId5">
            <anchor moveWithCells="1">
              <from>
                <xdr:col>2</xdr:col>
                <xdr:colOff>601980</xdr:colOff>
                <xdr:row>0</xdr:row>
                <xdr:rowOff>68580</xdr:rowOff>
              </from>
              <to>
                <xdr:col>2</xdr:col>
                <xdr:colOff>1097280</xdr:colOff>
                <xdr:row>0</xdr:row>
                <xdr:rowOff>312420</xdr:rowOff>
              </to>
            </anchor>
          </controlPr>
        </control>
      </mc:Choice>
      <mc:Fallback>
        <control shapeId="13775873" r:id="rId4" name="Config_Vis"/>
      </mc:Fallback>
    </mc:AlternateContent>
    <mc:AlternateContent xmlns:mc="http://schemas.openxmlformats.org/markup-compatibility/2006">
      <mc:Choice Requires="x14">
        <control shapeId="13775874" r:id="rId6" name="Variable_Vis">
          <controlPr defaultSize="0" autoLine="0" autoPict="0" r:id="rId7">
            <anchor moveWithCells="1">
              <from>
                <xdr:col>2</xdr:col>
                <xdr:colOff>1150620</xdr:colOff>
                <xdr:row>0</xdr:row>
                <xdr:rowOff>60960</xdr:rowOff>
              </from>
              <to>
                <xdr:col>2</xdr:col>
                <xdr:colOff>1508760</xdr:colOff>
                <xdr:row>0</xdr:row>
                <xdr:rowOff>304800</xdr:rowOff>
              </to>
            </anchor>
          </controlPr>
        </control>
      </mc:Choice>
      <mc:Fallback>
        <control shapeId="13775874" r:id="rId6" name="Variable_Vis"/>
      </mc:Fallback>
    </mc:AlternateContent>
    <mc:AlternateContent xmlns:mc="http://schemas.openxmlformats.org/markup-compatibility/2006">
      <mc:Choice Requires="x14">
        <control shapeId="13775875" r:id="rId8" name="Digalm_Vis">
          <controlPr defaultSize="0" autoLine="0" autoPict="0" r:id="rId9">
            <anchor moveWithCells="1">
              <from>
                <xdr:col>2</xdr:col>
                <xdr:colOff>1562100</xdr:colOff>
                <xdr:row>0</xdr:row>
                <xdr:rowOff>60960</xdr:rowOff>
              </from>
              <to>
                <xdr:col>2</xdr:col>
                <xdr:colOff>2087880</xdr:colOff>
                <xdr:row>0</xdr:row>
                <xdr:rowOff>304800</xdr:rowOff>
              </to>
            </anchor>
          </controlPr>
        </control>
      </mc:Choice>
      <mc:Fallback>
        <control shapeId="13775875" r:id="rId8" name="Digalm_Vis"/>
      </mc:Fallback>
    </mc:AlternateContent>
    <mc:AlternateContent xmlns:mc="http://schemas.openxmlformats.org/markup-compatibility/2006">
      <mc:Choice Requires="x14">
        <control shapeId="13775876" r:id="rId10" name="Trend_Vis">
          <controlPr defaultSize="0" autoLine="0" autoPict="0" r:id="rId11">
            <anchor moveWithCells="1">
              <from>
                <xdr:col>2</xdr:col>
                <xdr:colOff>2156460</xdr:colOff>
                <xdr:row>0</xdr:row>
                <xdr:rowOff>60960</xdr:rowOff>
              </from>
              <to>
                <xdr:col>2</xdr:col>
                <xdr:colOff>2628900</xdr:colOff>
                <xdr:row>0</xdr:row>
                <xdr:rowOff>304800</xdr:rowOff>
              </to>
            </anchor>
          </controlPr>
        </control>
      </mc:Choice>
      <mc:Fallback>
        <control shapeId="13775876" r:id="rId10" name="Trend_Vis"/>
      </mc:Fallback>
    </mc:AlternateContent>
    <mc:AlternateContent xmlns:mc="http://schemas.openxmlformats.org/markup-compatibility/2006">
      <mc:Choice Requires="x14">
        <control shapeId="13775877" r:id="rId12" name="Import_Vis">
          <controlPr defaultSize="0" autoLine="0" autoPict="0" r:id="rId13">
            <anchor moveWithCells="1">
              <from>
                <xdr:col>2</xdr:col>
                <xdr:colOff>30480</xdr:colOff>
                <xdr:row>0</xdr:row>
                <xdr:rowOff>68580</xdr:rowOff>
              </from>
              <to>
                <xdr:col>2</xdr:col>
                <xdr:colOff>533400</xdr:colOff>
                <xdr:row>0</xdr:row>
                <xdr:rowOff>312420</xdr:rowOff>
              </to>
            </anchor>
          </controlPr>
        </control>
      </mc:Choice>
      <mc:Fallback>
        <control shapeId="13775877" r:id="rId12" name="Import_Vis"/>
      </mc:Fallback>
    </mc:AlternateContent>
    <mc:AlternateContent xmlns:mc="http://schemas.openxmlformats.org/markup-compatibility/2006">
      <mc:Choice Requires="x14">
        <control shapeId="13775880" r:id="rId14" name="PV_Vis">
          <controlPr defaultSize="0" autoLine="0" autoPict="0" r:id="rId15">
            <anchor moveWithCells="1">
              <from>
                <xdr:col>2</xdr:col>
                <xdr:colOff>2697480</xdr:colOff>
                <xdr:row>0</xdr:row>
                <xdr:rowOff>60960</xdr:rowOff>
              </from>
              <to>
                <xdr:col>2</xdr:col>
                <xdr:colOff>3048000</xdr:colOff>
                <xdr:row>0</xdr:row>
                <xdr:rowOff>304800</xdr:rowOff>
              </to>
            </anchor>
          </controlPr>
        </control>
      </mc:Choice>
      <mc:Fallback>
        <control shapeId="13775880" r:id="rId14" name="PV_Vis"/>
      </mc:Fallback>
    </mc:AlternateContent>
    <mc:AlternateContent xmlns:mc="http://schemas.openxmlformats.org/markup-compatibility/2006">
      <mc:Choice Requires="x14">
        <control shapeId="13775878" r:id="rId16" name="Button 6">
          <controlPr defaultSize="0" print="0" autoFill="0" autoPict="0" macro="[0]!Apply_Top_Row" altText="Apply top row">
            <anchor moveWithCells="1" sizeWithCells="1">
              <from>
                <xdr:col>2</xdr:col>
                <xdr:colOff>274320</xdr:colOff>
                <xdr:row>1</xdr:row>
                <xdr:rowOff>60960</xdr:rowOff>
              </from>
              <to>
                <xdr:col>2</xdr:col>
                <xdr:colOff>1508760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75879" r:id="rId17" name="Button 7">
          <controlPr defaultSize="0" print="0" autoFill="0" autoPict="0" macro="[0]!Update_Template">
            <anchor moveWithCells="1" sizeWithCells="1">
              <from>
                <xdr:col>2</xdr:col>
                <xdr:colOff>1783080</xdr:colOff>
                <xdr:row>1</xdr:row>
                <xdr:rowOff>60960</xdr:rowOff>
              </from>
              <to>
                <xdr:col>2</xdr:col>
                <xdr:colOff>3108960</xdr:colOff>
                <xdr:row>1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75881" r:id="rId18" name="Button 9">
          <controlPr defaultSize="0" print="0" autoFill="0" autoPict="0" macro="[0]!Import_UDT">
            <anchor moveWithCells="1" sizeWithCells="1">
              <from>
                <xdr:col>3</xdr:col>
                <xdr:colOff>83820</xdr:colOff>
                <xdr:row>1</xdr:row>
                <xdr:rowOff>60960</xdr:rowOff>
              </from>
              <to>
                <xdr:col>4</xdr:col>
                <xdr:colOff>350520</xdr:colOff>
                <xdr:row>1</xdr:row>
                <xdr:rowOff>502920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75882" r:id="rId19" name="Button 10">
          <controlPr defaultSize="0" print="0" autoFill="0" autoPict="0" macro="[0]!Export_UDT">
            <anchor moveWithCells="1" sizeWithCells="1">
              <from>
                <xdr:col>4</xdr:col>
                <xdr:colOff>403860</xdr:colOff>
                <xdr:row>1</xdr:row>
                <xdr:rowOff>68580</xdr:rowOff>
              </from>
              <to>
                <xdr:col>6</xdr:col>
                <xdr:colOff>259080</xdr:colOff>
                <xdr:row>1</xdr:row>
                <xdr:rowOff>518160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75883" r:id="rId20" name="Button 11">
          <controlPr defaultSize="0" print="0" autoFill="0" autoPict="0" macro="[0]!FindInFile">
            <anchor moveWithCells="1" sizeWithCells="1">
              <from>
                <xdr:col>22</xdr:col>
                <xdr:colOff>190500</xdr:colOff>
                <xdr:row>1</xdr:row>
                <xdr:rowOff>190500</xdr:rowOff>
              </from>
              <to>
                <xdr:col>23</xdr:col>
                <xdr:colOff>487680</xdr:colOff>
                <xdr:row>1</xdr:row>
                <xdr:rowOff>373380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122</vt:i4>
      </vt:variant>
    </vt:vector>
  </HeadingPairs>
  <TitlesOfParts>
    <vt:vector size="146" baseType="lpstr">
      <vt:lpstr>Config</vt:lpstr>
      <vt:lpstr>DL</vt:lpstr>
      <vt:lpstr>variable</vt:lpstr>
      <vt:lpstr>digalm</vt:lpstr>
      <vt:lpstr>DataTypeMappings</vt:lpstr>
      <vt:lpstr>Sheet1</vt:lpstr>
      <vt:lpstr>trend</vt:lpstr>
      <vt:lpstr>PV</vt:lpstr>
      <vt:lpstr>equip</vt:lpstr>
      <vt:lpstr>variable_Override</vt:lpstr>
      <vt:lpstr>digalm_Override</vt:lpstr>
      <vt:lpstr>trend_Override</vt:lpstr>
      <vt:lpstr>PV_Override</vt:lpstr>
      <vt:lpstr>variable_temp</vt:lpstr>
      <vt:lpstr>digalm_temp</vt:lpstr>
      <vt:lpstr>trend_temp</vt:lpstr>
      <vt:lpstr>PV_temp</vt:lpstr>
      <vt:lpstr>PV_CSV</vt:lpstr>
      <vt:lpstr>PV_XML</vt:lpstr>
      <vt:lpstr>Template_UDT</vt:lpstr>
      <vt:lpstr>Sub</vt:lpstr>
      <vt:lpstr>Custom</vt:lpstr>
      <vt:lpstr>ManualTags</vt:lpstr>
      <vt:lpstr>AqAnalog</vt:lpstr>
      <vt:lpstr>Config_Active_DL</vt:lpstr>
      <vt:lpstr>Config_CSV_Path</vt:lpstr>
      <vt:lpstr>Config_DisplayBorders</vt:lpstr>
      <vt:lpstr>Config_EnableOverride</vt:lpstr>
      <vt:lpstr>Config_EnablePanelView</vt:lpstr>
      <vt:lpstr>Config_L5K_File</vt:lpstr>
      <vt:lpstr>Config_ProjectPath</vt:lpstr>
      <vt:lpstr>Config_XML_Path</vt:lpstr>
      <vt:lpstr>digalm_Header</vt:lpstr>
      <vt:lpstr>digalm_Override_Header</vt:lpstr>
      <vt:lpstr>digalm_temp_Header</vt:lpstr>
      <vt:lpstr>DL_AddrArrayIndex</vt:lpstr>
      <vt:lpstr>DL_AddrOverride</vt:lpstr>
      <vt:lpstr>DL_AddrPrefixFull</vt:lpstr>
      <vt:lpstr>DL_Area</vt:lpstr>
      <vt:lpstr>DL_Cluster</vt:lpstr>
      <vt:lpstr>DL_Desc</vt:lpstr>
      <vt:lpstr>DL_DescPrefix</vt:lpstr>
      <vt:lpstr>DL_DigAlmName</vt:lpstr>
      <vt:lpstr>DL_DisableAlarms</vt:lpstr>
      <vt:lpstr>DL_DisableItem</vt:lpstr>
      <vt:lpstr>DL_DisableTrends</vt:lpstr>
      <vt:lpstr>DL_Enabled</vt:lpstr>
      <vt:lpstr>DL_EnableItem</vt:lpstr>
      <vt:lpstr>DL_Equip</vt:lpstr>
      <vt:lpstr>DL_Format</vt:lpstr>
      <vt:lpstr>DL!DL_Header</vt:lpstr>
      <vt:lpstr>DL_Help</vt:lpstr>
      <vt:lpstr>DL_Historian</vt:lpstr>
      <vt:lpstr>DL_Max</vt:lpstr>
      <vt:lpstr>DL_Min</vt:lpstr>
      <vt:lpstr>DL_PLC</vt:lpstr>
      <vt:lpstr>DL_PVEnable</vt:lpstr>
      <vt:lpstr>DL_PVFolder</vt:lpstr>
      <vt:lpstr>DL_PVPLC</vt:lpstr>
      <vt:lpstr>DL_PVPrefixFull</vt:lpstr>
      <vt:lpstr>DL_ShortDesc</vt:lpstr>
      <vt:lpstr>DL_TagPrefix</vt:lpstr>
      <vt:lpstr>DL_TagPrefixFull</vt:lpstr>
      <vt:lpstr>DL_TrendMax</vt:lpstr>
      <vt:lpstr>DL_TrendMin</vt:lpstr>
      <vt:lpstr>DL_TrendPrefixOverride</vt:lpstr>
      <vt:lpstr>DL_UDT</vt:lpstr>
      <vt:lpstr>DL_Units</vt:lpstr>
      <vt:lpstr>DL_VariableB</vt:lpstr>
      <vt:lpstr>DL_XRefL5K</vt:lpstr>
      <vt:lpstr>Global_Alarm_Priv</vt:lpstr>
      <vt:lpstr>Global_Path</vt:lpstr>
      <vt:lpstr>Global_Seperator</vt:lpstr>
      <vt:lpstr>Global_Trend_Deadband</vt:lpstr>
      <vt:lpstr>Global_Trend_NumFiles</vt:lpstr>
      <vt:lpstr>Global_Trend_Period</vt:lpstr>
      <vt:lpstr>Global_Trend_Prefix</vt:lpstr>
      <vt:lpstr>Global_Trend_Time</vt:lpstr>
      <vt:lpstr>PV_CSV_Copy</vt:lpstr>
      <vt:lpstr>PV_CSV_Folder_Preamble</vt:lpstr>
      <vt:lpstr>PV_CSV_Tag_Preamble</vt:lpstr>
      <vt:lpstr>PV_Header</vt:lpstr>
      <vt:lpstr>PV_Override_Header</vt:lpstr>
      <vt:lpstr>PV_temp_Header</vt:lpstr>
      <vt:lpstr>PV_XML_Messages</vt:lpstr>
      <vt:lpstr>PV_XML_Messages_Copy</vt:lpstr>
      <vt:lpstr>PV_XML_Messages_End</vt:lpstr>
      <vt:lpstr>PV_XML_Triggers</vt:lpstr>
      <vt:lpstr>PV_XML_Triggers_Copy</vt:lpstr>
      <vt:lpstr>PV_XML_Triggers_End</vt:lpstr>
      <vt:lpstr>trend_Header</vt:lpstr>
      <vt:lpstr>trend_Override_Header</vt:lpstr>
      <vt:lpstr>trend_temp_Header</vt:lpstr>
      <vt:lpstr>AqAnalog!UDT_Config_Header</vt:lpstr>
      <vt:lpstr>Custom!UDT_Config_Header</vt:lpstr>
      <vt:lpstr>ManualTags!UDT_Config_Header</vt:lpstr>
      <vt:lpstr>Sub!UDT_Config_Header</vt:lpstr>
      <vt:lpstr>Template_UDT!UDT_Config_Header</vt:lpstr>
      <vt:lpstr>AqAnalog!UDT_Digalm_Header</vt:lpstr>
      <vt:lpstr>Custom!UDT_Digalm_Header</vt:lpstr>
      <vt:lpstr>ManualTags!UDT_Digalm_Header</vt:lpstr>
      <vt:lpstr>Sub!UDT_Digalm_Header</vt:lpstr>
      <vt:lpstr>Template_UDT!UDT_Digalm_Header</vt:lpstr>
      <vt:lpstr>AqAnalog!UDT_Formula_TopRow</vt:lpstr>
      <vt:lpstr>Custom!UDT_Formula_TopRow</vt:lpstr>
      <vt:lpstr>ManualTags!UDT_Formula_TopRow</vt:lpstr>
      <vt:lpstr>Sub!UDT_Formula_TopRow</vt:lpstr>
      <vt:lpstr>Template_UDT!UDT_Formula_TopRow</vt:lpstr>
      <vt:lpstr>AqAnalog!UDT_Formula_TopRow_NoPV</vt:lpstr>
      <vt:lpstr>Custom!UDT_Formula_TopRow_NoPV</vt:lpstr>
      <vt:lpstr>ManualTags!UDT_Formula_TopRow_NoPV</vt:lpstr>
      <vt:lpstr>Sub!UDT_Formula_TopRow_NoPV</vt:lpstr>
      <vt:lpstr>Template_UDT!UDT_Formula_TopRow_NoPV</vt:lpstr>
      <vt:lpstr>AqAnalog!UDT_Import_Header</vt:lpstr>
      <vt:lpstr>Custom!UDT_Import_Header</vt:lpstr>
      <vt:lpstr>ManualTags!UDT_Import_Header</vt:lpstr>
      <vt:lpstr>Sub!UDT_Import_Header</vt:lpstr>
      <vt:lpstr>Template_UDT!UDT_Import_Header</vt:lpstr>
      <vt:lpstr>AqAnalog!UDT_Main_Header</vt:lpstr>
      <vt:lpstr>Custom!UDT_Main_Header</vt:lpstr>
      <vt:lpstr>ManualTags!UDT_Main_Header</vt:lpstr>
      <vt:lpstr>Sub!UDT_Main_Header</vt:lpstr>
      <vt:lpstr>Template_UDT!UDT_Main_Header</vt:lpstr>
      <vt:lpstr>AqAnalog!UDT_PV_Header</vt:lpstr>
      <vt:lpstr>Custom!UDT_PV_Header</vt:lpstr>
      <vt:lpstr>ManualTags!UDT_PV_Header</vt:lpstr>
      <vt:lpstr>Sub!UDT_PV_Header</vt:lpstr>
      <vt:lpstr>Template_UDT!UDT_PV_Header</vt:lpstr>
      <vt:lpstr>AqAnalog!UDT_Trend_Header</vt:lpstr>
      <vt:lpstr>Custom!UDT_Trend_Header</vt:lpstr>
      <vt:lpstr>ManualTags!UDT_Trend_Header</vt:lpstr>
      <vt:lpstr>Sub!UDT_Trend_Header</vt:lpstr>
      <vt:lpstr>Template_UDT!UDT_Trend_Header</vt:lpstr>
      <vt:lpstr>AqAnalog!UDT_UpdateTemplateCopyArea</vt:lpstr>
      <vt:lpstr>Custom!UDT_UpdateTemplateCopyArea</vt:lpstr>
      <vt:lpstr>ManualTags!UDT_UpdateTemplateCopyArea</vt:lpstr>
      <vt:lpstr>Sub!UDT_UpdateTemplateCopyArea</vt:lpstr>
      <vt:lpstr>Template_UDT!UDT_UpdateTemplateCopyArea</vt:lpstr>
      <vt:lpstr>AqAnalog!UDT_Variable_Header</vt:lpstr>
      <vt:lpstr>Custom!UDT_Variable_Header</vt:lpstr>
      <vt:lpstr>ManualTags!UDT_Variable_Header</vt:lpstr>
      <vt:lpstr>Sub!UDT_Variable_Header</vt:lpstr>
      <vt:lpstr>Template_UDT!UDT_Variable_Header</vt:lpstr>
      <vt:lpstr>variable_Header</vt:lpstr>
      <vt:lpstr>variable_Override_Header</vt:lpstr>
      <vt:lpstr>variable_temp_Header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Tyson</dc:creator>
  <cp:lastModifiedBy>Lynam, Mat</cp:lastModifiedBy>
  <cp:lastPrinted>2026-01-28T09:23:59Z</cp:lastPrinted>
  <dcterms:created xsi:type="dcterms:W3CDTF">2019-05-23T11:28:20Z</dcterms:created>
  <dcterms:modified xsi:type="dcterms:W3CDTF">2026-01-28T09:24:07Z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3f2a5e4-10d8-4dfe-8082-7352c27520cb_Enabled">
    <vt:lpwstr>true</vt:lpwstr>
  </property>
  <property fmtid="{D5CDD505-2E9C-101B-9397-08002B2CF9AE}" pid="3" name="MSIP_Label_e3f2a5e4-10d8-4dfe-8082-7352c27520cb_SetDate">
    <vt:lpwstr>2023-02-21T05:16:16Z</vt:lpwstr>
  </property>
  <property fmtid="{D5CDD505-2E9C-101B-9397-08002B2CF9AE}" pid="4" name="MSIP_Label_e3f2a5e4-10d8-4dfe-8082-7352c27520cb_Method">
    <vt:lpwstr>Standard</vt:lpwstr>
  </property>
  <property fmtid="{D5CDD505-2E9C-101B-9397-08002B2CF9AE}" pid="5" name="MSIP_Label_e3f2a5e4-10d8-4dfe-8082-7352c27520cb_Name">
    <vt:lpwstr>_Official</vt:lpwstr>
  </property>
  <property fmtid="{D5CDD505-2E9C-101B-9397-08002B2CF9AE}" pid="6" name="MSIP_Label_e3f2a5e4-10d8-4dfe-8082-7352c27520cb_SiteId">
    <vt:lpwstr>2864f69d-77c3-4fbe-bbc0-97502052391a</vt:lpwstr>
  </property>
  <property fmtid="{D5CDD505-2E9C-101B-9397-08002B2CF9AE}" pid="7" name="MSIP_Label_e3f2a5e4-10d8-4dfe-8082-7352c27520cb_ActionId">
    <vt:lpwstr>6c6b97e1-0703-4a41-9663-d40526e158e8</vt:lpwstr>
  </property>
  <property fmtid="{D5CDD505-2E9C-101B-9397-08002B2CF9AE}" pid="8" name="MSIP_Label_e3f2a5e4-10d8-4dfe-8082-7352c27520cb_ContentBits">
    <vt:lpwstr>1</vt:lpwstr>
  </property>
</Properties>
</file>